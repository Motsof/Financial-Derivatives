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hir\Documents\Act_s8\selecyos_finanzas\"/>
    </mc:Choice>
  </mc:AlternateContent>
  <xr:revisionPtr revIDLastSave="0" documentId="13_ncr:1_{1E3ADED3-0C48-47FD-BCA9-13E6405B3115}" xr6:coauthVersionLast="47" xr6:coauthVersionMax="47" xr10:uidLastSave="{00000000-0000-0000-0000-000000000000}"/>
  <bookViews>
    <workbookView xWindow="-108" yWindow="-108" windowWidth="23256" windowHeight="12456" firstSheet="7" activeTab="13" xr2:uid="{388AFCD9-11F1-421A-B867-EDEBAD6BB9D8}"/>
  </bookViews>
  <sheets>
    <sheet name="KOFUBL" sheetId="7" r:id="rId1"/>
    <sheet name="JWN" sheetId="1" r:id="rId2"/>
    <sheet name="603336" sheetId="2" r:id="rId3"/>
    <sheet name="IAU" sheetId="3" r:id="rId4"/>
    <sheet name="PGR" sheetId="4" r:id="rId5"/>
    <sheet name="COST" sheetId="5" r:id="rId6"/>
    <sheet name="DTEGn" sheetId="6" r:id="rId7"/>
    <sheet name="HEIG" sheetId="9" r:id="rId8"/>
    <sheet name="IAG" sheetId="10" r:id="rId9"/>
    <sheet name="MTXGn" sheetId="11" r:id="rId10"/>
    <sheet name="SIEGn" sheetId="8" r:id="rId11"/>
    <sheet name="ELE" sheetId="14" r:id="rId12"/>
    <sheet name="Tasa libre de riesgo" sheetId="17" r:id="rId13"/>
    <sheet name="Portafolio" sheetId="19" r:id="rId14"/>
  </sheets>
  <functionGroups builtInGroupCount="19"/>
  <externalReferences>
    <externalReference r:id="rId15"/>
  </externalReferences>
  <definedNames>
    <definedName name="_xlnm._FilterDatabase" localSheetId="2" hidden="1">'603336'!$A$1:$G$253</definedName>
    <definedName name="_xlnm._FilterDatabase" localSheetId="5" hidden="1">COST!$A$1:$G$253</definedName>
    <definedName name="_xlnm._FilterDatabase" localSheetId="6" hidden="1">DTEGn!$A$1:$G$257</definedName>
    <definedName name="_xlnm._FilterDatabase" localSheetId="11" hidden="1">ELE!$A$1:$G$253</definedName>
    <definedName name="_xlnm._FilterDatabase" localSheetId="7" hidden="1">HEIG!$A$1:$G$257</definedName>
    <definedName name="_xlnm._FilterDatabase" localSheetId="8" hidden="1">IAG!$A$1:$G$254</definedName>
    <definedName name="_xlnm._FilterDatabase" localSheetId="3" hidden="1">IAU!$A$1:$G$259</definedName>
    <definedName name="_xlnm._FilterDatabase" localSheetId="1" hidden="1">JWN!$A$1:$G$253</definedName>
    <definedName name="_xlnm._FilterDatabase" localSheetId="0" hidden="1">KOFUBL!$A$1:$G$253</definedName>
    <definedName name="_xlnm._FilterDatabase" localSheetId="9" hidden="1">MTXGn!$A$1:$G$257</definedName>
    <definedName name="_xlnm._FilterDatabase" localSheetId="4" hidden="1">PGR!$A$1:$G$253</definedName>
    <definedName name="_xlnm._FilterDatabase" localSheetId="10" hidden="1">SIEGn!$A$1:$G$253</definedName>
    <definedName name="M">Portafolio!$AS$17:$AS$27</definedName>
    <definedName name="MATCorr" localSheetId="11">[1]Calculos!$B$15:$L$25</definedName>
    <definedName name="MATCorr">#REF!</definedName>
    <definedName name="MATR">#REF!</definedName>
    <definedName name="MATRend" localSheetId="11">[1]Calculos!$B$2:$B$12</definedName>
    <definedName name="MATRend">#REF!</definedName>
    <definedName name="MATU">#REF!</definedName>
    <definedName name="MATV">#REF!</definedName>
    <definedName name="MATVot" localSheetId="11">[1]Calculos!$B$28:$L$38</definedName>
    <definedName name="MATVot">#REF!</definedName>
    <definedName name="rf">Portafolio!$AS$13</definedName>
    <definedName name="solver_adj" localSheetId="13" hidden="1">Portafolio!$AS$66:$AS$76</definedName>
    <definedName name="solver_cvg" localSheetId="13" hidden="1">0.0001</definedName>
    <definedName name="solver_drv" localSheetId="13" hidden="1">2</definedName>
    <definedName name="solver_eng" localSheetId="13" hidden="1">1</definedName>
    <definedName name="solver_est" localSheetId="13" hidden="1">1</definedName>
    <definedName name="solver_itr" localSheetId="13" hidden="1">2147483647</definedName>
    <definedName name="solver_lhs1" localSheetId="13" hidden="1">Portafolio!$AS$77</definedName>
    <definedName name="solver_mip" localSheetId="13" hidden="1">2147483647</definedName>
    <definedName name="solver_mni" localSheetId="13" hidden="1">30</definedName>
    <definedName name="solver_mrt" localSheetId="13" hidden="1">0.075</definedName>
    <definedName name="solver_msl" localSheetId="13" hidden="1">2</definedName>
    <definedName name="solver_neg" localSheetId="13" hidden="1">1</definedName>
    <definedName name="solver_nod" localSheetId="13" hidden="1">2147483647</definedName>
    <definedName name="solver_num" localSheetId="13" hidden="1">1</definedName>
    <definedName name="solver_nwt" localSheetId="13" hidden="1">1</definedName>
    <definedName name="solver_opt" localSheetId="13" hidden="1">Portafolio!$BA$68</definedName>
    <definedName name="solver_pre" localSheetId="13" hidden="1">0.000001</definedName>
    <definedName name="solver_rbv" localSheetId="13" hidden="1">2</definedName>
    <definedName name="solver_rel1" localSheetId="13" hidden="1">2</definedName>
    <definedName name="solver_rhs1" localSheetId="13" hidden="1">1</definedName>
    <definedName name="solver_rlx" localSheetId="13" hidden="1">2</definedName>
    <definedName name="solver_rsd" localSheetId="13" hidden="1">0</definedName>
    <definedName name="solver_scl" localSheetId="13" hidden="1">2</definedName>
    <definedName name="solver_sho" localSheetId="13" hidden="1">2</definedName>
    <definedName name="solver_ssz" localSheetId="13" hidden="1">100</definedName>
    <definedName name="solver_tim" localSheetId="13" hidden="1">2147483647</definedName>
    <definedName name="solver_tol" localSheetId="13" hidden="1">0.01</definedName>
    <definedName name="solver_typ" localSheetId="13" hidden="1">1</definedName>
    <definedName name="solver_val" localSheetId="13" hidden="1">0</definedName>
    <definedName name="solver_ver" localSheetId="13" hidden="1">3</definedName>
    <definedName name="tc">Portafolio!$O$256</definedName>
    <definedName name="UNO">Portafolio!$BJ$16:$BJ$26</definedName>
    <definedName name="V">Portafolio!$AW$17:$BG$27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125" i="19" l="1"/>
  <c r="AC5" i="19"/>
  <c r="BN126" i="19"/>
  <c r="BN127" i="19"/>
  <c r="BN128" i="19"/>
  <c r="BN129" i="19"/>
  <c r="BN130" i="19"/>
  <c r="BN125" i="19"/>
  <c r="BV130" i="19"/>
  <c r="BV129" i="19"/>
  <c r="BV128" i="19"/>
  <c r="BV127" i="19"/>
  <c r="BV126" i="19"/>
  <c r="BV125" i="19"/>
  <c r="D8" i="17"/>
  <c r="BH139" i="19" l="1"/>
  <c r="BH133" i="19"/>
  <c r="BH134" i="19" s="1"/>
  <c r="BH135" i="19" s="1"/>
  <c r="BH136" i="19" s="1"/>
  <c r="BH137" i="19" s="1"/>
  <c r="BH138" i="19" s="1"/>
  <c r="BH121" i="19"/>
  <c r="BH122" i="19" s="1"/>
  <c r="BH123" i="19" s="1"/>
  <c r="BH124" i="19" s="1"/>
  <c r="BH125" i="19" s="1"/>
  <c r="BH126" i="19" s="1"/>
  <c r="BH127" i="19" s="1"/>
  <c r="BH128" i="19" s="1"/>
  <c r="BH129" i="19" s="1"/>
  <c r="BH130" i="19" s="1"/>
  <c r="BH131" i="19" s="1"/>
  <c r="BH132" i="19" s="1"/>
  <c r="BH104" i="19"/>
  <c r="BH105" i="19" s="1"/>
  <c r="BH106" i="19" s="1"/>
  <c r="BH107" i="19" s="1"/>
  <c r="BH108" i="19" s="1"/>
  <c r="BH109" i="19" s="1"/>
  <c r="BH110" i="19" s="1"/>
  <c r="BH111" i="19" s="1"/>
  <c r="BH112" i="19" s="1"/>
  <c r="BH113" i="19" s="1"/>
  <c r="BH114" i="19" s="1"/>
  <c r="BH115" i="19" s="1"/>
  <c r="BH116" i="19" s="1"/>
  <c r="BH117" i="19" s="1"/>
  <c r="BH118" i="19" s="1"/>
  <c r="BH119" i="19" s="1"/>
  <c r="BH120" i="19" s="1"/>
  <c r="BH103" i="19"/>
  <c r="AS84" i="19"/>
  <c r="AS85" i="19" s="1"/>
  <c r="AS86" i="19" s="1"/>
  <c r="AS87" i="19" s="1"/>
  <c r="AS88" i="19" s="1"/>
  <c r="AS89" i="19" s="1"/>
  <c r="AS90" i="19" s="1"/>
  <c r="AS91" i="19" s="1"/>
  <c r="AS92" i="19" s="1"/>
  <c r="AS93" i="19" s="1"/>
  <c r="AS94" i="19" s="1"/>
  <c r="AS96" i="19" s="1"/>
  <c r="AS98" i="19" s="1"/>
  <c r="AS100" i="19" s="1"/>
  <c r="AS101" i="19" s="1"/>
  <c r="AS102" i="19" s="1"/>
  <c r="AS103" i="19" s="1"/>
  <c r="AS104" i="19" s="1"/>
  <c r="AS105" i="19" s="1"/>
  <c r="AS106" i="19" s="1"/>
  <c r="AS107" i="19" s="1"/>
  <c r="AS108" i="19" s="1"/>
  <c r="AS109" i="19" s="1"/>
  <c r="AS110" i="19" s="1"/>
  <c r="AS111" i="19" s="1"/>
  <c r="AS112" i="19" s="1"/>
  <c r="AS113" i="19" s="1"/>
  <c r="AS114" i="19" s="1"/>
  <c r="AS115" i="19" s="1"/>
  <c r="AS116" i="19" s="1"/>
  <c r="AS117" i="19" s="1"/>
  <c r="AS118" i="19" s="1"/>
  <c r="AS119" i="19" s="1"/>
  <c r="AS83" i="19"/>
  <c r="BC67" i="19"/>
  <c r="BC68" i="19"/>
  <c r="BC69" i="19"/>
  <c r="BC70" i="19"/>
  <c r="BC71" i="19"/>
  <c r="BC72" i="19"/>
  <c r="BC73" i="19"/>
  <c r="BC74" i="19"/>
  <c r="BC75" i="19"/>
  <c r="BC76" i="19"/>
  <c r="BC66" i="19"/>
  <c r="AS77" i="19"/>
  <c r="AW68" i="19" a="1"/>
  <c r="AW68" i="19" s="1"/>
  <c r="AS99" i="19" s="1"/>
  <c r="AS61" i="19"/>
  <c r="AW51" i="19" a="1"/>
  <c r="AW51" i="19" s="1"/>
  <c r="AY51" i="19" s="1"/>
  <c r="AW35" i="19" a="1"/>
  <c r="AW35" i="19" s="1"/>
  <c r="AS95" i="19" s="1"/>
  <c r="AS45" i="19"/>
  <c r="AT9" i="19"/>
  <c r="AV9" i="19"/>
  <c r="AW9" i="19"/>
  <c r="AX9" i="19"/>
  <c r="AY9" i="19"/>
  <c r="BA9" i="19"/>
  <c r="BB9" i="19"/>
  <c r="BC9" i="19"/>
  <c r="AS9" i="19"/>
  <c r="H3" i="7"/>
  <c r="K3" i="7"/>
  <c r="AH7" i="19"/>
  <c r="AI7" i="19"/>
  <c r="AJ7" i="19"/>
  <c r="AH8" i="19"/>
  <c r="AI8" i="19"/>
  <c r="AJ8" i="19"/>
  <c r="AH9" i="19"/>
  <c r="AI9" i="19"/>
  <c r="AJ9" i="19"/>
  <c r="AH10" i="19"/>
  <c r="AI10" i="19"/>
  <c r="AJ10" i="19"/>
  <c r="AH11" i="19"/>
  <c r="AI11" i="19"/>
  <c r="AJ11" i="19"/>
  <c r="AH12" i="19"/>
  <c r="AI12" i="19"/>
  <c r="AJ12" i="19"/>
  <c r="AH13" i="19"/>
  <c r="AI13" i="19"/>
  <c r="AJ13" i="19"/>
  <c r="AH14" i="19"/>
  <c r="AI14" i="19"/>
  <c r="AJ14" i="19"/>
  <c r="AH15" i="19"/>
  <c r="AI15" i="19"/>
  <c r="AJ15" i="19"/>
  <c r="AH16" i="19"/>
  <c r="AI16" i="19"/>
  <c r="AJ16" i="19"/>
  <c r="AH17" i="19"/>
  <c r="AI17" i="19"/>
  <c r="AJ17" i="19"/>
  <c r="AH18" i="19"/>
  <c r="AI18" i="19"/>
  <c r="AJ18" i="19"/>
  <c r="AH19" i="19"/>
  <c r="AI19" i="19"/>
  <c r="AJ19" i="19"/>
  <c r="AH20" i="19"/>
  <c r="AI20" i="19"/>
  <c r="AJ20" i="19"/>
  <c r="AH21" i="19"/>
  <c r="AI21" i="19"/>
  <c r="AJ21" i="19"/>
  <c r="AH22" i="19"/>
  <c r="AI22" i="19"/>
  <c r="AJ22" i="19"/>
  <c r="AH23" i="19"/>
  <c r="AI23" i="19"/>
  <c r="AJ23" i="19"/>
  <c r="AH24" i="19"/>
  <c r="AI24" i="19"/>
  <c r="AJ24" i="19"/>
  <c r="AH25" i="19"/>
  <c r="AI25" i="19"/>
  <c r="AJ25" i="19"/>
  <c r="AH26" i="19"/>
  <c r="AI26" i="19"/>
  <c r="AJ26" i="19"/>
  <c r="AH27" i="19"/>
  <c r="AI27" i="19"/>
  <c r="AJ27" i="19"/>
  <c r="AH28" i="19"/>
  <c r="AI28" i="19"/>
  <c r="AJ28" i="19"/>
  <c r="AH29" i="19"/>
  <c r="AI29" i="19"/>
  <c r="AJ29" i="19"/>
  <c r="AH30" i="19"/>
  <c r="AI30" i="19"/>
  <c r="AJ30" i="19"/>
  <c r="AH31" i="19"/>
  <c r="AI31" i="19"/>
  <c r="AJ31" i="19"/>
  <c r="AH32" i="19"/>
  <c r="AI32" i="19"/>
  <c r="AJ32" i="19"/>
  <c r="AH33" i="19"/>
  <c r="AI33" i="19"/>
  <c r="AJ33" i="19"/>
  <c r="AH34" i="19"/>
  <c r="AI34" i="19"/>
  <c r="AJ34" i="19"/>
  <c r="AH35" i="19"/>
  <c r="AI35" i="19"/>
  <c r="AJ35" i="19"/>
  <c r="AH36" i="19"/>
  <c r="AI36" i="19"/>
  <c r="AJ36" i="19"/>
  <c r="AH37" i="19"/>
  <c r="AI37" i="19"/>
  <c r="AJ37" i="19"/>
  <c r="AH38" i="19"/>
  <c r="AI38" i="19"/>
  <c r="AJ38" i="19"/>
  <c r="AH39" i="19"/>
  <c r="AI39" i="19"/>
  <c r="AJ39" i="19"/>
  <c r="AH40" i="19"/>
  <c r="AI40" i="19"/>
  <c r="AJ40" i="19"/>
  <c r="AH41" i="19"/>
  <c r="AI41" i="19"/>
  <c r="AJ41" i="19"/>
  <c r="AH42" i="19"/>
  <c r="AI42" i="19"/>
  <c r="AJ42" i="19"/>
  <c r="AH43" i="19"/>
  <c r="AI43" i="19"/>
  <c r="AJ43" i="19"/>
  <c r="AH44" i="19"/>
  <c r="AI44" i="19"/>
  <c r="AJ44" i="19"/>
  <c r="AH45" i="19"/>
  <c r="AI45" i="19"/>
  <c r="AJ45" i="19"/>
  <c r="AH46" i="19"/>
  <c r="AI46" i="19"/>
  <c r="AJ46" i="19"/>
  <c r="AH47" i="19"/>
  <c r="AI47" i="19"/>
  <c r="AJ47" i="19"/>
  <c r="AH48" i="19"/>
  <c r="AI48" i="19"/>
  <c r="AJ48" i="19"/>
  <c r="AH49" i="19"/>
  <c r="AI49" i="19"/>
  <c r="AJ49" i="19"/>
  <c r="AH50" i="19"/>
  <c r="AI50" i="19"/>
  <c r="AJ50" i="19"/>
  <c r="AH51" i="19"/>
  <c r="AI51" i="19"/>
  <c r="AJ51" i="19"/>
  <c r="AH52" i="19"/>
  <c r="AI52" i="19"/>
  <c r="AJ52" i="19"/>
  <c r="AH53" i="19"/>
  <c r="AI53" i="19"/>
  <c r="AJ53" i="19"/>
  <c r="AH54" i="19"/>
  <c r="AI54" i="19"/>
  <c r="AJ54" i="19"/>
  <c r="AH55" i="19"/>
  <c r="AI55" i="19"/>
  <c r="AJ55" i="19"/>
  <c r="AH56" i="19"/>
  <c r="AI56" i="19"/>
  <c r="AJ56" i="19"/>
  <c r="AH57" i="19"/>
  <c r="AI57" i="19"/>
  <c r="AJ57" i="19"/>
  <c r="AH58" i="19"/>
  <c r="AI58" i="19"/>
  <c r="AJ58" i="19"/>
  <c r="AH59" i="19"/>
  <c r="AI59" i="19"/>
  <c r="AJ59" i="19"/>
  <c r="AH60" i="19"/>
  <c r="AI60" i="19"/>
  <c r="AJ60" i="19"/>
  <c r="AH61" i="19"/>
  <c r="AI61" i="19"/>
  <c r="AJ61" i="19"/>
  <c r="AH62" i="19"/>
  <c r="AI62" i="19"/>
  <c r="AJ62" i="19"/>
  <c r="AH63" i="19"/>
  <c r="AI63" i="19"/>
  <c r="AJ63" i="19"/>
  <c r="AH64" i="19"/>
  <c r="AI64" i="19"/>
  <c r="AJ64" i="19"/>
  <c r="AH65" i="19"/>
  <c r="AI65" i="19"/>
  <c r="AJ65" i="19"/>
  <c r="AH66" i="19"/>
  <c r="AI66" i="19"/>
  <c r="AJ66" i="19"/>
  <c r="AH67" i="19"/>
  <c r="AI67" i="19"/>
  <c r="AJ67" i="19"/>
  <c r="AH68" i="19"/>
  <c r="AI68" i="19"/>
  <c r="AJ68" i="19"/>
  <c r="AH69" i="19"/>
  <c r="AI69" i="19"/>
  <c r="AJ69" i="19"/>
  <c r="AH70" i="19"/>
  <c r="AI70" i="19"/>
  <c r="AJ70" i="19"/>
  <c r="AH71" i="19"/>
  <c r="AI71" i="19"/>
  <c r="AJ71" i="19"/>
  <c r="AH72" i="19"/>
  <c r="AI72" i="19"/>
  <c r="AJ72" i="19"/>
  <c r="AH73" i="19"/>
  <c r="AI73" i="19"/>
  <c r="AJ73" i="19"/>
  <c r="AH74" i="19"/>
  <c r="AI74" i="19"/>
  <c r="AJ74" i="19"/>
  <c r="AH75" i="19"/>
  <c r="AI75" i="19"/>
  <c r="AJ75" i="19"/>
  <c r="AH76" i="19"/>
  <c r="AI76" i="19"/>
  <c r="AJ76" i="19"/>
  <c r="AH77" i="19"/>
  <c r="AI77" i="19"/>
  <c r="AJ77" i="19"/>
  <c r="AH78" i="19"/>
  <c r="AI78" i="19"/>
  <c r="AJ78" i="19"/>
  <c r="AH79" i="19"/>
  <c r="AI79" i="19"/>
  <c r="AJ79" i="19"/>
  <c r="AH80" i="19"/>
  <c r="AI80" i="19"/>
  <c r="AJ80" i="19"/>
  <c r="AH81" i="19"/>
  <c r="AI81" i="19"/>
  <c r="AJ81" i="19"/>
  <c r="AH82" i="19"/>
  <c r="AI82" i="19"/>
  <c r="AJ82" i="19"/>
  <c r="AH83" i="19"/>
  <c r="AI83" i="19"/>
  <c r="AJ83" i="19"/>
  <c r="AH84" i="19"/>
  <c r="AI84" i="19"/>
  <c r="AJ84" i="19"/>
  <c r="AH85" i="19"/>
  <c r="AI85" i="19"/>
  <c r="AJ85" i="19"/>
  <c r="AH86" i="19"/>
  <c r="AI86" i="19"/>
  <c r="AJ86" i="19"/>
  <c r="AH87" i="19"/>
  <c r="AI87" i="19"/>
  <c r="AJ87" i="19"/>
  <c r="AH88" i="19"/>
  <c r="AI88" i="19"/>
  <c r="AJ88" i="19"/>
  <c r="AH89" i="19"/>
  <c r="AI89" i="19"/>
  <c r="AJ89" i="19"/>
  <c r="AH90" i="19"/>
  <c r="AI90" i="19"/>
  <c r="AJ90" i="19"/>
  <c r="AH91" i="19"/>
  <c r="AI91" i="19"/>
  <c r="AJ91" i="19"/>
  <c r="AH92" i="19"/>
  <c r="AI92" i="19"/>
  <c r="AJ92" i="19"/>
  <c r="AH93" i="19"/>
  <c r="AI93" i="19"/>
  <c r="AJ93" i="19"/>
  <c r="AH94" i="19"/>
  <c r="AI94" i="19"/>
  <c r="AJ94" i="19"/>
  <c r="AH95" i="19"/>
  <c r="AI95" i="19"/>
  <c r="AJ95" i="19"/>
  <c r="AH96" i="19"/>
  <c r="AI96" i="19"/>
  <c r="AJ96" i="19"/>
  <c r="AH97" i="19"/>
  <c r="AI97" i="19"/>
  <c r="AJ97" i="19"/>
  <c r="AH98" i="19"/>
  <c r="AI98" i="19"/>
  <c r="AJ98" i="19"/>
  <c r="AH99" i="19"/>
  <c r="AI99" i="19"/>
  <c r="AJ99" i="19"/>
  <c r="AH100" i="19"/>
  <c r="AI100" i="19"/>
  <c r="AJ100" i="19"/>
  <c r="AH101" i="19"/>
  <c r="AI101" i="19"/>
  <c r="AJ101" i="19"/>
  <c r="AH102" i="19"/>
  <c r="AI102" i="19"/>
  <c r="AJ102" i="19"/>
  <c r="AH103" i="19"/>
  <c r="AI103" i="19"/>
  <c r="AJ103" i="19"/>
  <c r="AH104" i="19"/>
  <c r="AI104" i="19"/>
  <c r="AJ104" i="19"/>
  <c r="AH105" i="19"/>
  <c r="AI105" i="19"/>
  <c r="AJ105" i="19"/>
  <c r="AH106" i="19"/>
  <c r="AI106" i="19"/>
  <c r="AJ106" i="19"/>
  <c r="AH107" i="19"/>
  <c r="AI107" i="19"/>
  <c r="AJ107" i="19"/>
  <c r="AH108" i="19"/>
  <c r="AI108" i="19"/>
  <c r="AJ108" i="19"/>
  <c r="AH109" i="19"/>
  <c r="AI109" i="19"/>
  <c r="AJ109" i="19"/>
  <c r="AH110" i="19"/>
  <c r="AI110" i="19"/>
  <c r="AJ110" i="19"/>
  <c r="AH111" i="19"/>
  <c r="AI111" i="19"/>
  <c r="AJ111" i="19"/>
  <c r="AH112" i="19"/>
  <c r="AI112" i="19"/>
  <c r="AJ112" i="19"/>
  <c r="AH113" i="19"/>
  <c r="AI113" i="19"/>
  <c r="AJ113" i="19"/>
  <c r="AH114" i="19"/>
  <c r="AI114" i="19"/>
  <c r="AJ114" i="19"/>
  <c r="AH115" i="19"/>
  <c r="AI115" i="19"/>
  <c r="AJ115" i="19"/>
  <c r="AH116" i="19"/>
  <c r="AI116" i="19"/>
  <c r="AJ116" i="19"/>
  <c r="AH117" i="19"/>
  <c r="AI117" i="19"/>
  <c r="AJ117" i="19"/>
  <c r="AH118" i="19"/>
  <c r="AI118" i="19"/>
  <c r="AJ118" i="19"/>
  <c r="AH119" i="19"/>
  <c r="AI119" i="19"/>
  <c r="AJ119" i="19"/>
  <c r="AH120" i="19"/>
  <c r="AI120" i="19"/>
  <c r="AJ120" i="19"/>
  <c r="AH121" i="19"/>
  <c r="AI121" i="19"/>
  <c r="AJ121" i="19"/>
  <c r="AH122" i="19"/>
  <c r="AI122" i="19"/>
  <c r="AJ122" i="19"/>
  <c r="AH123" i="19"/>
  <c r="AI123" i="19"/>
  <c r="AJ123" i="19"/>
  <c r="AH124" i="19"/>
  <c r="AI124" i="19"/>
  <c r="AJ124" i="19"/>
  <c r="AH125" i="19"/>
  <c r="AI125" i="19"/>
  <c r="AJ125" i="19"/>
  <c r="AH126" i="19"/>
  <c r="AI126" i="19"/>
  <c r="AJ126" i="19"/>
  <c r="AH127" i="19"/>
  <c r="AI127" i="19"/>
  <c r="AJ127" i="19"/>
  <c r="AH128" i="19"/>
  <c r="AI128" i="19"/>
  <c r="AJ128" i="19"/>
  <c r="AH129" i="19"/>
  <c r="AI129" i="19"/>
  <c r="AJ129" i="19"/>
  <c r="AH130" i="19"/>
  <c r="AI130" i="19"/>
  <c r="AJ130" i="19"/>
  <c r="AH131" i="19"/>
  <c r="AI131" i="19"/>
  <c r="AJ131" i="19"/>
  <c r="AH132" i="19"/>
  <c r="AI132" i="19"/>
  <c r="AJ132" i="19"/>
  <c r="AH133" i="19"/>
  <c r="AI133" i="19"/>
  <c r="AJ133" i="19"/>
  <c r="AH134" i="19"/>
  <c r="AI134" i="19"/>
  <c r="AJ134" i="19"/>
  <c r="AH135" i="19"/>
  <c r="AI135" i="19"/>
  <c r="AJ135" i="19"/>
  <c r="AH136" i="19"/>
  <c r="AI136" i="19"/>
  <c r="AJ136" i="19"/>
  <c r="AH137" i="19"/>
  <c r="AI137" i="19"/>
  <c r="AJ137" i="19"/>
  <c r="AH138" i="19"/>
  <c r="AI138" i="19"/>
  <c r="AJ138" i="19"/>
  <c r="AH139" i="19"/>
  <c r="AI139" i="19"/>
  <c r="AJ139" i="19"/>
  <c r="AH140" i="19"/>
  <c r="AI140" i="19"/>
  <c r="AJ140" i="19"/>
  <c r="AH141" i="19"/>
  <c r="AI141" i="19"/>
  <c r="AJ141" i="19"/>
  <c r="AH142" i="19"/>
  <c r="AI142" i="19"/>
  <c r="AJ142" i="19"/>
  <c r="AH143" i="19"/>
  <c r="AI143" i="19"/>
  <c r="AJ143" i="19"/>
  <c r="AH144" i="19"/>
  <c r="AI144" i="19"/>
  <c r="AJ144" i="19"/>
  <c r="AH145" i="19"/>
  <c r="AI145" i="19"/>
  <c r="AJ145" i="19"/>
  <c r="AH146" i="19"/>
  <c r="AI146" i="19"/>
  <c r="AJ146" i="19"/>
  <c r="AH147" i="19"/>
  <c r="AI147" i="19"/>
  <c r="AJ147" i="19"/>
  <c r="AH148" i="19"/>
  <c r="AI148" i="19"/>
  <c r="AJ148" i="19"/>
  <c r="AH149" i="19"/>
  <c r="AI149" i="19"/>
  <c r="AJ149" i="19"/>
  <c r="AH150" i="19"/>
  <c r="AI150" i="19"/>
  <c r="AJ150" i="19"/>
  <c r="AH151" i="19"/>
  <c r="AI151" i="19"/>
  <c r="AJ151" i="19"/>
  <c r="AH152" i="19"/>
  <c r="AI152" i="19"/>
  <c r="AJ152" i="19"/>
  <c r="AH153" i="19"/>
  <c r="AI153" i="19"/>
  <c r="AJ153" i="19"/>
  <c r="AH154" i="19"/>
  <c r="AI154" i="19"/>
  <c r="AJ154" i="19"/>
  <c r="AH155" i="19"/>
  <c r="AI155" i="19"/>
  <c r="AJ155" i="19"/>
  <c r="AH156" i="19"/>
  <c r="AI156" i="19"/>
  <c r="AJ156" i="19"/>
  <c r="AH157" i="19"/>
  <c r="AI157" i="19"/>
  <c r="AJ157" i="19"/>
  <c r="AH158" i="19"/>
  <c r="AI158" i="19"/>
  <c r="AJ158" i="19"/>
  <c r="AH159" i="19"/>
  <c r="AI159" i="19"/>
  <c r="AJ159" i="19"/>
  <c r="AH160" i="19"/>
  <c r="AI160" i="19"/>
  <c r="AJ160" i="19"/>
  <c r="AH161" i="19"/>
  <c r="AI161" i="19"/>
  <c r="AJ161" i="19"/>
  <c r="AH162" i="19"/>
  <c r="AI162" i="19"/>
  <c r="AJ162" i="19"/>
  <c r="AH163" i="19"/>
  <c r="AI163" i="19"/>
  <c r="AJ163" i="19"/>
  <c r="AH164" i="19"/>
  <c r="AI164" i="19"/>
  <c r="AJ164" i="19"/>
  <c r="AH165" i="19"/>
  <c r="AI165" i="19"/>
  <c r="AJ165" i="19"/>
  <c r="AH166" i="19"/>
  <c r="AI166" i="19"/>
  <c r="AJ166" i="19"/>
  <c r="AH167" i="19"/>
  <c r="AI167" i="19"/>
  <c r="AJ167" i="19"/>
  <c r="AH168" i="19"/>
  <c r="AI168" i="19"/>
  <c r="AJ168" i="19"/>
  <c r="AH169" i="19"/>
  <c r="AI169" i="19"/>
  <c r="AJ169" i="19"/>
  <c r="AH170" i="19"/>
  <c r="AI170" i="19"/>
  <c r="AJ170" i="19"/>
  <c r="AH171" i="19"/>
  <c r="AI171" i="19"/>
  <c r="AJ171" i="19"/>
  <c r="AH172" i="19"/>
  <c r="AI172" i="19"/>
  <c r="AJ172" i="19"/>
  <c r="AH173" i="19"/>
  <c r="AI173" i="19"/>
  <c r="AJ173" i="19"/>
  <c r="AH174" i="19"/>
  <c r="AI174" i="19"/>
  <c r="AJ174" i="19"/>
  <c r="AH175" i="19"/>
  <c r="AI175" i="19"/>
  <c r="AJ175" i="19"/>
  <c r="AH176" i="19"/>
  <c r="AI176" i="19"/>
  <c r="AJ176" i="19"/>
  <c r="AH177" i="19"/>
  <c r="AI177" i="19"/>
  <c r="AJ177" i="19"/>
  <c r="AH178" i="19"/>
  <c r="AI178" i="19"/>
  <c r="AJ178" i="19"/>
  <c r="AH179" i="19"/>
  <c r="AI179" i="19"/>
  <c r="AJ179" i="19"/>
  <c r="AH180" i="19"/>
  <c r="AI180" i="19"/>
  <c r="AJ180" i="19"/>
  <c r="AH181" i="19"/>
  <c r="AI181" i="19"/>
  <c r="AJ181" i="19"/>
  <c r="AH182" i="19"/>
  <c r="AI182" i="19"/>
  <c r="AJ182" i="19"/>
  <c r="AH183" i="19"/>
  <c r="AI183" i="19"/>
  <c r="AJ183" i="19"/>
  <c r="AH184" i="19"/>
  <c r="AI184" i="19"/>
  <c r="AJ184" i="19"/>
  <c r="AH185" i="19"/>
  <c r="AI185" i="19"/>
  <c r="AJ185" i="19"/>
  <c r="AH186" i="19"/>
  <c r="AI186" i="19"/>
  <c r="AJ186" i="19"/>
  <c r="AH187" i="19"/>
  <c r="AI187" i="19"/>
  <c r="AJ187" i="19"/>
  <c r="AH188" i="19"/>
  <c r="AI188" i="19"/>
  <c r="AJ188" i="19"/>
  <c r="AH189" i="19"/>
  <c r="AI189" i="19"/>
  <c r="AJ189" i="19"/>
  <c r="AH190" i="19"/>
  <c r="AI190" i="19"/>
  <c r="AJ190" i="19"/>
  <c r="AH191" i="19"/>
  <c r="AI191" i="19"/>
  <c r="AJ191" i="19"/>
  <c r="AH192" i="19"/>
  <c r="AI192" i="19"/>
  <c r="AJ192" i="19"/>
  <c r="AH193" i="19"/>
  <c r="AI193" i="19"/>
  <c r="AJ193" i="19"/>
  <c r="AH194" i="19"/>
  <c r="AI194" i="19"/>
  <c r="AJ194" i="19"/>
  <c r="AH195" i="19"/>
  <c r="AI195" i="19"/>
  <c r="AJ195" i="19"/>
  <c r="AH196" i="19"/>
  <c r="AI196" i="19"/>
  <c r="AJ196" i="19"/>
  <c r="AH197" i="19"/>
  <c r="AI197" i="19"/>
  <c r="AJ197" i="19"/>
  <c r="AH198" i="19"/>
  <c r="AI198" i="19"/>
  <c r="AJ198" i="19"/>
  <c r="AH199" i="19"/>
  <c r="AI199" i="19"/>
  <c r="AJ199" i="19"/>
  <c r="AH200" i="19"/>
  <c r="AI200" i="19"/>
  <c r="AJ200" i="19"/>
  <c r="AH201" i="19"/>
  <c r="AI201" i="19"/>
  <c r="AJ201" i="19"/>
  <c r="AH202" i="19"/>
  <c r="AI202" i="19"/>
  <c r="AJ202" i="19"/>
  <c r="AH203" i="19"/>
  <c r="AI203" i="19"/>
  <c r="AJ203" i="19"/>
  <c r="AH204" i="19"/>
  <c r="AI204" i="19"/>
  <c r="AJ204" i="19"/>
  <c r="AH205" i="19"/>
  <c r="AI205" i="19"/>
  <c r="AJ205" i="19"/>
  <c r="AH206" i="19"/>
  <c r="AI206" i="19"/>
  <c r="AJ206" i="19"/>
  <c r="AH207" i="19"/>
  <c r="AI207" i="19"/>
  <c r="AJ207" i="19"/>
  <c r="AH208" i="19"/>
  <c r="AI208" i="19"/>
  <c r="AJ208" i="19"/>
  <c r="AH209" i="19"/>
  <c r="AI209" i="19"/>
  <c r="AJ209" i="19"/>
  <c r="AH210" i="19"/>
  <c r="AI210" i="19"/>
  <c r="AJ210" i="19"/>
  <c r="AH211" i="19"/>
  <c r="AI211" i="19"/>
  <c r="AJ211" i="19"/>
  <c r="AH212" i="19"/>
  <c r="AI212" i="19"/>
  <c r="AJ212" i="19"/>
  <c r="AH213" i="19"/>
  <c r="AI213" i="19"/>
  <c r="AJ213" i="19"/>
  <c r="AH214" i="19"/>
  <c r="AI214" i="19"/>
  <c r="AJ214" i="19"/>
  <c r="AH215" i="19"/>
  <c r="AI215" i="19"/>
  <c r="AJ215" i="19"/>
  <c r="AH216" i="19"/>
  <c r="AI216" i="19"/>
  <c r="AJ216" i="19"/>
  <c r="AH217" i="19"/>
  <c r="AI217" i="19"/>
  <c r="AJ217" i="19"/>
  <c r="AH218" i="19"/>
  <c r="AI218" i="19"/>
  <c r="AJ218" i="19"/>
  <c r="AH219" i="19"/>
  <c r="AI219" i="19"/>
  <c r="AJ219" i="19"/>
  <c r="AH220" i="19"/>
  <c r="AI220" i="19"/>
  <c r="AJ220" i="19"/>
  <c r="AH221" i="19"/>
  <c r="AI221" i="19"/>
  <c r="AJ221" i="19"/>
  <c r="AH222" i="19"/>
  <c r="AI222" i="19"/>
  <c r="AJ222" i="19"/>
  <c r="AH223" i="19"/>
  <c r="AI223" i="19"/>
  <c r="AJ223" i="19"/>
  <c r="AH224" i="19"/>
  <c r="AI224" i="19"/>
  <c r="AJ224" i="19"/>
  <c r="AH225" i="19"/>
  <c r="AI225" i="19"/>
  <c r="AJ225" i="19"/>
  <c r="AH226" i="19"/>
  <c r="AI226" i="19"/>
  <c r="AJ226" i="19"/>
  <c r="AH227" i="19"/>
  <c r="AI227" i="19"/>
  <c r="AJ227" i="19"/>
  <c r="AH228" i="19"/>
  <c r="AI228" i="19"/>
  <c r="AJ228" i="19"/>
  <c r="AH229" i="19"/>
  <c r="AI229" i="19"/>
  <c r="AJ229" i="19"/>
  <c r="AH230" i="19"/>
  <c r="AI230" i="19"/>
  <c r="AJ230" i="19"/>
  <c r="AH231" i="19"/>
  <c r="AI231" i="19"/>
  <c r="AJ231" i="19"/>
  <c r="AH232" i="19"/>
  <c r="AI232" i="19"/>
  <c r="AJ232" i="19"/>
  <c r="AH233" i="19"/>
  <c r="AI233" i="19"/>
  <c r="AJ233" i="19"/>
  <c r="AH234" i="19"/>
  <c r="AI234" i="19"/>
  <c r="AJ234" i="19"/>
  <c r="AH235" i="19"/>
  <c r="AI235" i="19"/>
  <c r="AJ235" i="19"/>
  <c r="AH236" i="19"/>
  <c r="AI236" i="19"/>
  <c r="AJ236" i="19"/>
  <c r="AH237" i="19"/>
  <c r="AI237" i="19"/>
  <c r="AJ237" i="19"/>
  <c r="AH238" i="19"/>
  <c r="AI238" i="19"/>
  <c r="AJ238" i="19"/>
  <c r="AH239" i="19"/>
  <c r="AI239" i="19"/>
  <c r="AJ239" i="19"/>
  <c r="AH240" i="19"/>
  <c r="AI240" i="19"/>
  <c r="AJ240" i="19"/>
  <c r="AH241" i="19"/>
  <c r="AI241" i="19"/>
  <c r="AJ241" i="19"/>
  <c r="AH242" i="19"/>
  <c r="AI242" i="19"/>
  <c r="AJ242" i="19"/>
  <c r="AH243" i="19"/>
  <c r="AI243" i="19"/>
  <c r="AJ243" i="19"/>
  <c r="AH244" i="19"/>
  <c r="AI244" i="19"/>
  <c r="AJ244" i="19"/>
  <c r="AH245" i="19"/>
  <c r="AI245" i="19"/>
  <c r="AJ245" i="19"/>
  <c r="AH246" i="19"/>
  <c r="AI246" i="19"/>
  <c r="AJ246" i="19"/>
  <c r="AH247" i="19"/>
  <c r="AI247" i="19"/>
  <c r="AJ247" i="19"/>
  <c r="AH248" i="19"/>
  <c r="AI248" i="19"/>
  <c r="AJ248" i="19"/>
  <c r="AH249" i="19"/>
  <c r="AI249" i="19"/>
  <c r="AJ249" i="19"/>
  <c r="AH250" i="19"/>
  <c r="AI250" i="19"/>
  <c r="AJ250" i="19"/>
  <c r="AH251" i="19"/>
  <c r="AI251" i="19"/>
  <c r="AJ251" i="19"/>
  <c r="AH252" i="19"/>
  <c r="AI252" i="19"/>
  <c r="AJ252" i="19"/>
  <c r="AH253" i="19"/>
  <c r="AI253" i="19"/>
  <c r="AJ253" i="19"/>
  <c r="AH254" i="19"/>
  <c r="AI254" i="19"/>
  <c r="AJ254" i="19"/>
  <c r="AH255" i="19"/>
  <c r="AI255" i="19"/>
  <c r="AJ255" i="19"/>
  <c r="AH256" i="19"/>
  <c r="AI256" i="19"/>
  <c r="AJ256" i="19"/>
  <c r="AH6" i="19"/>
  <c r="AI6" i="19"/>
  <c r="AJ6" i="19"/>
  <c r="AF7" i="19"/>
  <c r="AF8" i="19"/>
  <c r="AF9" i="19"/>
  <c r="AF10" i="19"/>
  <c r="AF11" i="19"/>
  <c r="AF12" i="19"/>
  <c r="AF13" i="19"/>
  <c r="AF14" i="19"/>
  <c r="AF15" i="19"/>
  <c r="AF16" i="19"/>
  <c r="AF17" i="19"/>
  <c r="AF18" i="19"/>
  <c r="AF19" i="19"/>
  <c r="AF20" i="19"/>
  <c r="AF21" i="19"/>
  <c r="AF22" i="19"/>
  <c r="AF23" i="19"/>
  <c r="AF24" i="19"/>
  <c r="AF25" i="19"/>
  <c r="AF26" i="19"/>
  <c r="AF27" i="19"/>
  <c r="AF28" i="19"/>
  <c r="AF29" i="19"/>
  <c r="AF30" i="19"/>
  <c r="AF31" i="19"/>
  <c r="AF32" i="19"/>
  <c r="AF33" i="19"/>
  <c r="AF34" i="19"/>
  <c r="AF35" i="19"/>
  <c r="AF36" i="19"/>
  <c r="AF37" i="19"/>
  <c r="AF38" i="19"/>
  <c r="AF39" i="19"/>
  <c r="AF40" i="19"/>
  <c r="AF41" i="19"/>
  <c r="AF42" i="19"/>
  <c r="AF43" i="19"/>
  <c r="AF44" i="19"/>
  <c r="AF45" i="19"/>
  <c r="AF46" i="19"/>
  <c r="AF47" i="19"/>
  <c r="AF48" i="19"/>
  <c r="AF49" i="19"/>
  <c r="AF50" i="19"/>
  <c r="AF51" i="19"/>
  <c r="AF52" i="19"/>
  <c r="AF53" i="19"/>
  <c r="AF54" i="19"/>
  <c r="AF55" i="19"/>
  <c r="AF56" i="19"/>
  <c r="AF57" i="19"/>
  <c r="AF58" i="19"/>
  <c r="AF59" i="19"/>
  <c r="AF60" i="19"/>
  <c r="AF61" i="19"/>
  <c r="AF62" i="19"/>
  <c r="AF63" i="19"/>
  <c r="AF64" i="19"/>
  <c r="AF65" i="19"/>
  <c r="AF66" i="19"/>
  <c r="AF67" i="19"/>
  <c r="AF68" i="19"/>
  <c r="AF69" i="19"/>
  <c r="AF70" i="19"/>
  <c r="AF71" i="19"/>
  <c r="AF72" i="19"/>
  <c r="AF73" i="19"/>
  <c r="AF74" i="19"/>
  <c r="AF75" i="19"/>
  <c r="AF76" i="19"/>
  <c r="AF77" i="19"/>
  <c r="AF78" i="19"/>
  <c r="AF79" i="19"/>
  <c r="AF80" i="19"/>
  <c r="AF81" i="19"/>
  <c r="AF82" i="19"/>
  <c r="AF83" i="19"/>
  <c r="AF84" i="19"/>
  <c r="AF85" i="19"/>
  <c r="AF86" i="19"/>
  <c r="AF87" i="19"/>
  <c r="AF88" i="19"/>
  <c r="AF89" i="19"/>
  <c r="AF90" i="19"/>
  <c r="AF91" i="19"/>
  <c r="AF92" i="19"/>
  <c r="AF93" i="19"/>
  <c r="AF94" i="19"/>
  <c r="AF95" i="19"/>
  <c r="AF96" i="19"/>
  <c r="AF97" i="19"/>
  <c r="AF98" i="19"/>
  <c r="AF99" i="19"/>
  <c r="AF100" i="19"/>
  <c r="AF101" i="19"/>
  <c r="AF102" i="19"/>
  <c r="AF103" i="19"/>
  <c r="AF104" i="19"/>
  <c r="AF105" i="19"/>
  <c r="AF106" i="19"/>
  <c r="AF107" i="19"/>
  <c r="AF108" i="19"/>
  <c r="AF109" i="19"/>
  <c r="AF110" i="19"/>
  <c r="AF111" i="19"/>
  <c r="AF112" i="19"/>
  <c r="AF113" i="19"/>
  <c r="AF114" i="19"/>
  <c r="AF115" i="19"/>
  <c r="AF116" i="19"/>
  <c r="AF117" i="19"/>
  <c r="AF118" i="19"/>
  <c r="AF119" i="19"/>
  <c r="AF120" i="19"/>
  <c r="AF121" i="19"/>
  <c r="AF122" i="19"/>
  <c r="AF123" i="19"/>
  <c r="AF124" i="19"/>
  <c r="AF125" i="19"/>
  <c r="AF126" i="19"/>
  <c r="AF127" i="19"/>
  <c r="AF128" i="19"/>
  <c r="AF129" i="19"/>
  <c r="AF130" i="19"/>
  <c r="AF131" i="19"/>
  <c r="AF132" i="19"/>
  <c r="AF133" i="19"/>
  <c r="AF134" i="19"/>
  <c r="AF135" i="19"/>
  <c r="AF136" i="19"/>
  <c r="AF137" i="19"/>
  <c r="AF138" i="19"/>
  <c r="AF139" i="19"/>
  <c r="AF140" i="19"/>
  <c r="AF141" i="19"/>
  <c r="AF142" i="19"/>
  <c r="AF143" i="19"/>
  <c r="AF144" i="19"/>
  <c r="AF145" i="19"/>
  <c r="AF146" i="19"/>
  <c r="AF147" i="19"/>
  <c r="AF148" i="19"/>
  <c r="AF149" i="19"/>
  <c r="AF150" i="19"/>
  <c r="AF151" i="19"/>
  <c r="AF152" i="19"/>
  <c r="AF153" i="19"/>
  <c r="AF154" i="19"/>
  <c r="AF155" i="19"/>
  <c r="AF156" i="19"/>
  <c r="AF157" i="19"/>
  <c r="AF158" i="19"/>
  <c r="AF159" i="19"/>
  <c r="AF160" i="19"/>
  <c r="AF161" i="19"/>
  <c r="AF162" i="19"/>
  <c r="AF163" i="19"/>
  <c r="AF164" i="19"/>
  <c r="AF165" i="19"/>
  <c r="AF166" i="19"/>
  <c r="AF167" i="19"/>
  <c r="AF168" i="19"/>
  <c r="AF169" i="19"/>
  <c r="AF170" i="19"/>
  <c r="AF171" i="19"/>
  <c r="AF172" i="19"/>
  <c r="AF173" i="19"/>
  <c r="AF174" i="19"/>
  <c r="AF175" i="19"/>
  <c r="AF176" i="19"/>
  <c r="AF177" i="19"/>
  <c r="AF178" i="19"/>
  <c r="AF179" i="19"/>
  <c r="AF180" i="19"/>
  <c r="AF181" i="19"/>
  <c r="AF182" i="19"/>
  <c r="AF183" i="19"/>
  <c r="AF184" i="19"/>
  <c r="AF185" i="19"/>
  <c r="AF186" i="19"/>
  <c r="AF187" i="19"/>
  <c r="AF188" i="19"/>
  <c r="AF189" i="19"/>
  <c r="AF190" i="19"/>
  <c r="AF191" i="19"/>
  <c r="AF192" i="19"/>
  <c r="AF193" i="19"/>
  <c r="AF194" i="19"/>
  <c r="AF195" i="19"/>
  <c r="AF196" i="19"/>
  <c r="AF197" i="19"/>
  <c r="AF198" i="19"/>
  <c r="AF199" i="19"/>
  <c r="AF200" i="19"/>
  <c r="AF201" i="19"/>
  <c r="AF202" i="19"/>
  <c r="AF203" i="19"/>
  <c r="AF204" i="19"/>
  <c r="AF205" i="19"/>
  <c r="AF206" i="19"/>
  <c r="AF207" i="19"/>
  <c r="AF208" i="19"/>
  <c r="AF209" i="19"/>
  <c r="AF210" i="19"/>
  <c r="AF211" i="19"/>
  <c r="AF212" i="19"/>
  <c r="AF213" i="19"/>
  <c r="AF214" i="19"/>
  <c r="AF215" i="19"/>
  <c r="AF216" i="19"/>
  <c r="AF217" i="19"/>
  <c r="AF218" i="19"/>
  <c r="AF219" i="19"/>
  <c r="AF220" i="19"/>
  <c r="AF221" i="19"/>
  <c r="AF222" i="19"/>
  <c r="AF223" i="19"/>
  <c r="AF224" i="19"/>
  <c r="AF225" i="19"/>
  <c r="AF226" i="19"/>
  <c r="AF227" i="19"/>
  <c r="AF228" i="19"/>
  <c r="AF229" i="19"/>
  <c r="AF230" i="19"/>
  <c r="AF231" i="19"/>
  <c r="AF232" i="19"/>
  <c r="AF233" i="19"/>
  <c r="AF234" i="19"/>
  <c r="AF235" i="19"/>
  <c r="AF236" i="19"/>
  <c r="AF237" i="19"/>
  <c r="AF238" i="19"/>
  <c r="AF239" i="19"/>
  <c r="AF240" i="19"/>
  <c r="AF241" i="19"/>
  <c r="AF242" i="19"/>
  <c r="AF243" i="19"/>
  <c r="AF244" i="19"/>
  <c r="AF245" i="19"/>
  <c r="AF246" i="19"/>
  <c r="AF247" i="19"/>
  <c r="AF248" i="19"/>
  <c r="AF249" i="19"/>
  <c r="AF250" i="19"/>
  <c r="AF251" i="19"/>
  <c r="AF252" i="19"/>
  <c r="AF253" i="19"/>
  <c r="AF254" i="19"/>
  <c r="AF255" i="19"/>
  <c r="AF256" i="19"/>
  <c r="AF6" i="19"/>
  <c r="AS97" i="19" l="1"/>
  <c r="AW7" i="19"/>
  <c r="AW4" i="19"/>
  <c r="AW6" i="19"/>
  <c r="AV7" i="19"/>
  <c r="AV4" i="19"/>
  <c r="AV6" i="19"/>
  <c r="AS7" i="19"/>
  <c r="AS4" i="19"/>
  <c r="AS6" i="19"/>
  <c r="AU7" i="19"/>
  <c r="AU4" i="19"/>
  <c r="AU6" i="19"/>
  <c r="AY35" i="19"/>
  <c r="AY68" i="19"/>
  <c r="AD6" i="19"/>
  <c r="AD7" i="19"/>
  <c r="AP7" i="19" s="1"/>
  <c r="AD8" i="19"/>
  <c r="AD9" i="19"/>
  <c r="AD10" i="19"/>
  <c r="AP10" i="19" s="1"/>
  <c r="AD11" i="19"/>
  <c r="AD12" i="19"/>
  <c r="AD13" i="19"/>
  <c r="AD14" i="19"/>
  <c r="AP14" i="19" s="1"/>
  <c r="AD15" i="19"/>
  <c r="AP15" i="19" s="1"/>
  <c r="AD16" i="19"/>
  <c r="AD17" i="19"/>
  <c r="AD18" i="19"/>
  <c r="AP18" i="19" s="1"/>
  <c r="AD19" i="19"/>
  <c r="AD20" i="19"/>
  <c r="AD21" i="19"/>
  <c r="AD22" i="19"/>
  <c r="AP22" i="19" s="1"/>
  <c r="AD23" i="19"/>
  <c r="AP23" i="19" s="1"/>
  <c r="AD24" i="19"/>
  <c r="AD25" i="19"/>
  <c r="AD26" i="19"/>
  <c r="AP26" i="19" s="1"/>
  <c r="AD27" i="19"/>
  <c r="AD28" i="19"/>
  <c r="AD29" i="19"/>
  <c r="AD30" i="19"/>
  <c r="AP30" i="19" s="1"/>
  <c r="AD31" i="19"/>
  <c r="AP31" i="19" s="1"/>
  <c r="AD32" i="19"/>
  <c r="AD33" i="19"/>
  <c r="AD34" i="19"/>
  <c r="AP34" i="19" s="1"/>
  <c r="AD35" i="19"/>
  <c r="AD36" i="19"/>
  <c r="AD37" i="19"/>
  <c r="AD38" i="19"/>
  <c r="AP38" i="19" s="1"/>
  <c r="AD39" i="19"/>
  <c r="AP39" i="19" s="1"/>
  <c r="AD40" i="19"/>
  <c r="AP40" i="19" s="1"/>
  <c r="AD41" i="19"/>
  <c r="AD42" i="19"/>
  <c r="AP42" i="19" s="1"/>
  <c r="AD43" i="19"/>
  <c r="AD44" i="19"/>
  <c r="AD45" i="19"/>
  <c r="AD46" i="19"/>
  <c r="AP46" i="19" s="1"/>
  <c r="AD47" i="19"/>
  <c r="AP47" i="19" s="1"/>
  <c r="AD48" i="19"/>
  <c r="AP48" i="19" s="1"/>
  <c r="AD49" i="19"/>
  <c r="AD50" i="19"/>
  <c r="AP50" i="19" s="1"/>
  <c r="AD51" i="19"/>
  <c r="AD52" i="19"/>
  <c r="AD53" i="19"/>
  <c r="AD54" i="19"/>
  <c r="AP54" i="19" s="1"/>
  <c r="AD55" i="19"/>
  <c r="AP55" i="19" s="1"/>
  <c r="AD56" i="19"/>
  <c r="AP56" i="19" s="1"/>
  <c r="AD57" i="19"/>
  <c r="AD58" i="19"/>
  <c r="AP58" i="19" s="1"/>
  <c r="AD59" i="19"/>
  <c r="AD60" i="19"/>
  <c r="AD61" i="19"/>
  <c r="AD62" i="19"/>
  <c r="AP62" i="19" s="1"/>
  <c r="AD63" i="19"/>
  <c r="AP63" i="19" s="1"/>
  <c r="AD64" i="19"/>
  <c r="AP64" i="19" s="1"/>
  <c r="AD65" i="19"/>
  <c r="AD66" i="19"/>
  <c r="AP66" i="19" s="1"/>
  <c r="AD67" i="19"/>
  <c r="AD68" i="19"/>
  <c r="AD69" i="19"/>
  <c r="AD70" i="19"/>
  <c r="AP70" i="19" s="1"/>
  <c r="AD71" i="19"/>
  <c r="AP71" i="19" s="1"/>
  <c r="AD72" i="19"/>
  <c r="AP72" i="19" s="1"/>
  <c r="AD73" i="19"/>
  <c r="AD74" i="19"/>
  <c r="AP74" i="19" s="1"/>
  <c r="AD75" i="19"/>
  <c r="AD76" i="19"/>
  <c r="AD77" i="19"/>
  <c r="AD78" i="19"/>
  <c r="AP78" i="19" s="1"/>
  <c r="AD79" i="19"/>
  <c r="AP79" i="19" s="1"/>
  <c r="AD80" i="19"/>
  <c r="AP80" i="19" s="1"/>
  <c r="AD81" i="19"/>
  <c r="AD82" i="19"/>
  <c r="AP82" i="19" s="1"/>
  <c r="AD83" i="19"/>
  <c r="AD84" i="19"/>
  <c r="AD85" i="19"/>
  <c r="AD86" i="19"/>
  <c r="AP86" i="19" s="1"/>
  <c r="AD87" i="19"/>
  <c r="AP87" i="19" s="1"/>
  <c r="AD88" i="19"/>
  <c r="AP88" i="19" s="1"/>
  <c r="AD89" i="19"/>
  <c r="AD90" i="19"/>
  <c r="AP90" i="19" s="1"/>
  <c r="AD91" i="19"/>
  <c r="AD92" i="19"/>
  <c r="AD93" i="19"/>
  <c r="AD94" i="19"/>
  <c r="AP94" i="19" s="1"/>
  <c r="AD95" i="19"/>
  <c r="AP95" i="19" s="1"/>
  <c r="AD96" i="19"/>
  <c r="AD97" i="19"/>
  <c r="AD98" i="19"/>
  <c r="AP98" i="19" s="1"/>
  <c r="AD99" i="19"/>
  <c r="AD100" i="19"/>
  <c r="AD101" i="19"/>
  <c r="AD102" i="19"/>
  <c r="AP102" i="19" s="1"/>
  <c r="AD103" i="19"/>
  <c r="AP103" i="19" s="1"/>
  <c r="AD104" i="19"/>
  <c r="AD105" i="19"/>
  <c r="AD106" i="19"/>
  <c r="AP106" i="19" s="1"/>
  <c r="AD107" i="19"/>
  <c r="AD108" i="19"/>
  <c r="AD109" i="19"/>
  <c r="AP109" i="19" s="1"/>
  <c r="AD110" i="19"/>
  <c r="AP110" i="19" s="1"/>
  <c r="AD111" i="19"/>
  <c r="AP111" i="19" s="1"/>
  <c r="AD112" i="19"/>
  <c r="AP112" i="19" s="1"/>
  <c r="AD113" i="19"/>
  <c r="AD114" i="19"/>
  <c r="AP114" i="19" s="1"/>
  <c r="AD115" i="19"/>
  <c r="AD116" i="19"/>
  <c r="AD117" i="19"/>
  <c r="AP117" i="19" s="1"/>
  <c r="AD118" i="19"/>
  <c r="AP118" i="19" s="1"/>
  <c r="AD119" i="19"/>
  <c r="AP119" i="19" s="1"/>
  <c r="AD120" i="19"/>
  <c r="AP120" i="19" s="1"/>
  <c r="AD121" i="19"/>
  <c r="AD122" i="19"/>
  <c r="AP122" i="19" s="1"/>
  <c r="AD123" i="19"/>
  <c r="AD124" i="19"/>
  <c r="AD125" i="19"/>
  <c r="AP125" i="19" s="1"/>
  <c r="AD126" i="19"/>
  <c r="AP126" i="19" s="1"/>
  <c r="AD127" i="19"/>
  <c r="AP127" i="19" s="1"/>
  <c r="AD128" i="19"/>
  <c r="AP128" i="19" s="1"/>
  <c r="AD129" i="19"/>
  <c r="AD130" i="19"/>
  <c r="AP130" i="19" s="1"/>
  <c r="AD131" i="19"/>
  <c r="AD132" i="19"/>
  <c r="AD133" i="19"/>
  <c r="AP133" i="19" s="1"/>
  <c r="AD134" i="19"/>
  <c r="AP134" i="19" s="1"/>
  <c r="AD135" i="19"/>
  <c r="AP135" i="19" s="1"/>
  <c r="AD136" i="19"/>
  <c r="AP136" i="19" s="1"/>
  <c r="AD137" i="19"/>
  <c r="AD138" i="19"/>
  <c r="AP138" i="19" s="1"/>
  <c r="AD139" i="19"/>
  <c r="AD140" i="19"/>
  <c r="AD141" i="19"/>
  <c r="AP141" i="19" s="1"/>
  <c r="AD142" i="19"/>
  <c r="AP142" i="19" s="1"/>
  <c r="AD143" i="19"/>
  <c r="AP143" i="19" s="1"/>
  <c r="AD144" i="19"/>
  <c r="AP144" i="19" s="1"/>
  <c r="AD145" i="19"/>
  <c r="AD146" i="19"/>
  <c r="AP146" i="19" s="1"/>
  <c r="AD147" i="19"/>
  <c r="AD148" i="19"/>
  <c r="AD149" i="19"/>
  <c r="AP149" i="19" s="1"/>
  <c r="AD150" i="19"/>
  <c r="AP150" i="19" s="1"/>
  <c r="AD151" i="19"/>
  <c r="AP151" i="19" s="1"/>
  <c r="AD152" i="19"/>
  <c r="AP152" i="19" s="1"/>
  <c r="AD153" i="19"/>
  <c r="AD154" i="19"/>
  <c r="AP154" i="19" s="1"/>
  <c r="AD155" i="19"/>
  <c r="AD156" i="19"/>
  <c r="AD157" i="19"/>
  <c r="AP157" i="19" s="1"/>
  <c r="AD158" i="19"/>
  <c r="AP158" i="19" s="1"/>
  <c r="AD159" i="19"/>
  <c r="AP159" i="19" s="1"/>
  <c r="AD160" i="19"/>
  <c r="AP160" i="19" s="1"/>
  <c r="AD161" i="19"/>
  <c r="AD162" i="19"/>
  <c r="AP162" i="19" s="1"/>
  <c r="AD163" i="19"/>
  <c r="AD164" i="19"/>
  <c r="AD165" i="19"/>
  <c r="AP165" i="19" s="1"/>
  <c r="AD166" i="19"/>
  <c r="AP166" i="19" s="1"/>
  <c r="AD167" i="19"/>
  <c r="AP167" i="19" s="1"/>
  <c r="AD168" i="19"/>
  <c r="AD169" i="19"/>
  <c r="AP169" i="19" s="1"/>
  <c r="AD170" i="19"/>
  <c r="AP170" i="19" s="1"/>
  <c r="AD171" i="19"/>
  <c r="AD172" i="19"/>
  <c r="AD173" i="19"/>
  <c r="AP173" i="19" s="1"/>
  <c r="AD174" i="19"/>
  <c r="AD175" i="19"/>
  <c r="AP175" i="19" s="1"/>
  <c r="AD176" i="19"/>
  <c r="AD177" i="19"/>
  <c r="AP177" i="19" s="1"/>
  <c r="AD178" i="19"/>
  <c r="AP178" i="19" s="1"/>
  <c r="AD179" i="19"/>
  <c r="AD180" i="19"/>
  <c r="AD181" i="19"/>
  <c r="AP181" i="19" s="1"/>
  <c r="AD182" i="19"/>
  <c r="AP182" i="19" s="1"/>
  <c r="AD183" i="19"/>
  <c r="AP183" i="19" s="1"/>
  <c r="AD184" i="19"/>
  <c r="AD185" i="19"/>
  <c r="AP185" i="19" s="1"/>
  <c r="AD186" i="19"/>
  <c r="AP186" i="19" s="1"/>
  <c r="AD187" i="19"/>
  <c r="AD188" i="19"/>
  <c r="AD189" i="19"/>
  <c r="AP189" i="19" s="1"/>
  <c r="AD190" i="19"/>
  <c r="AP190" i="19" s="1"/>
  <c r="AD191" i="19"/>
  <c r="AP191" i="19" s="1"/>
  <c r="AD192" i="19"/>
  <c r="AD193" i="19"/>
  <c r="AP193" i="19" s="1"/>
  <c r="AD194" i="19"/>
  <c r="AP194" i="19" s="1"/>
  <c r="AD195" i="19"/>
  <c r="AD196" i="19"/>
  <c r="AD197" i="19"/>
  <c r="AP197" i="19" s="1"/>
  <c r="AD198" i="19"/>
  <c r="AP198" i="19" s="1"/>
  <c r="AD199" i="19"/>
  <c r="AP199" i="19" s="1"/>
  <c r="AD200" i="19"/>
  <c r="AP200" i="19" s="1"/>
  <c r="AD201" i="19"/>
  <c r="AP201" i="19" s="1"/>
  <c r="AD202" i="19"/>
  <c r="AP202" i="19" s="1"/>
  <c r="AD203" i="19"/>
  <c r="AD204" i="19"/>
  <c r="AD205" i="19"/>
  <c r="AP205" i="19" s="1"/>
  <c r="AD206" i="19"/>
  <c r="AP206" i="19" s="1"/>
  <c r="AD207" i="19"/>
  <c r="AP207" i="19" s="1"/>
  <c r="AD208" i="19"/>
  <c r="AP208" i="19" s="1"/>
  <c r="AD209" i="19"/>
  <c r="AD210" i="19"/>
  <c r="AP210" i="19" s="1"/>
  <c r="AD211" i="19"/>
  <c r="AD212" i="19"/>
  <c r="AD213" i="19"/>
  <c r="AP213" i="19" s="1"/>
  <c r="AD214" i="19"/>
  <c r="AP214" i="19" s="1"/>
  <c r="AD215" i="19"/>
  <c r="AD216" i="19"/>
  <c r="AP216" i="19" s="1"/>
  <c r="AD217" i="19"/>
  <c r="AD218" i="19"/>
  <c r="AP218" i="19" s="1"/>
  <c r="AD219" i="19"/>
  <c r="AD220" i="19"/>
  <c r="AD221" i="19"/>
  <c r="AP221" i="19" s="1"/>
  <c r="AD222" i="19"/>
  <c r="AD223" i="19"/>
  <c r="AP223" i="19" s="1"/>
  <c r="AD224" i="19"/>
  <c r="AP224" i="19" s="1"/>
  <c r="AD225" i="19"/>
  <c r="AD226" i="19"/>
  <c r="AP226" i="19" s="1"/>
  <c r="AD227" i="19"/>
  <c r="AD228" i="19"/>
  <c r="AD229" i="19"/>
  <c r="AP229" i="19" s="1"/>
  <c r="AD230" i="19"/>
  <c r="AP230" i="19" s="1"/>
  <c r="AD231" i="19"/>
  <c r="AP231" i="19" s="1"/>
  <c r="AD232" i="19"/>
  <c r="AP232" i="19" s="1"/>
  <c r="AD233" i="19"/>
  <c r="AD234" i="19"/>
  <c r="AP234" i="19" s="1"/>
  <c r="AD235" i="19"/>
  <c r="AD236" i="19"/>
  <c r="AD237" i="19"/>
  <c r="AP237" i="19" s="1"/>
  <c r="AD238" i="19"/>
  <c r="AP238" i="19" s="1"/>
  <c r="AD239" i="19"/>
  <c r="AP239" i="19" s="1"/>
  <c r="AD240" i="19"/>
  <c r="AP240" i="19" s="1"/>
  <c r="AD241" i="19"/>
  <c r="AD242" i="19"/>
  <c r="AP242" i="19" s="1"/>
  <c r="AD243" i="19"/>
  <c r="AD244" i="19"/>
  <c r="AD245" i="19"/>
  <c r="AP245" i="19" s="1"/>
  <c r="AD246" i="19"/>
  <c r="AP246" i="19" s="1"/>
  <c r="AD247" i="19"/>
  <c r="AP247" i="19" s="1"/>
  <c r="AD248" i="19"/>
  <c r="AP248" i="19" s="1"/>
  <c r="AD249" i="19"/>
  <c r="AD250" i="19"/>
  <c r="AP250" i="19" s="1"/>
  <c r="AD251" i="19"/>
  <c r="AD252" i="19"/>
  <c r="AD253" i="19"/>
  <c r="AP253" i="19" s="1"/>
  <c r="AD254" i="19"/>
  <c r="AP254" i="19" s="1"/>
  <c r="AD255" i="19"/>
  <c r="AP255" i="19" s="1"/>
  <c r="AD256" i="19"/>
  <c r="AP256" i="19" s="1"/>
  <c r="AD5" i="19"/>
  <c r="AC6" i="19"/>
  <c r="AO6" i="19" s="1"/>
  <c r="AC7" i="19"/>
  <c r="AC8" i="19"/>
  <c r="AC9" i="19"/>
  <c r="AO9" i="19" s="1"/>
  <c r="AC10" i="19"/>
  <c r="AO10" i="19" s="1"/>
  <c r="AC11" i="19"/>
  <c r="AO11" i="19" s="1"/>
  <c r="AC12" i="19"/>
  <c r="AO12" i="19" s="1"/>
  <c r="AC13" i="19"/>
  <c r="AC14" i="19"/>
  <c r="AO14" i="19" s="1"/>
  <c r="AC15" i="19"/>
  <c r="AC16" i="19"/>
  <c r="AC17" i="19"/>
  <c r="AO17" i="19" s="1"/>
  <c r="AC18" i="19"/>
  <c r="AO18" i="19" s="1"/>
  <c r="AC19" i="19"/>
  <c r="AO19" i="19" s="1"/>
  <c r="AC20" i="19"/>
  <c r="AO20" i="19" s="1"/>
  <c r="AC21" i="19"/>
  <c r="AC22" i="19"/>
  <c r="AO22" i="19" s="1"/>
  <c r="AC23" i="19"/>
  <c r="AC24" i="19"/>
  <c r="AC25" i="19"/>
  <c r="AO25" i="19" s="1"/>
  <c r="AC26" i="19"/>
  <c r="AO26" i="19" s="1"/>
  <c r="AC27" i="19"/>
  <c r="AO27" i="19" s="1"/>
  <c r="AC28" i="19"/>
  <c r="AO28" i="19" s="1"/>
  <c r="AC29" i="19"/>
  <c r="AC30" i="19"/>
  <c r="AO30" i="19" s="1"/>
  <c r="AC31" i="19"/>
  <c r="AC32" i="19"/>
  <c r="AC33" i="19"/>
  <c r="AC34" i="19"/>
  <c r="AO34" i="19" s="1"/>
  <c r="AC35" i="19"/>
  <c r="AO35" i="19" s="1"/>
  <c r="AC36" i="19"/>
  <c r="AO36" i="19" s="1"/>
  <c r="AC37" i="19"/>
  <c r="AC38" i="19"/>
  <c r="AO38" i="19" s="1"/>
  <c r="AC39" i="19"/>
  <c r="AC40" i="19"/>
  <c r="AC41" i="19"/>
  <c r="AO41" i="19" s="1"/>
  <c r="AC42" i="19"/>
  <c r="AO42" i="19" s="1"/>
  <c r="AC43" i="19"/>
  <c r="AO43" i="19" s="1"/>
  <c r="AC44" i="19"/>
  <c r="AO44" i="19" s="1"/>
  <c r="AC45" i="19"/>
  <c r="AC46" i="19"/>
  <c r="AO46" i="19" s="1"/>
  <c r="AC47" i="19"/>
  <c r="AC48" i="19"/>
  <c r="AC49" i="19"/>
  <c r="AC50" i="19"/>
  <c r="AO50" i="19" s="1"/>
  <c r="AC51" i="19"/>
  <c r="AO51" i="19" s="1"/>
  <c r="AC52" i="19"/>
  <c r="AO52" i="19" s="1"/>
  <c r="AC53" i="19"/>
  <c r="AC54" i="19"/>
  <c r="AO54" i="19" s="1"/>
  <c r="AC55" i="19"/>
  <c r="AC56" i="19"/>
  <c r="AC57" i="19"/>
  <c r="AO57" i="19" s="1"/>
  <c r="AC58" i="19"/>
  <c r="AO58" i="19" s="1"/>
  <c r="AC59" i="19"/>
  <c r="AO59" i="19" s="1"/>
  <c r="AC60" i="19"/>
  <c r="AO60" i="19" s="1"/>
  <c r="AC61" i="19"/>
  <c r="AC62" i="19"/>
  <c r="AO62" i="19" s="1"/>
  <c r="AC63" i="19"/>
  <c r="AC64" i="19"/>
  <c r="AC65" i="19"/>
  <c r="AC66" i="19"/>
  <c r="AO66" i="19" s="1"/>
  <c r="AC67" i="19"/>
  <c r="AO67" i="19" s="1"/>
  <c r="AC68" i="19"/>
  <c r="AO68" i="19" s="1"/>
  <c r="AC69" i="19"/>
  <c r="AC70" i="19"/>
  <c r="AO70" i="19" s="1"/>
  <c r="AC71" i="19"/>
  <c r="AC72" i="19"/>
  <c r="AC73" i="19"/>
  <c r="AO73" i="19" s="1"/>
  <c r="AC74" i="19"/>
  <c r="AO74" i="19" s="1"/>
  <c r="AC75" i="19"/>
  <c r="AO75" i="19" s="1"/>
  <c r="AC76" i="19"/>
  <c r="AO76" i="19" s="1"/>
  <c r="AC77" i="19"/>
  <c r="AC78" i="19"/>
  <c r="AO78" i="19" s="1"/>
  <c r="AC79" i="19"/>
  <c r="AC80" i="19"/>
  <c r="AC81" i="19"/>
  <c r="AO81" i="19" s="1"/>
  <c r="AC82" i="19"/>
  <c r="AO82" i="19" s="1"/>
  <c r="AC83" i="19"/>
  <c r="AO83" i="19" s="1"/>
  <c r="AC84" i="19"/>
  <c r="AO84" i="19" s="1"/>
  <c r="AC85" i="19"/>
  <c r="AC86" i="19"/>
  <c r="AO86" i="19" s="1"/>
  <c r="AC87" i="19"/>
  <c r="AC88" i="19"/>
  <c r="AC89" i="19"/>
  <c r="AO89" i="19" s="1"/>
  <c r="AC90" i="19"/>
  <c r="AO90" i="19" s="1"/>
  <c r="AC91" i="19"/>
  <c r="AO91" i="19" s="1"/>
  <c r="AC92" i="19"/>
  <c r="AO92" i="19" s="1"/>
  <c r="AC93" i="19"/>
  <c r="AC94" i="19"/>
  <c r="AO94" i="19" s="1"/>
  <c r="AC95" i="19"/>
  <c r="AC96" i="19"/>
  <c r="AC97" i="19"/>
  <c r="AO97" i="19" s="1"/>
  <c r="AC98" i="19"/>
  <c r="AO98" i="19" s="1"/>
  <c r="AC99" i="19"/>
  <c r="AO99" i="19" s="1"/>
  <c r="AC100" i="19"/>
  <c r="AO100" i="19" s="1"/>
  <c r="AC101" i="19"/>
  <c r="AO101" i="19" s="1"/>
  <c r="AC102" i="19"/>
  <c r="AO102" i="19" s="1"/>
  <c r="AC103" i="19"/>
  <c r="AC104" i="19"/>
  <c r="AC105" i="19"/>
  <c r="AO105" i="19" s="1"/>
  <c r="AC106" i="19"/>
  <c r="AO106" i="19" s="1"/>
  <c r="AC107" i="19"/>
  <c r="AO107" i="19" s="1"/>
  <c r="AC108" i="19"/>
  <c r="AO108" i="19" s="1"/>
  <c r="AC109" i="19"/>
  <c r="AC110" i="19"/>
  <c r="AO110" i="19" s="1"/>
  <c r="AC111" i="19"/>
  <c r="AC112" i="19"/>
  <c r="AC113" i="19"/>
  <c r="AC114" i="19"/>
  <c r="AO114" i="19" s="1"/>
  <c r="AC115" i="19"/>
  <c r="AO115" i="19" s="1"/>
  <c r="AC116" i="19"/>
  <c r="AO116" i="19" s="1"/>
  <c r="AC117" i="19"/>
  <c r="AC118" i="19"/>
  <c r="AO118" i="19" s="1"/>
  <c r="AC119" i="19"/>
  <c r="AC120" i="19"/>
  <c r="AC121" i="19"/>
  <c r="AC122" i="19"/>
  <c r="AO122" i="19" s="1"/>
  <c r="AC123" i="19"/>
  <c r="AO123" i="19" s="1"/>
  <c r="AC124" i="19"/>
  <c r="AO124" i="19" s="1"/>
  <c r="AC125" i="19"/>
  <c r="AO125" i="19" s="1"/>
  <c r="AC126" i="19"/>
  <c r="AO126" i="19" s="1"/>
  <c r="AC127" i="19"/>
  <c r="AC128" i="19"/>
  <c r="AC129" i="19"/>
  <c r="AC130" i="19"/>
  <c r="AO130" i="19" s="1"/>
  <c r="AC131" i="19"/>
  <c r="AO131" i="19" s="1"/>
  <c r="AC132" i="19"/>
  <c r="AO132" i="19" s="1"/>
  <c r="AC133" i="19"/>
  <c r="AC134" i="19"/>
  <c r="AO134" i="19" s="1"/>
  <c r="AC135" i="19"/>
  <c r="AC136" i="19"/>
  <c r="AC137" i="19"/>
  <c r="AO137" i="19" s="1"/>
  <c r="AC138" i="19"/>
  <c r="AO138" i="19" s="1"/>
  <c r="AC139" i="19"/>
  <c r="AO139" i="19" s="1"/>
  <c r="AC140" i="19"/>
  <c r="AO140" i="19" s="1"/>
  <c r="AC141" i="19"/>
  <c r="AC142" i="19"/>
  <c r="AO142" i="19" s="1"/>
  <c r="AC143" i="19"/>
  <c r="AC144" i="19"/>
  <c r="AC145" i="19"/>
  <c r="AC146" i="19"/>
  <c r="AO146" i="19" s="1"/>
  <c r="AC147" i="19"/>
  <c r="AO147" i="19" s="1"/>
  <c r="AC148" i="19"/>
  <c r="AO148" i="19" s="1"/>
  <c r="AC149" i="19"/>
  <c r="AC150" i="19"/>
  <c r="AO150" i="19" s="1"/>
  <c r="AC151" i="19"/>
  <c r="AC152" i="19"/>
  <c r="AC153" i="19"/>
  <c r="AC154" i="19"/>
  <c r="AO154" i="19" s="1"/>
  <c r="AC155" i="19"/>
  <c r="AO155" i="19" s="1"/>
  <c r="AC156" i="19"/>
  <c r="AO156" i="19" s="1"/>
  <c r="AC157" i="19"/>
  <c r="AC158" i="19"/>
  <c r="AO158" i="19" s="1"/>
  <c r="AC159" i="19"/>
  <c r="AC160" i="19"/>
  <c r="AC161" i="19"/>
  <c r="AC162" i="19"/>
  <c r="AO162" i="19" s="1"/>
  <c r="AC163" i="19"/>
  <c r="AO163" i="19" s="1"/>
  <c r="AC164" i="19"/>
  <c r="AO164" i="19" s="1"/>
  <c r="AC165" i="19"/>
  <c r="AC166" i="19"/>
  <c r="AO166" i="19" s="1"/>
  <c r="AC167" i="19"/>
  <c r="AC168" i="19"/>
  <c r="AC169" i="19"/>
  <c r="AC170" i="19"/>
  <c r="AO170" i="19" s="1"/>
  <c r="AC171" i="19"/>
  <c r="AO171" i="19" s="1"/>
  <c r="AC172" i="19"/>
  <c r="AO172" i="19" s="1"/>
  <c r="AC173" i="19"/>
  <c r="AC174" i="19"/>
  <c r="AO174" i="19" s="1"/>
  <c r="AC175" i="19"/>
  <c r="AC176" i="19"/>
  <c r="AC177" i="19"/>
  <c r="AC178" i="19"/>
  <c r="AO178" i="19" s="1"/>
  <c r="AC179" i="19"/>
  <c r="AO179" i="19" s="1"/>
  <c r="AC180" i="19"/>
  <c r="AO180" i="19" s="1"/>
  <c r="AC181" i="19"/>
  <c r="AC182" i="19"/>
  <c r="AO182" i="19" s="1"/>
  <c r="AC183" i="19"/>
  <c r="AC184" i="19"/>
  <c r="AC185" i="19"/>
  <c r="AC186" i="19"/>
  <c r="AO186" i="19" s="1"/>
  <c r="AC187" i="19"/>
  <c r="AO187" i="19" s="1"/>
  <c r="AC188" i="19"/>
  <c r="AO188" i="19" s="1"/>
  <c r="AC189" i="19"/>
  <c r="AC190" i="19"/>
  <c r="AO190" i="19" s="1"/>
  <c r="AC191" i="19"/>
  <c r="AC192" i="19"/>
  <c r="AC193" i="19"/>
  <c r="AO193" i="19" s="1"/>
  <c r="AC194" i="19"/>
  <c r="AO194" i="19" s="1"/>
  <c r="AC195" i="19"/>
  <c r="AO195" i="19" s="1"/>
  <c r="AC196" i="19"/>
  <c r="AO196" i="19" s="1"/>
  <c r="AC197" i="19"/>
  <c r="AC198" i="19"/>
  <c r="AO198" i="19" s="1"/>
  <c r="AC199" i="19"/>
  <c r="AC200" i="19"/>
  <c r="AC201" i="19"/>
  <c r="AO201" i="19" s="1"/>
  <c r="AC202" i="19"/>
  <c r="AO202" i="19" s="1"/>
  <c r="AC203" i="19"/>
  <c r="AO203" i="19" s="1"/>
  <c r="AC204" i="19"/>
  <c r="AO204" i="19" s="1"/>
  <c r="AC205" i="19"/>
  <c r="AO205" i="19" s="1"/>
  <c r="AC206" i="19"/>
  <c r="AO206" i="19" s="1"/>
  <c r="AC207" i="19"/>
  <c r="AC208" i="19"/>
  <c r="AC209" i="19"/>
  <c r="AO209" i="19" s="1"/>
  <c r="AC210" i="19"/>
  <c r="AO210" i="19" s="1"/>
  <c r="AC211" i="19"/>
  <c r="AO211" i="19" s="1"/>
  <c r="AC212" i="19"/>
  <c r="AO212" i="19" s="1"/>
  <c r="AC213" i="19"/>
  <c r="AC214" i="19"/>
  <c r="AO214" i="19" s="1"/>
  <c r="AC215" i="19"/>
  <c r="AC216" i="19"/>
  <c r="AC217" i="19"/>
  <c r="AO217" i="19" s="1"/>
  <c r="AC218" i="19"/>
  <c r="AO218" i="19" s="1"/>
  <c r="AC219" i="19"/>
  <c r="AO219" i="19" s="1"/>
  <c r="AC220" i="19"/>
  <c r="AO220" i="19" s="1"/>
  <c r="AC221" i="19"/>
  <c r="AO221" i="19" s="1"/>
  <c r="AC222" i="19"/>
  <c r="AO222" i="19" s="1"/>
  <c r="AC223" i="19"/>
  <c r="AC224" i="19"/>
  <c r="AC225" i="19"/>
  <c r="AO225" i="19" s="1"/>
  <c r="AC226" i="19"/>
  <c r="AO226" i="19" s="1"/>
  <c r="AC227" i="19"/>
  <c r="AO227" i="19" s="1"/>
  <c r="AC228" i="19"/>
  <c r="AO228" i="19" s="1"/>
  <c r="AC229" i="19"/>
  <c r="AC230" i="19"/>
  <c r="AO230" i="19" s="1"/>
  <c r="AC231" i="19"/>
  <c r="AC232" i="19"/>
  <c r="AC233" i="19"/>
  <c r="AO233" i="19" s="1"/>
  <c r="AC234" i="19"/>
  <c r="AO234" i="19" s="1"/>
  <c r="AC235" i="19"/>
  <c r="AO235" i="19" s="1"/>
  <c r="AC236" i="19"/>
  <c r="AO236" i="19" s="1"/>
  <c r="AC237" i="19"/>
  <c r="AC238" i="19"/>
  <c r="AO238" i="19" s="1"/>
  <c r="AC239" i="19"/>
  <c r="AC240" i="19"/>
  <c r="AC241" i="19"/>
  <c r="AO241" i="19" s="1"/>
  <c r="AC242" i="19"/>
  <c r="AO242" i="19" s="1"/>
  <c r="AC243" i="19"/>
  <c r="AO243" i="19" s="1"/>
  <c r="AC244" i="19"/>
  <c r="AO244" i="19" s="1"/>
  <c r="AC245" i="19"/>
  <c r="AC246" i="19"/>
  <c r="AO246" i="19" s="1"/>
  <c r="AC247" i="19"/>
  <c r="AC248" i="19"/>
  <c r="AC249" i="19"/>
  <c r="AO249" i="19" s="1"/>
  <c r="AC250" i="19"/>
  <c r="AO250" i="19" s="1"/>
  <c r="AC251" i="19"/>
  <c r="AO251" i="19" s="1"/>
  <c r="AC252" i="19"/>
  <c r="AO252" i="19" s="1"/>
  <c r="AC253" i="19"/>
  <c r="AC254" i="19"/>
  <c r="AO254" i="19" s="1"/>
  <c r="AC255" i="19"/>
  <c r="AC256" i="19"/>
  <c r="AB6" i="19"/>
  <c r="AB7" i="19"/>
  <c r="AN7" i="19" s="1"/>
  <c r="AB8" i="19"/>
  <c r="AN8" i="19" s="1"/>
  <c r="AB9" i="19"/>
  <c r="AN9" i="19" s="1"/>
  <c r="AB10" i="19"/>
  <c r="AN10" i="19" s="1"/>
  <c r="AB11" i="19"/>
  <c r="AB12" i="19"/>
  <c r="AB13" i="19"/>
  <c r="AN13" i="19" s="1"/>
  <c r="AB14" i="19"/>
  <c r="AN14" i="19" s="1"/>
  <c r="AB15" i="19"/>
  <c r="AN15" i="19" s="1"/>
  <c r="AB16" i="19"/>
  <c r="AN16" i="19" s="1"/>
  <c r="AB17" i="19"/>
  <c r="AN17" i="19" s="1"/>
  <c r="AB18" i="19"/>
  <c r="AN18" i="19" s="1"/>
  <c r="AB19" i="19"/>
  <c r="AB20" i="19"/>
  <c r="AB21" i="19"/>
  <c r="AN21" i="19" s="1"/>
  <c r="AB22" i="19"/>
  <c r="AN22" i="19" s="1"/>
  <c r="AB23" i="19"/>
  <c r="AN23" i="19" s="1"/>
  <c r="AB24" i="19"/>
  <c r="AN24" i="19" s="1"/>
  <c r="AB25" i="19"/>
  <c r="AN25" i="19" s="1"/>
  <c r="AB26" i="19"/>
  <c r="AN26" i="19" s="1"/>
  <c r="AB27" i="19"/>
  <c r="AB28" i="19"/>
  <c r="AB29" i="19"/>
  <c r="AN29" i="19" s="1"/>
  <c r="AB30" i="19"/>
  <c r="AN30" i="19" s="1"/>
  <c r="AB31" i="19"/>
  <c r="AN31" i="19" s="1"/>
  <c r="AB32" i="19"/>
  <c r="AN32" i="19" s="1"/>
  <c r="AB33" i="19"/>
  <c r="AB34" i="19"/>
  <c r="AN34" i="19" s="1"/>
  <c r="AB35" i="19"/>
  <c r="AB36" i="19"/>
  <c r="AB37" i="19"/>
  <c r="AN37" i="19" s="1"/>
  <c r="AB38" i="19"/>
  <c r="AN38" i="19" s="1"/>
  <c r="AB39" i="19"/>
  <c r="AN39" i="19" s="1"/>
  <c r="AB40" i="19"/>
  <c r="AN40" i="19" s="1"/>
  <c r="AB41" i="19"/>
  <c r="AN41" i="19" s="1"/>
  <c r="AB42" i="19"/>
  <c r="AN42" i="19" s="1"/>
  <c r="AB43" i="19"/>
  <c r="AB44" i="19"/>
  <c r="AB45" i="19"/>
  <c r="AN45" i="19" s="1"/>
  <c r="AB46" i="19"/>
  <c r="AN46" i="19" s="1"/>
  <c r="AB47" i="19"/>
  <c r="AN47" i="19" s="1"/>
  <c r="AB48" i="19"/>
  <c r="AN48" i="19" s="1"/>
  <c r="AB49" i="19"/>
  <c r="AB50" i="19"/>
  <c r="AN50" i="19" s="1"/>
  <c r="AB51" i="19"/>
  <c r="AB52" i="19"/>
  <c r="AB53" i="19"/>
  <c r="AN53" i="19" s="1"/>
  <c r="AB54" i="19"/>
  <c r="AN54" i="19" s="1"/>
  <c r="AB55" i="19"/>
  <c r="AN55" i="19" s="1"/>
  <c r="AB56" i="19"/>
  <c r="AN56" i="19" s="1"/>
  <c r="AB57" i="19"/>
  <c r="AB58" i="19"/>
  <c r="AN58" i="19" s="1"/>
  <c r="AB59" i="19"/>
  <c r="AB60" i="19"/>
  <c r="AB61" i="19"/>
  <c r="AN61" i="19" s="1"/>
  <c r="AB62" i="19"/>
  <c r="AN62" i="19" s="1"/>
  <c r="AB63" i="19"/>
  <c r="AN63" i="19" s="1"/>
  <c r="AB64" i="19"/>
  <c r="AN64" i="19" s="1"/>
  <c r="AB65" i="19"/>
  <c r="AB66" i="19"/>
  <c r="AN66" i="19" s="1"/>
  <c r="AB67" i="19"/>
  <c r="AB68" i="19"/>
  <c r="AB69" i="19"/>
  <c r="AN69" i="19" s="1"/>
  <c r="AB70" i="19"/>
  <c r="AN70" i="19" s="1"/>
  <c r="AB71" i="19"/>
  <c r="AN71" i="19" s="1"/>
  <c r="AB72" i="19"/>
  <c r="AN72" i="19" s="1"/>
  <c r="AB73" i="19"/>
  <c r="AB74" i="19"/>
  <c r="AN74" i="19" s="1"/>
  <c r="AB75" i="19"/>
  <c r="AB76" i="19"/>
  <c r="AB77" i="19"/>
  <c r="AN77" i="19" s="1"/>
  <c r="AB78" i="19"/>
  <c r="AN78" i="19" s="1"/>
  <c r="AB79" i="19"/>
  <c r="AN79" i="19" s="1"/>
  <c r="AB80" i="19"/>
  <c r="AN80" i="19" s="1"/>
  <c r="AB81" i="19"/>
  <c r="AB82" i="19"/>
  <c r="AN82" i="19" s="1"/>
  <c r="AB83" i="19"/>
  <c r="AB84" i="19"/>
  <c r="AB85" i="19"/>
  <c r="AN85" i="19" s="1"/>
  <c r="AB86" i="19"/>
  <c r="AN86" i="19" s="1"/>
  <c r="AB87" i="19"/>
  <c r="AN87" i="19" s="1"/>
  <c r="AB88" i="19"/>
  <c r="AN88" i="19" s="1"/>
  <c r="AB89" i="19"/>
  <c r="AB90" i="19"/>
  <c r="AN90" i="19" s="1"/>
  <c r="AB91" i="19"/>
  <c r="AB92" i="19"/>
  <c r="AB93" i="19"/>
  <c r="AN93" i="19" s="1"/>
  <c r="AB94" i="19"/>
  <c r="AN94" i="19" s="1"/>
  <c r="AB95" i="19"/>
  <c r="AN95" i="19" s="1"/>
  <c r="AB96" i="19"/>
  <c r="AN96" i="19" s="1"/>
  <c r="AB97" i="19"/>
  <c r="AB98" i="19"/>
  <c r="AN98" i="19" s="1"/>
  <c r="AB99" i="19"/>
  <c r="AB100" i="19"/>
  <c r="AB101" i="19"/>
  <c r="AN101" i="19" s="1"/>
  <c r="AB102" i="19"/>
  <c r="AN102" i="19" s="1"/>
  <c r="AB103" i="19"/>
  <c r="AN103" i="19" s="1"/>
  <c r="AB104" i="19"/>
  <c r="AN104" i="19" s="1"/>
  <c r="AB105" i="19"/>
  <c r="AB106" i="19"/>
  <c r="AN106" i="19" s="1"/>
  <c r="AB107" i="19"/>
  <c r="AB108" i="19"/>
  <c r="AB109" i="19"/>
  <c r="AN109" i="19" s="1"/>
  <c r="AB110" i="19"/>
  <c r="AN110" i="19" s="1"/>
  <c r="AB111" i="19"/>
  <c r="AN111" i="19" s="1"/>
  <c r="AB112" i="19"/>
  <c r="AN112" i="19" s="1"/>
  <c r="AB113" i="19"/>
  <c r="AB114" i="19"/>
  <c r="AN114" i="19" s="1"/>
  <c r="AB115" i="19"/>
  <c r="AB116" i="19"/>
  <c r="AB117" i="19"/>
  <c r="AN117" i="19" s="1"/>
  <c r="AB118" i="19"/>
  <c r="AN118" i="19" s="1"/>
  <c r="AB119" i="19"/>
  <c r="AN119" i="19" s="1"/>
  <c r="AB120" i="19"/>
  <c r="AN120" i="19" s="1"/>
  <c r="AB121" i="19"/>
  <c r="AB122" i="19"/>
  <c r="AN122" i="19" s="1"/>
  <c r="AB123" i="19"/>
  <c r="AB124" i="19"/>
  <c r="AB125" i="19"/>
  <c r="AN125" i="19" s="1"/>
  <c r="AB126" i="19"/>
  <c r="AN126" i="19" s="1"/>
  <c r="AB127" i="19"/>
  <c r="AN127" i="19" s="1"/>
  <c r="AB128" i="19"/>
  <c r="AN128" i="19" s="1"/>
  <c r="AB129" i="19"/>
  <c r="AB130" i="19"/>
  <c r="AN130" i="19" s="1"/>
  <c r="AB131" i="19"/>
  <c r="AB132" i="19"/>
  <c r="AB133" i="19"/>
  <c r="AB134" i="19"/>
  <c r="AN134" i="19" s="1"/>
  <c r="AB135" i="19"/>
  <c r="AN135" i="19" s="1"/>
  <c r="AB136" i="19"/>
  <c r="AN136" i="19" s="1"/>
  <c r="AB137" i="19"/>
  <c r="AB138" i="19"/>
  <c r="AN138" i="19" s="1"/>
  <c r="AB139" i="19"/>
  <c r="AB140" i="19"/>
  <c r="AB141" i="19"/>
  <c r="AB142" i="19"/>
  <c r="AN142" i="19" s="1"/>
  <c r="AB143" i="19"/>
  <c r="AN143" i="19" s="1"/>
  <c r="AB144" i="19"/>
  <c r="AN144" i="19" s="1"/>
  <c r="AB145" i="19"/>
  <c r="AB146" i="19"/>
  <c r="AN146" i="19" s="1"/>
  <c r="AB147" i="19"/>
  <c r="AB148" i="19"/>
  <c r="AB149" i="19"/>
  <c r="AB150" i="19"/>
  <c r="AN150" i="19" s="1"/>
  <c r="AB151" i="19"/>
  <c r="AN151" i="19" s="1"/>
  <c r="AB152" i="19"/>
  <c r="AN152" i="19" s="1"/>
  <c r="AB153" i="19"/>
  <c r="AB154" i="19"/>
  <c r="AN154" i="19" s="1"/>
  <c r="AB155" i="19"/>
  <c r="AB156" i="19"/>
  <c r="AB157" i="19"/>
  <c r="AB158" i="19"/>
  <c r="AN158" i="19" s="1"/>
  <c r="AB159" i="19"/>
  <c r="AN159" i="19" s="1"/>
  <c r="AB160" i="19"/>
  <c r="AN160" i="19" s="1"/>
  <c r="AB161" i="19"/>
  <c r="AB162" i="19"/>
  <c r="AN162" i="19" s="1"/>
  <c r="AB163" i="19"/>
  <c r="AB164" i="19"/>
  <c r="AB165" i="19"/>
  <c r="AB166" i="19"/>
  <c r="AN166" i="19" s="1"/>
  <c r="AB167" i="19"/>
  <c r="AN167" i="19" s="1"/>
  <c r="AB168" i="19"/>
  <c r="AN168" i="19" s="1"/>
  <c r="AB169" i="19"/>
  <c r="AB170" i="19"/>
  <c r="AN170" i="19" s="1"/>
  <c r="AB171" i="19"/>
  <c r="AB172" i="19"/>
  <c r="AB173" i="19"/>
  <c r="AB174" i="19"/>
  <c r="AN174" i="19" s="1"/>
  <c r="AB175" i="19"/>
  <c r="AN175" i="19" s="1"/>
  <c r="AB176" i="19"/>
  <c r="AN176" i="19" s="1"/>
  <c r="AB177" i="19"/>
  <c r="AB178" i="19"/>
  <c r="AN178" i="19" s="1"/>
  <c r="AB179" i="19"/>
  <c r="AB180" i="19"/>
  <c r="AB181" i="19"/>
  <c r="AB182" i="19"/>
  <c r="AN182" i="19" s="1"/>
  <c r="AB183" i="19"/>
  <c r="AN183" i="19" s="1"/>
  <c r="AB184" i="19"/>
  <c r="AN184" i="19" s="1"/>
  <c r="AB185" i="19"/>
  <c r="AB186" i="19"/>
  <c r="AN186" i="19" s="1"/>
  <c r="AB187" i="19"/>
  <c r="AB188" i="19"/>
  <c r="AB189" i="19"/>
  <c r="AB190" i="19"/>
  <c r="AN190" i="19" s="1"/>
  <c r="AB191" i="19"/>
  <c r="AN191" i="19" s="1"/>
  <c r="AB192" i="19"/>
  <c r="AN192" i="19" s="1"/>
  <c r="AB193" i="19"/>
  <c r="AB194" i="19"/>
  <c r="AN194" i="19" s="1"/>
  <c r="AB195" i="19"/>
  <c r="AB196" i="19"/>
  <c r="AB197" i="19"/>
  <c r="AB198" i="19"/>
  <c r="AN198" i="19" s="1"/>
  <c r="AB199" i="19"/>
  <c r="AN199" i="19" s="1"/>
  <c r="AB200" i="19"/>
  <c r="AN200" i="19" s="1"/>
  <c r="AB201" i="19"/>
  <c r="AB202" i="19"/>
  <c r="AN202" i="19" s="1"/>
  <c r="AB203" i="19"/>
  <c r="AB204" i="19"/>
  <c r="AB205" i="19"/>
  <c r="AB206" i="19"/>
  <c r="AN206" i="19" s="1"/>
  <c r="AB207" i="19"/>
  <c r="AN207" i="19" s="1"/>
  <c r="AB208" i="19"/>
  <c r="AN208" i="19" s="1"/>
  <c r="AB209" i="19"/>
  <c r="AB210" i="19"/>
  <c r="AN210" i="19" s="1"/>
  <c r="AB211" i="19"/>
  <c r="AB212" i="19"/>
  <c r="AB213" i="19"/>
  <c r="AB214" i="19"/>
  <c r="AN214" i="19" s="1"/>
  <c r="AB215" i="19"/>
  <c r="AN215" i="19" s="1"/>
  <c r="AB216" i="19"/>
  <c r="AN216" i="19" s="1"/>
  <c r="AB217" i="19"/>
  <c r="AB218" i="19"/>
  <c r="AN218" i="19" s="1"/>
  <c r="AB219" i="19"/>
  <c r="AB220" i="19"/>
  <c r="AB221" i="19"/>
  <c r="AB222" i="19"/>
  <c r="AN222" i="19" s="1"/>
  <c r="AB223" i="19"/>
  <c r="AN223" i="19" s="1"/>
  <c r="AB224" i="19"/>
  <c r="AN224" i="19" s="1"/>
  <c r="AB225" i="19"/>
  <c r="AB226" i="19"/>
  <c r="AN226" i="19" s="1"/>
  <c r="AB227" i="19"/>
  <c r="AB228" i="19"/>
  <c r="AB229" i="19"/>
  <c r="AB230" i="19"/>
  <c r="AN230" i="19" s="1"/>
  <c r="AB231" i="19"/>
  <c r="AN231" i="19" s="1"/>
  <c r="AB232" i="19"/>
  <c r="AN232" i="19" s="1"/>
  <c r="AB233" i="19"/>
  <c r="AB234" i="19"/>
  <c r="AN234" i="19" s="1"/>
  <c r="AB235" i="19"/>
  <c r="AB236" i="19"/>
  <c r="AB237" i="19"/>
  <c r="AB238" i="19"/>
  <c r="AN238" i="19" s="1"/>
  <c r="AB239" i="19"/>
  <c r="AN239" i="19" s="1"/>
  <c r="AB240" i="19"/>
  <c r="AN240" i="19" s="1"/>
  <c r="AB241" i="19"/>
  <c r="AB242" i="19"/>
  <c r="AN242" i="19" s="1"/>
  <c r="AB243" i="19"/>
  <c r="AB244" i="19"/>
  <c r="AB245" i="19"/>
  <c r="AB246" i="19"/>
  <c r="AN246" i="19" s="1"/>
  <c r="AB247" i="19"/>
  <c r="AN247" i="19" s="1"/>
  <c r="AB248" i="19"/>
  <c r="AN248" i="19" s="1"/>
  <c r="AB249" i="19"/>
  <c r="AB250" i="19"/>
  <c r="AN250" i="19" s="1"/>
  <c r="AB251" i="19"/>
  <c r="AB252" i="19"/>
  <c r="AB253" i="19"/>
  <c r="AB254" i="19"/>
  <c r="AN254" i="19" s="1"/>
  <c r="AB255" i="19"/>
  <c r="AN255" i="19" s="1"/>
  <c r="AB256" i="19"/>
  <c r="AN256" i="19" s="1"/>
  <c r="AB5" i="19"/>
  <c r="Z5" i="19"/>
  <c r="Z6" i="19"/>
  <c r="Z7" i="19"/>
  <c r="Z8" i="19"/>
  <c r="AL8" i="19" s="1"/>
  <c r="Z9" i="19"/>
  <c r="AL9" i="19" s="1"/>
  <c r="Z10" i="19"/>
  <c r="AL10" i="19" s="1"/>
  <c r="Z11" i="19"/>
  <c r="AL11" i="19" s="1"/>
  <c r="Z12" i="19"/>
  <c r="Z13" i="19"/>
  <c r="AL13" i="19" s="1"/>
  <c r="Z14" i="19"/>
  <c r="Z15" i="19"/>
  <c r="Z16" i="19"/>
  <c r="AL16" i="19" s="1"/>
  <c r="Z17" i="19"/>
  <c r="AL17" i="19" s="1"/>
  <c r="Z18" i="19"/>
  <c r="AL18" i="19" s="1"/>
  <c r="Z19" i="19"/>
  <c r="AL19" i="19" s="1"/>
  <c r="Z20" i="19"/>
  <c r="Z21" i="19"/>
  <c r="AL21" i="19" s="1"/>
  <c r="Z22" i="19"/>
  <c r="Z23" i="19"/>
  <c r="Z24" i="19"/>
  <c r="AL24" i="19" s="1"/>
  <c r="Z25" i="19"/>
  <c r="AL25" i="19" s="1"/>
  <c r="Z26" i="19"/>
  <c r="AL26" i="19" s="1"/>
  <c r="Z27" i="19"/>
  <c r="AL27" i="19" s="1"/>
  <c r="Z28" i="19"/>
  <c r="Z29" i="19"/>
  <c r="AL29" i="19" s="1"/>
  <c r="Z30" i="19"/>
  <c r="Z31" i="19"/>
  <c r="Z32" i="19"/>
  <c r="AL32" i="19" s="1"/>
  <c r="Z33" i="19"/>
  <c r="AL33" i="19" s="1"/>
  <c r="Z34" i="19"/>
  <c r="AL34" i="19" s="1"/>
  <c r="Z35" i="19"/>
  <c r="AL35" i="19" s="1"/>
  <c r="Z36" i="19"/>
  <c r="Z37" i="19"/>
  <c r="AL37" i="19" s="1"/>
  <c r="Z38" i="19"/>
  <c r="Z39" i="19"/>
  <c r="Z40" i="19"/>
  <c r="AL40" i="19" s="1"/>
  <c r="Z41" i="19"/>
  <c r="AL41" i="19" s="1"/>
  <c r="Z42" i="19"/>
  <c r="AL42" i="19" s="1"/>
  <c r="Z43" i="19"/>
  <c r="AL43" i="19" s="1"/>
  <c r="Z44" i="19"/>
  <c r="Z45" i="19"/>
  <c r="AL45" i="19" s="1"/>
  <c r="Z46" i="19"/>
  <c r="Z47" i="19"/>
  <c r="Z48" i="19"/>
  <c r="AL48" i="19" s="1"/>
  <c r="Z49" i="19"/>
  <c r="AL49" i="19" s="1"/>
  <c r="Z50" i="19"/>
  <c r="AL50" i="19" s="1"/>
  <c r="Z51" i="19"/>
  <c r="AL51" i="19" s="1"/>
  <c r="Z52" i="19"/>
  <c r="Z53" i="19"/>
  <c r="AL53" i="19" s="1"/>
  <c r="Z54" i="19"/>
  <c r="Z55" i="19"/>
  <c r="Z56" i="19"/>
  <c r="AL56" i="19" s="1"/>
  <c r="Z57" i="19"/>
  <c r="AL57" i="19" s="1"/>
  <c r="Z58" i="19"/>
  <c r="AL58" i="19" s="1"/>
  <c r="Z59" i="19"/>
  <c r="AL59" i="19" s="1"/>
  <c r="Z60" i="19"/>
  <c r="Z61" i="19"/>
  <c r="AL61" i="19" s="1"/>
  <c r="Z62" i="19"/>
  <c r="Z63" i="19"/>
  <c r="Z64" i="19"/>
  <c r="AL64" i="19" s="1"/>
  <c r="Z65" i="19"/>
  <c r="AL65" i="19" s="1"/>
  <c r="Z66" i="19"/>
  <c r="AL66" i="19" s="1"/>
  <c r="Z67" i="19"/>
  <c r="AL67" i="19" s="1"/>
  <c r="Z68" i="19"/>
  <c r="Z69" i="19"/>
  <c r="AL69" i="19" s="1"/>
  <c r="Z70" i="19"/>
  <c r="Z71" i="19"/>
  <c r="Z72" i="19"/>
  <c r="AL72" i="19" s="1"/>
  <c r="Z73" i="19"/>
  <c r="AL73" i="19" s="1"/>
  <c r="Z74" i="19"/>
  <c r="AL74" i="19" s="1"/>
  <c r="Z75" i="19"/>
  <c r="AL75" i="19" s="1"/>
  <c r="Z76" i="19"/>
  <c r="Z77" i="19"/>
  <c r="AL77" i="19" s="1"/>
  <c r="Z78" i="19"/>
  <c r="Z79" i="19"/>
  <c r="Z80" i="19"/>
  <c r="AL80" i="19" s="1"/>
  <c r="Z81" i="19"/>
  <c r="AL81" i="19" s="1"/>
  <c r="Z82" i="19"/>
  <c r="AL82" i="19" s="1"/>
  <c r="Z83" i="19"/>
  <c r="AL83" i="19" s="1"/>
  <c r="Z84" i="19"/>
  <c r="Z85" i="19"/>
  <c r="AL85" i="19" s="1"/>
  <c r="Z86" i="19"/>
  <c r="Z87" i="19"/>
  <c r="Z88" i="19"/>
  <c r="AL88" i="19" s="1"/>
  <c r="Z89" i="19"/>
  <c r="AL89" i="19" s="1"/>
  <c r="Z90" i="19"/>
  <c r="AL90" i="19" s="1"/>
  <c r="Z91" i="19"/>
  <c r="AL91" i="19" s="1"/>
  <c r="Z92" i="19"/>
  <c r="AL92" i="19" s="1"/>
  <c r="Z93" i="19"/>
  <c r="AL93" i="19" s="1"/>
  <c r="Z94" i="19"/>
  <c r="Z95" i="19"/>
  <c r="Z96" i="19"/>
  <c r="AL96" i="19" s="1"/>
  <c r="Z97" i="19"/>
  <c r="AL97" i="19" s="1"/>
  <c r="Z98" i="19"/>
  <c r="AL98" i="19" s="1"/>
  <c r="Z99" i="19"/>
  <c r="AL99" i="19" s="1"/>
  <c r="Z100" i="19"/>
  <c r="AL100" i="19" s="1"/>
  <c r="Z101" i="19"/>
  <c r="AL101" i="19" s="1"/>
  <c r="Z102" i="19"/>
  <c r="Z103" i="19"/>
  <c r="Z104" i="19"/>
  <c r="AL104" i="19" s="1"/>
  <c r="Z105" i="19"/>
  <c r="AL105" i="19" s="1"/>
  <c r="Z106" i="19"/>
  <c r="Z107" i="19"/>
  <c r="AL107" i="19" s="1"/>
  <c r="Z108" i="19"/>
  <c r="AL108" i="19" s="1"/>
  <c r="Z109" i="19"/>
  <c r="AL109" i="19" s="1"/>
  <c r="Z110" i="19"/>
  <c r="Z111" i="19"/>
  <c r="Z112" i="19"/>
  <c r="AL112" i="19" s="1"/>
  <c r="Z113" i="19"/>
  <c r="AL113" i="19" s="1"/>
  <c r="Z114" i="19"/>
  <c r="AL114" i="19" s="1"/>
  <c r="Z115" i="19"/>
  <c r="AL115" i="19" s="1"/>
  <c r="Z116" i="19"/>
  <c r="Z117" i="19"/>
  <c r="AL117" i="19" s="1"/>
  <c r="Z118" i="19"/>
  <c r="Z119" i="19"/>
  <c r="Z120" i="19"/>
  <c r="AL120" i="19" s="1"/>
  <c r="Z121" i="19"/>
  <c r="AL121" i="19" s="1"/>
  <c r="Z122" i="19"/>
  <c r="AL122" i="19" s="1"/>
  <c r="Z123" i="19"/>
  <c r="AL123" i="19" s="1"/>
  <c r="Z124" i="19"/>
  <c r="AL124" i="19" s="1"/>
  <c r="Z125" i="19"/>
  <c r="AL125" i="19" s="1"/>
  <c r="Z126" i="19"/>
  <c r="Z127" i="19"/>
  <c r="Z128" i="19"/>
  <c r="AL128" i="19" s="1"/>
  <c r="Z129" i="19"/>
  <c r="AL129" i="19" s="1"/>
  <c r="Z130" i="19"/>
  <c r="AL130" i="19" s="1"/>
  <c r="Z131" i="19"/>
  <c r="AL131" i="19" s="1"/>
  <c r="Z132" i="19"/>
  <c r="Z133" i="19"/>
  <c r="AL133" i="19" s="1"/>
  <c r="Z134" i="19"/>
  <c r="Z135" i="19"/>
  <c r="Z136" i="19"/>
  <c r="AL136" i="19" s="1"/>
  <c r="Z137" i="19"/>
  <c r="AL137" i="19" s="1"/>
  <c r="Z138" i="19"/>
  <c r="AL138" i="19" s="1"/>
  <c r="Z139" i="19"/>
  <c r="AL139" i="19" s="1"/>
  <c r="Z140" i="19"/>
  <c r="AL140" i="19" s="1"/>
  <c r="Z141" i="19"/>
  <c r="AL141" i="19" s="1"/>
  <c r="Z142" i="19"/>
  <c r="Z143" i="19"/>
  <c r="Z144" i="19"/>
  <c r="AL144" i="19" s="1"/>
  <c r="Z145" i="19"/>
  <c r="AL145" i="19" s="1"/>
  <c r="Z146" i="19"/>
  <c r="AL146" i="19" s="1"/>
  <c r="Z147" i="19"/>
  <c r="AL147" i="19" s="1"/>
  <c r="Z148" i="19"/>
  <c r="AL148" i="19" s="1"/>
  <c r="Z149" i="19"/>
  <c r="AL149" i="19" s="1"/>
  <c r="Z150" i="19"/>
  <c r="Z151" i="19"/>
  <c r="Z152" i="19"/>
  <c r="AL152" i="19" s="1"/>
  <c r="Z153" i="19"/>
  <c r="AL153" i="19" s="1"/>
  <c r="Z154" i="19"/>
  <c r="AL154" i="19" s="1"/>
  <c r="Z155" i="19"/>
  <c r="AL155" i="19" s="1"/>
  <c r="Z156" i="19"/>
  <c r="AL156" i="19" s="1"/>
  <c r="Z157" i="19"/>
  <c r="AL157" i="19" s="1"/>
  <c r="Z158" i="19"/>
  <c r="Z159" i="19"/>
  <c r="Z160" i="19"/>
  <c r="AL160" i="19" s="1"/>
  <c r="Z161" i="19"/>
  <c r="AL161" i="19" s="1"/>
  <c r="Z162" i="19"/>
  <c r="AL162" i="19" s="1"/>
  <c r="Z163" i="19"/>
  <c r="AL163" i="19" s="1"/>
  <c r="Z164" i="19"/>
  <c r="Z165" i="19"/>
  <c r="AL165" i="19" s="1"/>
  <c r="Z166" i="19"/>
  <c r="Z167" i="19"/>
  <c r="Z168" i="19"/>
  <c r="AL168" i="19" s="1"/>
  <c r="Z169" i="19"/>
  <c r="AL169" i="19" s="1"/>
  <c r="Z170" i="19"/>
  <c r="AL170" i="19" s="1"/>
  <c r="Z171" i="19"/>
  <c r="AL171" i="19" s="1"/>
  <c r="Z172" i="19"/>
  <c r="AL172" i="19" s="1"/>
  <c r="Z173" i="19"/>
  <c r="AL173" i="19" s="1"/>
  <c r="Z174" i="19"/>
  <c r="Z175" i="19"/>
  <c r="Z176" i="19"/>
  <c r="AL176" i="19" s="1"/>
  <c r="Z177" i="19"/>
  <c r="AL177" i="19" s="1"/>
  <c r="Z178" i="19"/>
  <c r="AL178" i="19" s="1"/>
  <c r="Z179" i="19"/>
  <c r="AL179" i="19" s="1"/>
  <c r="Z180" i="19"/>
  <c r="AL180" i="19" s="1"/>
  <c r="Z181" i="19"/>
  <c r="AL181" i="19" s="1"/>
  <c r="Z182" i="19"/>
  <c r="Z183" i="19"/>
  <c r="Z184" i="19"/>
  <c r="AL184" i="19" s="1"/>
  <c r="Z185" i="19"/>
  <c r="AL185" i="19" s="1"/>
  <c r="Z186" i="19"/>
  <c r="AL186" i="19" s="1"/>
  <c r="Z187" i="19"/>
  <c r="AL187" i="19" s="1"/>
  <c r="Z188" i="19"/>
  <c r="Z189" i="19"/>
  <c r="AL189" i="19" s="1"/>
  <c r="Z190" i="19"/>
  <c r="Z191" i="19"/>
  <c r="Z192" i="19"/>
  <c r="AL192" i="19" s="1"/>
  <c r="Z193" i="19"/>
  <c r="AL193" i="19" s="1"/>
  <c r="Z194" i="19"/>
  <c r="AL194" i="19" s="1"/>
  <c r="Z195" i="19"/>
  <c r="AL195" i="19" s="1"/>
  <c r="Z196" i="19"/>
  <c r="AL196" i="19" s="1"/>
  <c r="Z197" i="19"/>
  <c r="AL197" i="19" s="1"/>
  <c r="Z198" i="19"/>
  <c r="Z199" i="19"/>
  <c r="Z200" i="19"/>
  <c r="AL200" i="19" s="1"/>
  <c r="Z201" i="19"/>
  <c r="AL201" i="19" s="1"/>
  <c r="Z202" i="19"/>
  <c r="AL202" i="19" s="1"/>
  <c r="Z203" i="19"/>
  <c r="AL203" i="19" s="1"/>
  <c r="Z204" i="19"/>
  <c r="Z205" i="19"/>
  <c r="AL205" i="19" s="1"/>
  <c r="Z206" i="19"/>
  <c r="Z207" i="19"/>
  <c r="Z208" i="19"/>
  <c r="AL208" i="19" s="1"/>
  <c r="Z209" i="19"/>
  <c r="AL209" i="19" s="1"/>
  <c r="Z210" i="19"/>
  <c r="AL210" i="19" s="1"/>
  <c r="Z211" i="19"/>
  <c r="AL211" i="19" s="1"/>
  <c r="Z212" i="19"/>
  <c r="Z213" i="19"/>
  <c r="AL213" i="19" s="1"/>
  <c r="Z214" i="19"/>
  <c r="Z215" i="19"/>
  <c r="Z216" i="19"/>
  <c r="Z217" i="19"/>
  <c r="AL217" i="19" s="1"/>
  <c r="Z218" i="19"/>
  <c r="AL218" i="19" s="1"/>
  <c r="Z219" i="19"/>
  <c r="AL219" i="19" s="1"/>
  <c r="Z220" i="19"/>
  <c r="Z221" i="19"/>
  <c r="AL221" i="19" s="1"/>
  <c r="Z222" i="19"/>
  <c r="Z223" i="19"/>
  <c r="Z224" i="19"/>
  <c r="AL224" i="19" s="1"/>
  <c r="Z225" i="19"/>
  <c r="AL225" i="19" s="1"/>
  <c r="Z226" i="19"/>
  <c r="AL226" i="19" s="1"/>
  <c r="Z227" i="19"/>
  <c r="AL227" i="19" s="1"/>
  <c r="Z228" i="19"/>
  <c r="Z229" i="19"/>
  <c r="AL229" i="19" s="1"/>
  <c r="Z230" i="19"/>
  <c r="Z231" i="19"/>
  <c r="Z232" i="19"/>
  <c r="AL232" i="19" s="1"/>
  <c r="Z233" i="19"/>
  <c r="AL233" i="19" s="1"/>
  <c r="Z234" i="19"/>
  <c r="AL234" i="19" s="1"/>
  <c r="Z235" i="19"/>
  <c r="AL235" i="19" s="1"/>
  <c r="Z236" i="19"/>
  <c r="AL236" i="19" s="1"/>
  <c r="Z237" i="19"/>
  <c r="AL237" i="19" s="1"/>
  <c r="Z238" i="19"/>
  <c r="Z239" i="19"/>
  <c r="Z240" i="19"/>
  <c r="AL240" i="19" s="1"/>
  <c r="Z241" i="19"/>
  <c r="AL241" i="19" s="1"/>
  <c r="Z242" i="19"/>
  <c r="AL242" i="19" s="1"/>
  <c r="Z243" i="19"/>
  <c r="AL243" i="19" s="1"/>
  <c r="Z244" i="19"/>
  <c r="AL244" i="19" s="1"/>
  <c r="Z245" i="19"/>
  <c r="AL245" i="19" s="1"/>
  <c r="Z246" i="19"/>
  <c r="Z247" i="19"/>
  <c r="Z248" i="19"/>
  <c r="AL248" i="19" s="1"/>
  <c r="Z249" i="19"/>
  <c r="AL249" i="19" s="1"/>
  <c r="Z250" i="19"/>
  <c r="AL250" i="19" s="1"/>
  <c r="Z251" i="19"/>
  <c r="AL251" i="19" s="1"/>
  <c r="Z252" i="19"/>
  <c r="Z253" i="19"/>
  <c r="AL253" i="19" s="1"/>
  <c r="Z254" i="19"/>
  <c r="Z255" i="19"/>
  <c r="Z256" i="19"/>
  <c r="AL256" i="19" s="1"/>
  <c r="AA6" i="19"/>
  <c r="AA7" i="19"/>
  <c r="AM7" i="19" s="1"/>
  <c r="AA8" i="19"/>
  <c r="AM8" i="19" s="1"/>
  <c r="AA9" i="19"/>
  <c r="AM9" i="19" s="1"/>
  <c r="AA10" i="19"/>
  <c r="AM10" i="19" s="1"/>
  <c r="AA11" i="19"/>
  <c r="AA12" i="19"/>
  <c r="AA13" i="19"/>
  <c r="AM13" i="19" s="1"/>
  <c r="AA14" i="19"/>
  <c r="AM14" i="19" s="1"/>
  <c r="AA15" i="19"/>
  <c r="AM15" i="19" s="1"/>
  <c r="AA16" i="19"/>
  <c r="AM16" i="19" s="1"/>
  <c r="AA17" i="19"/>
  <c r="AM17" i="19" s="1"/>
  <c r="AA18" i="19"/>
  <c r="AM18" i="19" s="1"/>
  <c r="AA19" i="19"/>
  <c r="AA20" i="19"/>
  <c r="AA21" i="19"/>
  <c r="AM21" i="19" s="1"/>
  <c r="AA22" i="19"/>
  <c r="AM22" i="19" s="1"/>
  <c r="AA23" i="19"/>
  <c r="AM23" i="19" s="1"/>
  <c r="AA24" i="19"/>
  <c r="AM24" i="19" s="1"/>
  <c r="AA25" i="19"/>
  <c r="AM25" i="19" s="1"/>
  <c r="AA26" i="19"/>
  <c r="AM26" i="19" s="1"/>
  <c r="AA27" i="19"/>
  <c r="AA28" i="19"/>
  <c r="AA29" i="19"/>
  <c r="AA30" i="19"/>
  <c r="AM30" i="19" s="1"/>
  <c r="AA31" i="19"/>
  <c r="AM31" i="19" s="1"/>
  <c r="AA32" i="19"/>
  <c r="AM32" i="19" s="1"/>
  <c r="AA33" i="19"/>
  <c r="AM33" i="19" s="1"/>
  <c r="AA34" i="19"/>
  <c r="AM34" i="19" s="1"/>
  <c r="AA35" i="19"/>
  <c r="AA36" i="19"/>
  <c r="AA37" i="19"/>
  <c r="AA38" i="19"/>
  <c r="AM38" i="19" s="1"/>
  <c r="AA39" i="19"/>
  <c r="AM39" i="19" s="1"/>
  <c r="AA40" i="19"/>
  <c r="AM40" i="19" s="1"/>
  <c r="AA41" i="19"/>
  <c r="AA42" i="19"/>
  <c r="AM42" i="19" s="1"/>
  <c r="AA43" i="19"/>
  <c r="AA44" i="19"/>
  <c r="AA45" i="19"/>
  <c r="AM45" i="19" s="1"/>
  <c r="AA46" i="19"/>
  <c r="AM46" i="19" s="1"/>
  <c r="AA47" i="19"/>
  <c r="AM47" i="19" s="1"/>
  <c r="AA48" i="19"/>
  <c r="AM48" i="19" s="1"/>
  <c r="AA49" i="19"/>
  <c r="AM49" i="19" s="1"/>
  <c r="AA50" i="19"/>
  <c r="AM50" i="19" s="1"/>
  <c r="AA51" i="19"/>
  <c r="AA52" i="19"/>
  <c r="AA53" i="19"/>
  <c r="AM53" i="19" s="1"/>
  <c r="AA54" i="19"/>
  <c r="AM54" i="19" s="1"/>
  <c r="AA55" i="19"/>
  <c r="AM55" i="19" s="1"/>
  <c r="AA56" i="19"/>
  <c r="AM56" i="19" s="1"/>
  <c r="AA57" i="19"/>
  <c r="AM57" i="19" s="1"/>
  <c r="AA58" i="19"/>
  <c r="AM58" i="19" s="1"/>
  <c r="AA59" i="19"/>
  <c r="AA60" i="19"/>
  <c r="AA61" i="19"/>
  <c r="AM61" i="19" s="1"/>
  <c r="AA62" i="19"/>
  <c r="AM62" i="19" s="1"/>
  <c r="AA63" i="19"/>
  <c r="AM63" i="19" s="1"/>
  <c r="AA64" i="19"/>
  <c r="AM64" i="19" s="1"/>
  <c r="AA65" i="19"/>
  <c r="AM65" i="19" s="1"/>
  <c r="AA66" i="19"/>
  <c r="AM66" i="19" s="1"/>
  <c r="AA67" i="19"/>
  <c r="AA68" i="19"/>
  <c r="AA69" i="19"/>
  <c r="AM69" i="19" s="1"/>
  <c r="AA70" i="19"/>
  <c r="AM70" i="19" s="1"/>
  <c r="AA71" i="19"/>
  <c r="AM71" i="19" s="1"/>
  <c r="AA72" i="19"/>
  <c r="AM72" i="19" s="1"/>
  <c r="AA73" i="19"/>
  <c r="AM73" i="19" s="1"/>
  <c r="AA74" i="19"/>
  <c r="AM74" i="19" s="1"/>
  <c r="AA75" i="19"/>
  <c r="AA76" i="19"/>
  <c r="AA77" i="19"/>
  <c r="AA78" i="19"/>
  <c r="AM78" i="19" s="1"/>
  <c r="AA79" i="19"/>
  <c r="AM79" i="19" s="1"/>
  <c r="AA80" i="19"/>
  <c r="AM80" i="19" s="1"/>
  <c r="AA81" i="19"/>
  <c r="AM81" i="19" s="1"/>
  <c r="AA82" i="19"/>
  <c r="AM82" i="19" s="1"/>
  <c r="AA83" i="19"/>
  <c r="AA84" i="19"/>
  <c r="AA85" i="19"/>
  <c r="AM85" i="19" s="1"/>
  <c r="AA86" i="19"/>
  <c r="AM86" i="19" s="1"/>
  <c r="AA87" i="19"/>
  <c r="AM87" i="19" s="1"/>
  <c r="AA88" i="19"/>
  <c r="AM88" i="19" s="1"/>
  <c r="AA89" i="19"/>
  <c r="AM89" i="19" s="1"/>
  <c r="AA90" i="19"/>
  <c r="AM90" i="19" s="1"/>
  <c r="AA91" i="19"/>
  <c r="AA92" i="19"/>
  <c r="AA93" i="19"/>
  <c r="AM93" i="19" s="1"/>
  <c r="AA94" i="19"/>
  <c r="AM94" i="19" s="1"/>
  <c r="AA95" i="19"/>
  <c r="AM95" i="19" s="1"/>
  <c r="AA96" i="19"/>
  <c r="AM96" i="19" s="1"/>
  <c r="AA97" i="19"/>
  <c r="AM97" i="19" s="1"/>
  <c r="AA98" i="19"/>
  <c r="AM98" i="19" s="1"/>
  <c r="AA99" i="19"/>
  <c r="AA100" i="19"/>
  <c r="AA101" i="19"/>
  <c r="AA102" i="19"/>
  <c r="AM102" i="19" s="1"/>
  <c r="AA103" i="19"/>
  <c r="AA104" i="19"/>
  <c r="AM104" i="19" s="1"/>
  <c r="AA105" i="19"/>
  <c r="AM105" i="19" s="1"/>
  <c r="AA106" i="19"/>
  <c r="AM106" i="19" s="1"/>
  <c r="AA107" i="19"/>
  <c r="AA108" i="19"/>
  <c r="AA109" i="19"/>
  <c r="AA110" i="19"/>
  <c r="AM110" i="19" s="1"/>
  <c r="AA111" i="19"/>
  <c r="AM111" i="19" s="1"/>
  <c r="AA112" i="19"/>
  <c r="AM112" i="19" s="1"/>
  <c r="AA113" i="19"/>
  <c r="AM113" i="19" s="1"/>
  <c r="AA114" i="19"/>
  <c r="AM114" i="19" s="1"/>
  <c r="AA115" i="19"/>
  <c r="AA116" i="19"/>
  <c r="AA117" i="19"/>
  <c r="AM117" i="19" s="1"/>
  <c r="AA118" i="19"/>
  <c r="AM118" i="19" s="1"/>
  <c r="AA119" i="19"/>
  <c r="AM119" i="19" s="1"/>
  <c r="AA120" i="19"/>
  <c r="AM120" i="19" s="1"/>
  <c r="AA121" i="19"/>
  <c r="AM121" i="19" s="1"/>
  <c r="AA122" i="19"/>
  <c r="AM122" i="19" s="1"/>
  <c r="AA123" i="19"/>
  <c r="AA124" i="19"/>
  <c r="AA125" i="19"/>
  <c r="AA126" i="19"/>
  <c r="AM126" i="19" s="1"/>
  <c r="AA127" i="19"/>
  <c r="AM127" i="19" s="1"/>
  <c r="AA128" i="19"/>
  <c r="AM128" i="19" s="1"/>
  <c r="AA129" i="19"/>
  <c r="AM129" i="19" s="1"/>
  <c r="AA130" i="19"/>
  <c r="AM130" i="19" s="1"/>
  <c r="AA131" i="19"/>
  <c r="AA132" i="19"/>
  <c r="AA133" i="19"/>
  <c r="AM133" i="19" s="1"/>
  <c r="AA134" i="19"/>
  <c r="AM134" i="19" s="1"/>
  <c r="AA135" i="19"/>
  <c r="AM135" i="19" s="1"/>
  <c r="AA136" i="19"/>
  <c r="AM136" i="19" s="1"/>
  <c r="AA137" i="19"/>
  <c r="AM137" i="19" s="1"/>
  <c r="AA138" i="19"/>
  <c r="AM138" i="19" s="1"/>
  <c r="AA139" i="19"/>
  <c r="AA140" i="19"/>
  <c r="AA141" i="19"/>
  <c r="AM141" i="19" s="1"/>
  <c r="AA142" i="19"/>
  <c r="AM142" i="19" s="1"/>
  <c r="AA143" i="19"/>
  <c r="AM143" i="19" s="1"/>
  <c r="AA144" i="19"/>
  <c r="AM144" i="19" s="1"/>
  <c r="AA145" i="19"/>
  <c r="AM145" i="19" s="1"/>
  <c r="AA146" i="19"/>
  <c r="AM146" i="19" s="1"/>
  <c r="AA147" i="19"/>
  <c r="AA148" i="19"/>
  <c r="AA149" i="19"/>
  <c r="AA150" i="19"/>
  <c r="AM150" i="19" s="1"/>
  <c r="AA151" i="19"/>
  <c r="AM151" i="19" s="1"/>
  <c r="AA152" i="19"/>
  <c r="AM152" i="19" s="1"/>
  <c r="AA153" i="19"/>
  <c r="AM153" i="19" s="1"/>
  <c r="AA154" i="19"/>
  <c r="AM154" i="19" s="1"/>
  <c r="AA155" i="19"/>
  <c r="AA156" i="19"/>
  <c r="AA157" i="19"/>
  <c r="AA158" i="19"/>
  <c r="AM158" i="19" s="1"/>
  <c r="AA159" i="19"/>
  <c r="AM159" i="19" s="1"/>
  <c r="AA160" i="19"/>
  <c r="AM160" i="19" s="1"/>
  <c r="AA161" i="19"/>
  <c r="AM161" i="19" s="1"/>
  <c r="AA162" i="19"/>
  <c r="AM162" i="19" s="1"/>
  <c r="AA163" i="19"/>
  <c r="AA164" i="19"/>
  <c r="AA165" i="19"/>
  <c r="AA166" i="19"/>
  <c r="AM166" i="19" s="1"/>
  <c r="AA167" i="19"/>
  <c r="AM167" i="19" s="1"/>
  <c r="AA168" i="19"/>
  <c r="AM168" i="19" s="1"/>
  <c r="AA169" i="19"/>
  <c r="AM169" i="19" s="1"/>
  <c r="AA170" i="19"/>
  <c r="AM170" i="19" s="1"/>
  <c r="AA171" i="19"/>
  <c r="AA172" i="19"/>
  <c r="AA173" i="19"/>
  <c r="AM173" i="19" s="1"/>
  <c r="AA174" i="19"/>
  <c r="AM174" i="19" s="1"/>
  <c r="AA175" i="19"/>
  <c r="AM175" i="19" s="1"/>
  <c r="AA176" i="19"/>
  <c r="AM176" i="19" s="1"/>
  <c r="AA177" i="19"/>
  <c r="AA178" i="19"/>
  <c r="AM178" i="19" s="1"/>
  <c r="AA179" i="19"/>
  <c r="AA180" i="19"/>
  <c r="AA181" i="19"/>
  <c r="AM181" i="19" s="1"/>
  <c r="AA182" i="19"/>
  <c r="AM182" i="19" s="1"/>
  <c r="AA183" i="19"/>
  <c r="AM183" i="19" s="1"/>
  <c r="AA184" i="19"/>
  <c r="AM184" i="19" s="1"/>
  <c r="AA185" i="19"/>
  <c r="AM185" i="19" s="1"/>
  <c r="AA186" i="19"/>
  <c r="AM186" i="19" s="1"/>
  <c r="AA187" i="19"/>
  <c r="AA188" i="19"/>
  <c r="AA189" i="19"/>
  <c r="AM189" i="19" s="1"/>
  <c r="AA190" i="19"/>
  <c r="AM190" i="19" s="1"/>
  <c r="AA191" i="19"/>
  <c r="AM191" i="19" s="1"/>
  <c r="AA192" i="19"/>
  <c r="AM192" i="19" s="1"/>
  <c r="AA193" i="19"/>
  <c r="AM193" i="19" s="1"/>
  <c r="AA194" i="19"/>
  <c r="AM194" i="19" s="1"/>
  <c r="AA195" i="19"/>
  <c r="AA196" i="19"/>
  <c r="AA197" i="19"/>
  <c r="AA198" i="19"/>
  <c r="AM198" i="19" s="1"/>
  <c r="AA199" i="19"/>
  <c r="AM199" i="19" s="1"/>
  <c r="AA200" i="19"/>
  <c r="AM200" i="19" s="1"/>
  <c r="AA201" i="19"/>
  <c r="AM201" i="19" s="1"/>
  <c r="AA202" i="19"/>
  <c r="AM202" i="19" s="1"/>
  <c r="AA203" i="19"/>
  <c r="AA204" i="19"/>
  <c r="AA205" i="19"/>
  <c r="AM205" i="19" s="1"/>
  <c r="AA206" i="19"/>
  <c r="AM206" i="19" s="1"/>
  <c r="AA207" i="19"/>
  <c r="AM207" i="19" s="1"/>
  <c r="AA208" i="19"/>
  <c r="AM208" i="19" s="1"/>
  <c r="AA209" i="19"/>
  <c r="AM209" i="19" s="1"/>
  <c r="AA210" i="19"/>
  <c r="AM210" i="19" s="1"/>
  <c r="AA211" i="19"/>
  <c r="AA212" i="19"/>
  <c r="AA213" i="19"/>
  <c r="AM213" i="19" s="1"/>
  <c r="AA214" i="19"/>
  <c r="AM214" i="19" s="1"/>
  <c r="AA215" i="19"/>
  <c r="AM215" i="19" s="1"/>
  <c r="AA216" i="19"/>
  <c r="AM216" i="19" s="1"/>
  <c r="AA217" i="19"/>
  <c r="AM217" i="19" s="1"/>
  <c r="AA218" i="19"/>
  <c r="AM218" i="19" s="1"/>
  <c r="AA219" i="19"/>
  <c r="AA220" i="19"/>
  <c r="AA221" i="19"/>
  <c r="AM221" i="19" s="1"/>
  <c r="AA222" i="19"/>
  <c r="AM222" i="19" s="1"/>
  <c r="AA223" i="19"/>
  <c r="AM223" i="19" s="1"/>
  <c r="AA224" i="19"/>
  <c r="AM224" i="19" s="1"/>
  <c r="AA225" i="19"/>
  <c r="AM225" i="19" s="1"/>
  <c r="AA226" i="19"/>
  <c r="AM226" i="19" s="1"/>
  <c r="AA227" i="19"/>
  <c r="AA228" i="19"/>
  <c r="AA229" i="19"/>
  <c r="AA230" i="19"/>
  <c r="AM230" i="19" s="1"/>
  <c r="AA231" i="19"/>
  <c r="AM231" i="19" s="1"/>
  <c r="AA232" i="19"/>
  <c r="AM232" i="19" s="1"/>
  <c r="AA233" i="19"/>
  <c r="AM233" i="19" s="1"/>
  <c r="AA234" i="19"/>
  <c r="AM234" i="19" s="1"/>
  <c r="AA235" i="19"/>
  <c r="AA236" i="19"/>
  <c r="AA237" i="19"/>
  <c r="AM237" i="19" s="1"/>
  <c r="AA238" i="19"/>
  <c r="AA239" i="19"/>
  <c r="AM239" i="19" s="1"/>
  <c r="AA240" i="19"/>
  <c r="AM240" i="19" s="1"/>
  <c r="AA241" i="19"/>
  <c r="AA242" i="19"/>
  <c r="AM242" i="19" s="1"/>
  <c r="AA243" i="19"/>
  <c r="AA244" i="19"/>
  <c r="AA245" i="19"/>
  <c r="AA246" i="19"/>
  <c r="AA247" i="19"/>
  <c r="AM247" i="19" s="1"/>
  <c r="AA248" i="19"/>
  <c r="AM248" i="19" s="1"/>
  <c r="AA249" i="19"/>
  <c r="AA250" i="19"/>
  <c r="AM250" i="19" s="1"/>
  <c r="AA251" i="19"/>
  <c r="AA252" i="19"/>
  <c r="AA253" i="19"/>
  <c r="AA254" i="19"/>
  <c r="AA255" i="19"/>
  <c r="AM255" i="19" s="1"/>
  <c r="AA256" i="19"/>
  <c r="AM256" i="19" s="1"/>
  <c r="AA5" i="19"/>
  <c r="Y5" i="19"/>
  <c r="U6" i="19"/>
  <c r="AG6" i="19" s="1"/>
  <c r="U7" i="19"/>
  <c r="U8" i="19"/>
  <c r="AG8" i="19" s="1"/>
  <c r="U9" i="19"/>
  <c r="AG9" i="19" s="1"/>
  <c r="U10" i="19"/>
  <c r="AG10" i="19" s="1"/>
  <c r="U11" i="19"/>
  <c r="AG11" i="19" s="1"/>
  <c r="U12" i="19"/>
  <c r="U13" i="19"/>
  <c r="AG13" i="19" s="1"/>
  <c r="U14" i="19"/>
  <c r="U15" i="19"/>
  <c r="U16" i="19"/>
  <c r="AG16" i="19" s="1"/>
  <c r="U17" i="19"/>
  <c r="AG17" i="19" s="1"/>
  <c r="U18" i="19"/>
  <c r="AG18" i="19" s="1"/>
  <c r="U19" i="19"/>
  <c r="AG19" i="19" s="1"/>
  <c r="U20" i="19"/>
  <c r="U21" i="19"/>
  <c r="AG21" i="19" s="1"/>
  <c r="U22" i="19"/>
  <c r="U23" i="19"/>
  <c r="U24" i="19"/>
  <c r="AG24" i="19" s="1"/>
  <c r="U25" i="19"/>
  <c r="AG25" i="19" s="1"/>
  <c r="U26" i="19"/>
  <c r="AG26" i="19" s="1"/>
  <c r="U27" i="19"/>
  <c r="AG27" i="19" s="1"/>
  <c r="U28" i="19"/>
  <c r="U29" i="19"/>
  <c r="AG29" i="19" s="1"/>
  <c r="U30" i="19"/>
  <c r="U31" i="19"/>
  <c r="U32" i="19"/>
  <c r="AG32" i="19" s="1"/>
  <c r="U33" i="19"/>
  <c r="AG33" i="19" s="1"/>
  <c r="U34" i="19"/>
  <c r="AG34" i="19" s="1"/>
  <c r="U35" i="19"/>
  <c r="AG35" i="19" s="1"/>
  <c r="U36" i="19"/>
  <c r="U37" i="19"/>
  <c r="AG37" i="19" s="1"/>
  <c r="U38" i="19"/>
  <c r="U39" i="19"/>
  <c r="U40" i="19"/>
  <c r="AG40" i="19" s="1"/>
  <c r="U41" i="19"/>
  <c r="AG41" i="19" s="1"/>
  <c r="U42" i="19"/>
  <c r="AG42" i="19" s="1"/>
  <c r="U43" i="19"/>
  <c r="U44" i="19"/>
  <c r="U45" i="19"/>
  <c r="AG45" i="19" s="1"/>
  <c r="U46" i="19"/>
  <c r="U47" i="19"/>
  <c r="U48" i="19"/>
  <c r="AG48" i="19" s="1"/>
  <c r="U49" i="19"/>
  <c r="AG49" i="19" s="1"/>
  <c r="U50" i="19"/>
  <c r="AG50" i="19" s="1"/>
  <c r="U51" i="19"/>
  <c r="AG51" i="19" s="1"/>
  <c r="U52" i="19"/>
  <c r="U53" i="19"/>
  <c r="AG53" i="19" s="1"/>
  <c r="U54" i="19"/>
  <c r="U55" i="19"/>
  <c r="U56" i="19"/>
  <c r="AG56" i="19" s="1"/>
  <c r="U57" i="19"/>
  <c r="AG57" i="19" s="1"/>
  <c r="U58" i="19"/>
  <c r="AG58" i="19" s="1"/>
  <c r="U59" i="19"/>
  <c r="AG59" i="19" s="1"/>
  <c r="U60" i="19"/>
  <c r="U61" i="19"/>
  <c r="AG61" i="19" s="1"/>
  <c r="U62" i="19"/>
  <c r="U63" i="19"/>
  <c r="U64" i="19"/>
  <c r="AG64" i="19" s="1"/>
  <c r="U65" i="19"/>
  <c r="AG65" i="19" s="1"/>
  <c r="U66" i="19"/>
  <c r="U67" i="19"/>
  <c r="AG67" i="19" s="1"/>
  <c r="U68" i="19"/>
  <c r="AG68" i="19" s="1"/>
  <c r="U69" i="19"/>
  <c r="AG69" i="19" s="1"/>
  <c r="U70" i="19"/>
  <c r="U71" i="19"/>
  <c r="U72" i="19"/>
  <c r="AG72" i="19" s="1"/>
  <c r="U73" i="19"/>
  <c r="AG73" i="19" s="1"/>
  <c r="U74" i="19"/>
  <c r="U75" i="19"/>
  <c r="AG75" i="19" s="1"/>
  <c r="U76" i="19"/>
  <c r="AG76" i="19" s="1"/>
  <c r="U77" i="19"/>
  <c r="AG77" i="19" s="1"/>
  <c r="U78" i="19"/>
  <c r="U79" i="19"/>
  <c r="U80" i="19"/>
  <c r="AG80" i="19" s="1"/>
  <c r="U81" i="19"/>
  <c r="AG81" i="19" s="1"/>
  <c r="U82" i="19"/>
  <c r="U83" i="19"/>
  <c r="AG83" i="19" s="1"/>
  <c r="U84" i="19"/>
  <c r="AG84" i="19" s="1"/>
  <c r="U85" i="19"/>
  <c r="AG85" i="19" s="1"/>
  <c r="U86" i="19"/>
  <c r="U87" i="19"/>
  <c r="U88" i="19"/>
  <c r="AG88" i="19" s="1"/>
  <c r="U89" i="19"/>
  <c r="AG89" i="19" s="1"/>
  <c r="U90" i="19"/>
  <c r="U91" i="19"/>
  <c r="AG91" i="19" s="1"/>
  <c r="U92" i="19"/>
  <c r="AG92" i="19" s="1"/>
  <c r="U93" i="19"/>
  <c r="AG93" i="19" s="1"/>
  <c r="U94" i="19"/>
  <c r="U95" i="19"/>
  <c r="U96" i="19"/>
  <c r="AG96" i="19" s="1"/>
  <c r="U97" i="19"/>
  <c r="AG97" i="19" s="1"/>
  <c r="U98" i="19"/>
  <c r="U99" i="19"/>
  <c r="AG99" i="19" s="1"/>
  <c r="U100" i="19"/>
  <c r="AG100" i="19" s="1"/>
  <c r="U101" i="19"/>
  <c r="AG101" i="19" s="1"/>
  <c r="U102" i="19"/>
  <c r="U103" i="19"/>
  <c r="U104" i="19"/>
  <c r="AG104" i="19" s="1"/>
  <c r="U105" i="19"/>
  <c r="AG105" i="19" s="1"/>
  <c r="U106" i="19"/>
  <c r="U107" i="19"/>
  <c r="AG107" i="19" s="1"/>
  <c r="U108" i="19"/>
  <c r="AG108" i="19" s="1"/>
  <c r="U109" i="19"/>
  <c r="AG109" i="19" s="1"/>
  <c r="U110" i="19"/>
  <c r="U111" i="19"/>
  <c r="U112" i="19"/>
  <c r="AG112" i="19" s="1"/>
  <c r="U113" i="19"/>
  <c r="AG113" i="19" s="1"/>
  <c r="U114" i="19"/>
  <c r="U115" i="19"/>
  <c r="AG115" i="19" s="1"/>
  <c r="U116" i="19"/>
  <c r="AG116" i="19" s="1"/>
  <c r="U117" i="19"/>
  <c r="AG117" i="19" s="1"/>
  <c r="U118" i="19"/>
  <c r="U119" i="19"/>
  <c r="U120" i="19"/>
  <c r="AG120" i="19" s="1"/>
  <c r="U121" i="19"/>
  <c r="AG121" i="19" s="1"/>
  <c r="U122" i="19"/>
  <c r="U123" i="19"/>
  <c r="AG123" i="19" s="1"/>
  <c r="U124" i="19"/>
  <c r="AG124" i="19" s="1"/>
  <c r="U125" i="19"/>
  <c r="AG125" i="19" s="1"/>
  <c r="U126" i="19"/>
  <c r="U127" i="19"/>
  <c r="U128" i="19"/>
  <c r="AG128" i="19" s="1"/>
  <c r="U129" i="19"/>
  <c r="AG129" i="19" s="1"/>
  <c r="U130" i="19"/>
  <c r="U131" i="19"/>
  <c r="AG131" i="19" s="1"/>
  <c r="U132" i="19"/>
  <c r="AG132" i="19" s="1"/>
  <c r="U133" i="19"/>
  <c r="AG133" i="19" s="1"/>
  <c r="U134" i="19"/>
  <c r="U135" i="19"/>
  <c r="U136" i="19"/>
  <c r="AG136" i="19" s="1"/>
  <c r="U137" i="19"/>
  <c r="AG137" i="19" s="1"/>
  <c r="U138" i="19"/>
  <c r="U139" i="19"/>
  <c r="AG139" i="19" s="1"/>
  <c r="U140" i="19"/>
  <c r="AG140" i="19" s="1"/>
  <c r="U141" i="19"/>
  <c r="AG141" i="19" s="1"/>
  <c r="U142" i="19"/>
  <c r="U143" i="19"/>
  <c r="U144" i="19"/>
  <c r="AG144" i="19" s="1"/>
  <c r="U145" i="19"/>
  <c r="AG145" i="19" s="1"/>
  <c r="U146" i="19"/>
  <c r="U147" i="19"/>
  <c r="AG147" i="19" s="1"/>
  <c r="U148" i="19"/>
  <c r="AG148" i="19" s="1"/>
  <c r="U149" i="19"/>
  <c r="AG149" i="19" s="1"/>
  <c r="U150" i="19"/>
  <c r="U151" i="19"/>
  <c r="U152" i="19"/>
  <c r="AG152" i="19" s="1"/>
  <c r="U153" i="19"/>
  <c r="AG153" i="19" s="1"/>
  <c r="U154" i="19"/>
  <c r="U155" i="19"/>
  <c r="AG155" i="19" s="1"/>
  <c r="U156" i="19"/>
  <c r="AG156" i="19" s="1"/>
  <c r="U157" i="19"/>
  <c r="AG157" i="19" s="1"/>
  <c r="U158" i="19"/>
  <c r="U159" i="19"/>
  <c r="U160" i="19"/>
  <c r="AG160" i="19" s="1"/>
  <c r="U161" i="19"/>
  <c r="AG161" i="19" s="1"/>
  <c r="U162" i="19"/>
  <c r="U163" i="19"/>
  <c r="AG163" i="19" s="1"/>
  <c r="U164" i="19"/>
  <c r="AG164" i="19" s="1"/>
  <c r="U165" i="19"/>
  <c r="AG165" i="19" s="1"/>
  <c r="U166" i="19"/>
  <c r="U167" i="19"/>
  <c r="U168" i="19"/>
  <c r="AG168" i="19" s="1"/>
  <c r="U169" i="19"/>
  <c r="AG169" i="19" s="1"/>
  <c r="U170" i="19"/>
  <c r="U171" i="19"/>
  <c r="AG171" i="19" s="1"/>
  <c r="U172" i="19"/>
  <c r="AG172" i="19" s="1"/>
  <c r="U173" i="19"/>
  <c r="AG173" i="19" s="1"/>
  <c r="U174" i="19"/>
  <c r="U175" i="19"/>
  <c r="U176" i="19"/>
  <c r="AG176" i="19" s="1"/>
  <c r="U177" i="19"/>
  <c r="AG177" i="19" s="1"/>
  <c r="U178" i="19"/>
  <c r="U179" i="19"/>
  <c r="AG179" i="19" s="1"/>
  <c r="U180" i="19"/>
  <c r="AG180" i="19" s="1"/>
  <c r="U181" i="19"/>
  <c r="AG181" i="19" s="1"/>
  <c r="U182" i="19"/>
  <c r="U183" i="19"/>
  <c r="U184" i="19"/>
  <c r="AG184" i="19" s="1"/>
  <c r="U185" i="19"/>
  <c r="AG185" i="19" s="1"/>
  <c r="U186" i="19"/>
  <c r="U187" i="19"/>
  <c r="AG187" i="19" s="1"/>
  <c r="U188" i="19"/>
  <c r="AG188" i="19" s="1"/>
  <c r="U189" i="19"/>
  <c r="AG189" i="19" s="1"/>
  <c r="U190" i="19"/>
  <c r="U191" i="19"/>
  <c r="U192" i="19"/>
  <c r="AG192" i="19" s="1"/>
  <c r="U193" i="19"/>
  <c r="AG193" i="19" s="1"/>
  <c r="U194" i="19"/>
  <c r="U195" i="19"/>
  <c r="AG195" i="19" s="1"/>
  <c r="U196" i="19"/>
  <c r="AG196" i="19" s="1"/>
  <c r="U197" i="19"/>
  <c r="AG197" i="19" s="1"/>
  <c r="U198" i="19"/>
  <c r="U199" i="19"/>
  <c r="U200" i="19"/>
  <c r="AG200" i="19" s="1"/>
  <c r="U201" i="19"/>
  <c r="AG201" i="19" s="1"/>
  <c r="U202" i="19"/>
  <c r="U203" i="19"/>
  <c r="AG203" i="19" s="1"/>
  <c r="U204" i="19"/>
  <c r="AG204" i="19" s="1"/>
  <c r="U205" i="19"/>
  <c r="AG205" i="19" s="1"/>
  <c r="U206" i="19"/>
  <c r="U207" i="19"/>
  <c r="U208" i="19"/>
  <c r="AG208" i="19" s="1"/>
  <c r="U209" i="19"/>
  <c r="AG209" i="19" s="1"/>
  <c r="U210" i="19"/>
  <c r="U211" i="19"/>
  <c r="AG211" i="19" s="1"/>
  <c r="U212" i="19"/>
  <c r="AG212" i="19" s="1"/>
  <c r="U213" i="19"/>
  <c r="AG213" i="19" s="1"/>
  <c r="U214" i="19"/>
  <c r="U215" i="19"/>
  <c r="U216" i="19"/>
  <c r="AG216" i="19" s="1"/>
  <c r="U217" i="19"/>
  <c r="AG217" i="19" s="1"/>
  <c r="U218" i="19"/>
  <c r="U219" i="19"/>
  <c r="AG219" i="19" s="1"/>
  <c r="U220" i="19"/>
  <c r="AG220" i="19" s="1"/>
  <c r="U221" i="19"/>
  <c r="AG221" i="19" s="1"/>
  <c r="U222" i="19"/>
  <c r="U223" i="19"/>
  <c r="U224" i="19"/>
  <c r="AG224" i="19" s="1"/>
  <c r="U225" i="19"/>
  <c r="AG225" i="19" s="1"/>
  <c r="U226" i="19"/>
  <c r="U227" i="19"/>
  <c r="AG227" i="19" s="1"/>
  <c r="U228" i="19"/>
  <c r="AG228" i="19" s="1"/>
  <c r="U229" i="19"/>
  <c r="AG229" i="19" s="1"/>
  <c r="U230" i="19"/>
  <c r="U231" i="19"/>
  <c r="U232" i="19"/>
  <c r="AG232" i="19" s="1"/>
  <c r="U233" i="19"/>
  <c r="AG233" i="19" s="1"/>
  <c r="U234" i="19"/>
  <c r="U235" i="19"/>
  <c r="AG235" i="19" s="1"/>
  <c r="U236" i="19"/>
  <c r="AG236" i="19" s="1"/>
  <c r="U237" i="19"/>
  <c r="AG237" i="19" s="1"/>
  <c r="U238" i="19"/>
  <c r="U239" i="19"/>
  <c r="U240" i="19"/>
  <c r="AG240" i="19" s="1"/>
  <c r="U241" i="19"/>
  <c r="AG241" i="19" s="1"/>
  <c r="U242" i="19"/>
  <c r="U243" i="19"/>
  <c r="AG243" i="19" s="1"/>
  <c r="U244" i="19"/>
  <c r="AG244" i="19" s="1"/>
  <c r="U245" i="19"/>
  <c r="AG245" i="19" s="1"/>
  <c r="U246" i="19"/>
  <c r="U247" i="19"/>
  <c r="U248" i="19"/>
  <c r="AG248" i="19" s="1"/>
  <c r="U249" i="19"/>
  <c r="AG249" i="19" s="1"/>
  <c r="U250" i="19"/>
  <c r="U251" i="19"/>
  <c r="AG251" i="19" s="1"/>
  <c r="U252" i="19"/>
  <c r="AG252" i="19" s="1"/>
  <c r="U253" i="19"/>
  <c r="AG253" i="19" s="1"/>
  <c r="U254" i="19"/>
  <c r="U255" i="19"/>
  <c r="U256" i="19"/>
  <c r="AG256" i="19" s="1"/>
  <c r="U5" i="19"/>
  <c r="Y6" i="19"/>
  <c r="Y7" i="19"/>
  <c r="AK7" i="19" s="1"/>
  <c r="Y8" i="19"/>
  <c r="AK8" i="19" s="1"/>
  <c r="Y9" i="19"/>
  <c r="AK9" i="19" s="1"/>
  <c r="Y10" i="19"/>
  <c r="Y11" i="19"/>
  <c r="Y12" i="19"/>
  <c r="AK12" i="19" s="1"/>
  <c r="Y13" i="19"/>
  <c r="AK13" i="19" s="1"/>
  <c r="Y14" i="19"/>
  <c r="Y15" i="19"/>
  <c r="AK15" i="19" s="1"/>
  <c r="Y16" i="19"/>
  <c r="AK16" i="19" s="1"/>
  <c r="Y17" i="19"/>
  <c r="AK17" i="19" s="1"/>
  <c r="Y18" i="19"/>
  <c r="Y19" i="19"/>
  <c r="Y20" i="19"/>
  <c r="AK20" i="19" s="1"/>
  <c r="Y21" i="19"/>
  <c r="AK21" i="19" s="1"/>
  <c r="Y22" i="19"/>
  <c r="Y23" i="19"/>
  <c r="AK23" i="19" s="1"/>
  <c r="Y24" i="19"/>
  <c r="AK24" i="19" s="1"/>
  <c r="Y25" i="19"/>
  <c r="AK25" i="19" s="1"/>
  <c r="Y26" i="19"/>
  <c r="Y27" i="19"/>
  <c r="Y28" i="19"/>
  <c r="AK28" i="19" s="1"/>
  <c r="Y29" i="19"/>
  <c r="AK29" i="19" s="1"/>
  <c r="Y30" i="19"/>
  <c r="Y31" i="19"/>
  <c r="AK31" i="19" s="1"/>
  <c r="Y32" i="19"/>
  <c r="AK32" i="19" s="1"/>
  <c r="Y33" i="19"/>
  <c r="AK33" i="19" s="1"/>
  <c r="Y34" i="19"/>
  <c r="Y35" i="19"/>
  <c r="Y36" i="19"/>
  <c r="AK36" i="19" s="1"/>
  <c r="Y37" i="19"/>
  <c r="AK37" i="19" s="1"/>
  <c r="Y38" i="19"/>
  <c r="Y39" i="19"/>
  <c r="AK39" i="19" s="1"/>
  <c r="Y40" i="19"/>
  <c r="AK40" i="19" s="1"/>
  <c r="Y41" i="19"/>
  <c r="AK41" i="19" s="1"/>
  <c r="Y42" i="19"/>
  <c r="AK42" i="19" s="1"/>
  <c r="Y43" i="19"/>
  <c r="Y44" i="19"/>
  <c r="AK44" i="19" s="1"/>
  <c r="Y45" i="19"/>
  <c r="AK45" i="19" s="1"/>
  <c r="Y46" i="19"/>
  <c r="Y47" i="19"/>
  <c r="AK47" i="19" s="1"/>
  <c r="Y48" i="19"/>
  <c r="AK48" i="19" s="1"/>
  <c r="Y49" i="19"/>
  <c r="AK49" i="19" s="1"/>
  <c r="Y50" i="19"/>
  <c r="AK50" i="19" s="1"/>
  <c r="Y51" i="19"/>
  <c r="Y52" i="19"/>
  <c r="AK52" i="19" s="1"/>
  <c r="Y53" i="19"/>
  <c r="AK53" i="19" s="1"/>
  <c r="Y54" i="19"/>
  <c r="Y55" i="19"/>
  <c r="AK55" i="19" s="1"/>
  <c r="Y56" i="19"/>
  <c r="AK56" i="19" s="1"/>
  <c r="Y57" i="19"/>
  <c r="AK57" i="19" s="1"/>
  <c r="Y58" i="19"/>
  <c r="AK58" i="19" s="1"/>
  <c r="Y59" i="19"/>
  <c r="Y60" i="19"/>
  <c r="AK60" i="19" s="1"/>
  <c r="Y61" i="19"/>
  <c r="AK61" i="19" s="1"/>
  <c r="Y62" i="19"/>
  <c r="Y63" i="19"/>
  <c r="AK63" i="19" s="1"/>
  <c r="Y64" i="19"/>
  <c r="AK64" i="19" s="1"/>
  <c r="Y65" i="19"/>
  <c r="AK65" i="19" s="1"/>
  <c r="Y66" i="19"/>
  <c r="AK66" i="19" s="1"/>
  <c r="Y67" i="19"/>
  <c r="Y68" i="19"/>
  <c r="AK68" i="19" s="1"/>
  <c r="Y69" i="19"/>
  <c r="AK69" i="19" s="1"/>
  <c r="Y70" i="19"/>
  <c r="Y71" i="19"/>
  <c r="AK71" i="19" s="1"/>
  <c r="Y72" i="19"/>
  <c r="AK72" i="19" s="1"/>
  <c r="Y73" i="19"/>
  <c r="AK73" i="19" s="1"/>
  <c r="Y74" i="19"/>
  <c r="AK74" i="19" s="1"/>
  <c r="Y75" i="19"/>
  <c r="Y76" i="19"/>
  <c r="AK76" i="19" s="1"/>
  <c r="Y77" i="19"/>
  <c r="AK77" i="19" s="1"/>
  <c r="Y78" i="19"/>
  <c r="Y79" i="19"/>
  <c r="AK79" i="19" s="1"/>
  <c r="Y80" i="19"/>
  <c r="AK80" i="19" s="1"/>
  <c r="Y81" i="19"/>
  <c r="AK81" i="19" s="1"/>
  <c r="Y82" i="19"/>
  <c r="AK82" i="19" s="1"/>
  <c r="Y83" i="19"/>
  <c r="Y84" i="19"/>
  <c r="AK84" i="19" s="1"/>
  <c r="Y85" i="19"/>
  <c r="AK85" i="19" s="1"/>
  <c r="Y86" i="19"/>
  <c r="Y87" i="19"/>
  <c r="AK87" i="19" s="1"/>
  <c r="Y88" i="19"/>
  <c r="AK88" i="19" s="1"/>
  <c r="Y89" i="19"/>
  <c r="AK89" i="19" s="1"/>
  <c r="Y90" i="19"/>
  <c r="AK90" i="19" s="1"/>
  <c r="Y91" i="19"/>
  <c r="Y92" i="19"/>
  <c r="AK92" i="19" s="1"/>
  <c r="Y93" i="19"/>
  <c r="AK93" i="19" s="1"/>
  <c r="Y94" i="19"/>
  <c r="Y95" i="19"/>
  <c r="AK95" i="19" s="1"/>
  <c r="Y96" i="19"/>
  <c r="AK96" i="19" s="1"/>
  <c r="Y97" i="19"/>
  <c r="AK97" i="19" s="1"/>
  <c r="Y98" i="19"/>
  <c r="AK98" i="19" s="1"/>
  <c r="Y99" i="19"/>
  <c r="Y100" i="19"/>
  <c r="AK100" i="19" s="1"/>
  <c r="Y101" i="19"/>
  <c r="AK101" i="19" s="1"/>
  <c r="Y102" i="19"/>
  <c r="Y103" i="19"/>
  <c r="AK103" i="19" s="1"/>
  <c r="Y104" i="19"/>
  <c r="AK104" i="19" s="1"/>
  <c r="Y105" i="19"/>
  <c r="AK105" i="19" s="1"/>
  <c r="Y106" i="19"/>
  <c r="AK106" i="19" s="1"/>
  <c r="Y107" i="19"/>
  <c r="Y108" i="19"/>
  <c r="AK108" i="19" s="1"/>
  <c r="Y109" i="19"/>
  <c r="AK109" i="19" s="1"/>
  <c r="Y110" i="19"/>
  <c r="Y111" i="19"/>
  <c r="AK111" i="19" s="1"/>
  <c r="Y112" i="19"/>
  <c r="AK112" i="19" s="1"/>
  <c r="Y113" i="19"/>
  <c r="AK113" i="19" s="1"/>
  <c r="Y114" i="19"/>
  <c r="AK114" i="19" s="1"/>
  <c r="Y115" i="19"/>
  <c r="Y116" i="19"/>
  <c r="AK116" i="19" s="1"/>
  <c r="Y117" i="19"/>
  <c r="AK117" i="19" s="1"/>
  <c r="Y118" i="19"/>
  <c r="Y119" i="19"/>
  <c r="AK119" i="19" s="1"/>
  <c r="Y120" i="19"/>
  <c r="AK120" i="19" s="1"/>
  <c r="Y121" i="19"/>
  <c r="AK121" i="19" s="1"/>
  <c r="Y122" i="19"/>
  <c r="AK122" i="19" s="1"/>
  <c r="Y123" i="19"/>
  <c r="Y124" i="19"/>
  <c r="AK124" i="19" s="1"/>
  <c r="Y125" i="19"/>
  <c r="AK125" i="19" s="1"/>
  <c r="Y126" i="19"/>
  <c r="Y127" i="19"/>
  <c r="AK127" i="19" s="1"/>
  <c r="Y128" i="19"/>
  <c r="AK128" i="19" s="1"/>
  <c r="Y129" i="19"/>
  <c r="AK129" i="19" s="1"/>
  <c r="Y130" i="19"/>
  <c r="AK130" i="19" s="1"/>
  <c r="Y131" i="19"/>
  <c r="Y132" i="19"/>
  <c r="AK132" i="19" s="1"/>
  <c r="Y133" i="19"/>
  <c r="AK133" i="19" s="1"/>
  <c r="Y134" i="19"/>
  <c r="Y135" i="19"/>
  <c r="AK135" i="19" s="1"/>
  <c r="Y136" i="19"/>
  <c r="AK136" i="19" s="1"/>
  <c r="Y137" i="19"/>
  <c r="AK137" i="19" s="1"/>
  <c r="Y138" i="19"/>
  <c r="AK138" i="19" s="1"/>
  <c r="Y139" i="19"/>
  <c r="Y140" i="19"/>
  <c r="AK140" i="19" s="1"/>
  <c r="Y141" i="19"/>
  <c r="AK141" i="19" s="1"/>
  <c r="Y142" i="19"/>
  <c r="Y143" i="19"/>
  <c r="AK143" i="19" s="1"/>
  <c r="Y144" i="19"/>
  <c r="AK144" i="19" s="1"/>
  <c r="Y145" i="19"/>
  <c r="AK145" i="19" s="1"/>
  <c r="Y146" i="19"/>
  <c r="AK146" i="19" s="1"/>
  <c r="Y147" i="19"/>
  <c r="Y148" i="19"/>
  <c r="AK148" i="19" s="1"/>
  <c r="Y149" i="19"/>
  <c r="AK149" i="19" s="1"/>
  <c r="Y150" i="19"/>
  <c r="Y151" i="19"/>
  <c r="AK151" i="19" s="1"/>
  <c r="Y152" i="19"/>
  <c r="AK152" i="19" s="1"/>
  <c r="Y153" i="19"/>
  <c r="AK153" i="19" s="1"/>
  <c r="Y154" i="19"/>
  <c r="AK154" i="19" s="1"/>
  <c r="Y155" i="19"/>
  <c r="Y156" i="19"/>
  <c r="AK156" i="19" s="1"/>
  <c r="Y157" i="19"/>
  <c r="AK157" i="19" s="1"/>
  <c r="Y158" i="19"/>
  <c r="Y159" i="19"/>
  <c r="AK159" i="19" s="1"/>
  <c r="Y160" i="19"/>
  <c r="AK160" i="19" s="1"/>
  <c r="Y161" i="19"/>
  <c r="AK161" i="19" s="1"/>
  <c r="Y162" i="19"/>
  <c r="AK162" i="19" s="1"/>
  <c r="Y163" i="19"/>
  <c r="Y164" i="19"/>
  <c r="AK164" i="19" s="1"/>
  <c r="Y165" i="19"/>
  <c r="AK165" i="19" s="1"/>
  <c r="Y166" i="19"/>
  <c r="Y167" i="19"/>
  <c r="AK167" i="19" s="1"/>
  <c r="Y168" i="19"/>
  <c r="AK168" i="19" s="1"/>
  <c r="Y169" i="19"/>
  <c r="AK169" i="19" s="1"/>
  <c r="Y170" i="19"/>
  <c r="AK170" i="19" s="1"/>
  <c r="Y171" i="19"/>
  <c r="Y172" i="19"/>
  <c r="AK172" i="19" s="1"/>
  <c r="Y173" i="19"/>
  <c r="AK173" i="19" s="1"/>
  <c r="Y174" i="19"/>
  <c r="Y175" i="19"/>
  <c r="AK175" i="19" s="1"/>
  <c r="Y176" i="19"/>
  <c r="AK176" i="19" s="1"/>
  <c r="Y177" i="19"/>
  <c r="AK177" i="19" s="1"/>
  <c r="Y178" i="19"/>
  <c r="AK178" i="19" s="1"/>
  <c r="Y179" i="19"/>
  <c r="Y180" i="19"/>
  <c r="AK180" i="19" s="1"/>
  <c r="Y181" i="19"/>
  <c r="AK181" i="19" s="1"/>
  <c r="Y182" i="19"/>
  <c r="Y183" i="19"/>
  <c r="AK183" i="19" s="1"/>
  <c r="Y184" i="19"/>
  <c r="AK184" i="19" s="1"/>
  <c r="Y185" i="19"/>
  <c r="AK185" i="19" s="1"/>
  <c r="Y186" i="19"/>
  <c r="AK186" i="19" s="1"/>
  <c r="Y187" i="19"/>
  <c r="Y188" i="19"/>
  <c r="Y189" i="19"/>
  <c r="AK189" i="19" s="1"/>
  <c r="Y190" i="19"/>
  <c r="Y191" i="19"/>
  <c r="AK191" i="19" s="1"/>
  <c r="Y192" i="19"/>
  <c r="AK192" i="19" s="1"/>
  <c r="Y193" i="19"/>
  <c r="AK193" i="19" s="1"/>
  <c r="Y194" i="19"/>
  <c r="AK194" i="19" s="1"/>
  <c r="Y195" i="19"/>
  <c r="Y196" i="19"/>
  <c r="AK196" i="19" s="1"/>
  <c r="Y197" i="19"/>
  <c r="AK197" i="19" s="1"/>
  <c r="Y198" i="19"/>
  <c r="Y199" i="19"/>
  <c r="AK199" i="19" s="1"/>
  <c r="Y200" i="19"/>
  <c r="AK200" i="19" s="1"/>
  <c r="Y201" i="19"/>
  <c r="AK201" i="19" s="1"/>
  <c r="Y202" i="19"/>
  <c r="AK202" i="19" s="1"/>
  <c r="Y203" i="19"/>
  <c r="Y204" i="19"/>
  <c r="AK204" i="19" s="1"/>
  <c r="Y205" i="19"/>
  <c r="AK205" i="19" s="1"/>
  <c r="Y206" i="19"/>
  <c r="Y207" i="19"/>
  <c r="AK207" i="19" s="1"/>
  <c r="Y208" i="19"/>
  <c r="AK208" i="19" s="1"/>
  <c r="Y209" i="19"/>
  <c r="AK209" i="19" s="1"/>
  <c r="Y210" i="19"/>
  <c r="AK210" i="19" s="1"/>
  <c r="Y211" i="19"/>
  <c r="Y212" i="19"/>
  <c r="AK212" i="19" s="1"/>
  <c r="Y213" i="19"/>
  <c r="AK213" i="19" s="1"/>
  <c r="Y214" i="19"/>
  <c r="Y215" i="19"/>
  <c r="AK215" i="19" s="1"/>
  <c r="Y216" i="19"/>
  <c r="AK216" i="19" s="1"/>
  <c r="Y217" i="19"/>
  <c r="AK217" i="19" s="1"/>
  <c r="Y218" i="19"/>
  <c r="AK218" i="19" s="1"/>
  <c r="Y219" i="19"/>
  <c r="Y220" i="19"/>
  <c r="AK220" i="19" s="1"/>
  <c r="Y221" i="19"/>
  <c r="AK221" i="19" s="1"/>
  <c r="Y222" i="19"/>
  <c r="Y223" i="19"/>
  <c r="AK223" i="19" s="1"/>
  <c r="Y224" i="19"/>
  <c r="AK224" i="19" s="1"/>
  <c r="Y225" i="19"/>
  <c r="AK225" i="19" s="1"/>
  <c r="Y226" i="19"/>
  <c r="AK226" i="19" s="1"/>
  <c r="Y227" i="19"/>
  <c r="Y228" i="19"/>
  <c r="AK228" i="19" s="1"/>
  <c r="Y229" i="19"/>
  <c r="AK229" i="19" s="1"/>
  <c r="Y230" i="19"/>
  <c r="Y231" i="19"/>
  <c r="AK231" i="19" s="1"/>
  <c r="Y232" i="19"/>
  <c r="AK232" i="19" s="1"/>
  <c r="Y233" i="19"/>
  <c r="AK233" i="19" s="1"/>
  <c r="Y234" i="19"/>
  <c r="AK234" i="19" s="1"/>
  <c r="Y235" i="19"/>
  <c r="Y236" i="19"/>
  <c r="Y237" i="19"/>
  <c r="AK237" i="19" s="1"/>
  <c r="Y238" i="19"/>
  <c r="AK238" i="19" s="1"/>
  <c r="Y239" i="19"/>
  <c r="AK239" i="19" s="1"/>
  <c r="Y240" i="19"/>
  <c r="AK240" i="19" s="1"/>
  <c r="Y241" i="19"/>
  <c r="AK241" i="19" s="1"/>
  <c r="Y242" i="19"/>
  <c r="AK242" i="19" s="1"/>
  <c r="Y243" i="19"/>
  <c r="Y244" i="19"/>
  <c r="Y245" i="19"/>
  <c r="AK245" i="19" s="1"/>
  <c r="Y246" i="19"/>
  <c r="AK246" i="19" s="1"/>
  <c r="Y247" i="19"/>
  <c r="AK247" i="19" s="1"/>
  <c r="Y248" i="19"/>
  <c r="AK248" i="19" s="1"/>
  <c r="Y249" i="19"/>
  <c r="AK249" i="19" s="1"/>
  <c r="Y250" i="19"/>
  <c r="AK250" i="19" s="1"/>
  <c r="Y251" i="19"/>
  <c r="Y252" i="19"/>
  <c r="Y253" i="19"/>
  <c r="AK253" i="19" s="1"/>
  <c r="Y254" i="19"/>
  <c r="Y255" i="19"/>
  <c r="AK255" i="19" s="1"/>
  <c r="Y256" i="19"/>
  <c r="AK256" i="19" s="1"/>
  <c r="H229" i="2"/>
  <c r="H253" i="14"/>
  <c r="H252" i="14"/>
  <c r="H251" i="14"/>
  <c r="I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L2" i="14" s="1"/>
  <c r="L3" i="14" s="1"/>
  <c r="H5" i="14"/>
  <c r="H4" i="14"/>
  <c r="H3" i="14"/>
  <c r="H253" i="3"/>
  <c r="H252" i="3"/>
  <c r="H253" i="10"/>
  <c r="H3" i="10"/>
  <c r="AS10" i="19" l="1"/>
  <c r="AS8" i="19"/>
  <c r="AS11" i="19" s="1"/>
  <c r="AK254" i="19"/>
  <c r="AK230" i="19"/>
  <c r="AK222" i="19"/>
  <c r="AK214" i="19"/>
  <c r="AK206" i="19"/>
  <c r="AK198" i="19"/>
  <c r="AK190" i="19"/>
  <c r="AK182" i="19"/>
  <c r="AK174" i="19"/>
  <c r="AK166" i="19"/>
  <c r="AK158" i="19"/>
  <c r="AK150" i="19"/>
  <c r="AK142" i="19"/>
  <c r="AK134" i="19"/>
  <c r="AK126" i="19"/>
  <c r="AK118" i="19"/>
  <c r="AK110" i="19"/>
  <c r="AK102" i="19"/>
  <c r="AK94" i="19"/>
  <c r="AK86" i="19"/>
  <c r="AK78" i="19"/>
  <c r="AK70" i="19"/>
  <c r="AK62" i="19"/>
  <c r="AK54" i="19"/>
  <c r="AK46" i="19"/>
  <c r="AK38" i="19"/>
  <c r="AK30" i="19"/>
  <c r="AK22" i="19"/>
  <c r="AK14" i="19"/>
  <c r="AK6" i="19"/>
  <c r="AG250" i="19"/>
  <c r="AG242" i="19"/>
  <c r="AG234" i="19"/>
  <c r="AG226" i="19"/>
  <c r="AG218" i="19"/>
  <c r="AG210" i="19"/>
  <c r="AG202" i="19"/>
  <c r="AG194" i="19"/>
  <c r="AG186" i="19"/>
  <c r="AG178" i="19"/>
  <c r="AG170" i="19"/>
  <c r="AG162" i="19"/>
  <c r="AG154" i="19"/>
  <c r="AG146" i="19"/>
  <c r="AG138" i="19"/>
  <c r="AG130" i="19"/>
  <c r="AG122" i="19"/>
  <c r="AG114" i="19"/>
  <c r="AG106" i="19"/>
  <c r="AG98" i="19"/>
  <c r="AG90" i="19"/>
  <c r="AG82" i="19"/>
  <c r="AG74" i="19"/>
  <c r="AG66" i="19"/>
  <c r="AK252" i="19"/>
  <c r="AK244" i="19"/>
  <c r="AK236" i="19"/>
  <c r="AK188" i="19"/>
  <c r="AK251" i="19"/>
  <c r="AK243" i="19"/>
  <c r="AK235" i="19"/>
  <c r="AK227" i="19"/>
  <c r="AK219" i="19"/>
  <c r="AK211" i="19"/>
  <c r="AK203" i="19"/>
  <c r="AK195" i="19"/>
  <c r="AK187" i="19"/>
  <c r="AK179" i="19"/>
  <c r="AK171" i="19"/>
  <c r="AK163" i="19"/>
  <c r="AK155" i="19"/>
  <c r="AK147" i="19"/>
  <c r="AK139" i="19"/>
  <c r="AK131" i="19"/>
  <c r="AK123" i="19"/>
  <c r="AK115" i="19"/>
  <c r="AK107" i="19"/>
  <c r="AK99" i="19"/>
  <c r="AK91" i="19"/>
  <c r="AK83" i="19"/>
  <c r="AK75" i="19"/>
  <c r="AK67" i="19"/>
  <c r="AK59" i="19"/>
  <c r="AK51" i="19"/>
  <c r="AK43" i="19"/>
  <c r="AK35" i="19"/>
  <c r="AK27" i="19"/>
  <c r="AK19" i="19"/>
  <c r="AK11" i="19"/>
  <c r="AG255" i="19"/>
  <c r="AG247" i="19"/>
  <c r="AG239" i="19"/>
  <c r="AG231" i="19"/>
  <c r="AG223" i="19"/>
  <c r="AG215" i="19"/>
  <c r="AG207" i="19"/>
  <c r="AG199" i="19"/>
  <c r="AG191" i="19"/>
  <c r="AG183" i="19"/>
  <c r="AG175" i="19"/>
  <c r="AG167" i="19"/>
  <c r="AG159" i="19"/>
  <c r="AG151" i="19"/>
  <c r="AG143" i="19"/>
  <c r="AG135" i="19"/>
  <c r="AG127" i="19"/>
  <c r="AG119" i="19"/>
  <c r="AG111" i="19"/>
  <c r="AG103" i="19"/>
  <c r="AG95" i="19"/>
  <c r="AG87" i="19"/>
  <c r="AG79" i="19"/>
  <c r="AG71" i="19"/>
  <c r="AG63" i="19"/>
  <c r="AK34" i="19"/>
  <c r="AK26" i="19"/>
  <c r="AK18" i="19"/>
  <c r="AK10" i="19"/>
  <c r="AG254" i="19"/>
  <c r="AG246" i="19"/>
  <c r="AG238" i="19"/>
  <c r="AG230" i="19"/>
  <c r="AG222" i="19"/>
  <c r="AG214" i="19"/>
  <c r="AG206" i="19"/>
  <c r="AG198" i="19"/>
  <c r="AG190" i="19"/>
  <c r="AG182" i="19"/>
  <c r="AG174" i="19"/>
  <c r="AG166" i="19"/>
  <c r="AG158" i="19"/>
  <c r="AG150" i="19"/>
  <c r="AG142" i="19"/>
  <c r="AG134" i="19"/>
  <c r="AG126" i="19"/>
  <c r="AG118" i="19"/>
  <c r="AG110" i="19"/>
  <c r="AG102" i="19"/>
  <c r="AG94" i="19"/>
  <c r="AG86" i="19"/>
  <c r="AG78" i="19"/>
  <c r="AG70" i="19"/>
  <c r="AG62" i="19"/>
  <c r="AG54" i="19"/>
  <c r="AG46" i="19"/>
  <c r="AG38" i="19"/>
  <c r="AG30" i="19"/>
  <c r="AG22" i="19"/>
  <c r="AG14" i="19"/>
  <c r="AM251" i="19"/>
  <c r="AM243" i="19"/>
  <c r="AM235" i="19"/>
  <c r="AM227" i="19"/>
  <c r="AM219" i="19"/>
  <c r="AM211" i="19"/>
  <c r="AM203" i="19"/>
  <c r="AM195" i="19"/>
  <c r="AM187" i="19"/>
  <c r="AM179" i="19"/>
  <c r="AM171" i="19"/>
  <c r="AM163" i="19"/>
  <c r="AM155" i="19"/>
  <c r="AM147" i="19"/>
  <c r="AM139" i="19"/>
  <c r="AM131" i="19"/>
  <c r="AM123" i="19"/>
  <c r="AM115" i="19"/>
  <c r="AM107" i="19"/>
  <c r="AM99" i="19"/>
  <c r="AM91" i="19"/>
  <c r="AM83" i="19"/>
  <c r="AM75" i="19"/>
  <c r="AM67" i="19"/>
  <c r="AM59" i="19"/>
  <c r="AM51" i="19"/>
  <c r="AM43" i="19"/>
  <c r="AM35" i="19"/>
  <c r="AM27" i="19"/>
  <c r="AM19" i="19"/>
  <c r="AM11" i="19"/>
  <c r="AL254" i="19"/>
  <c r="AL246" i="19"/>
  <c r="AL238" i="19"/>
  <c r="AL230" i="19"/>
  <c r="AL222" i="19"/>
  <c r="AL214" i="19"/>
  <c r="AL206" i="19"/>
  <c r="AL198" i="19"/>
  <c r="AL190" i="19"/>
  <c r="AL182" i="19"/>
  <c r="AL174" i="19"/>
  <c r="AL166" i="19"/>
  <c r="AL158" i="19"/>
  <c r="AL150" i="19"/>
  <c r="AL142" i="19"/>
  <c r="AL134" i="19"/>
  <c r="AL126" i="19"/>
  <c r="AL118" i="19"/>
  <c r="AL110" i="19"/>
  <c r="AL102" i="19"/>
  <c r="AL94" i="19"/>
  <c r="AL86" i="19"/>
  <c r="AL78" i="19"/>
  <c r="AL70" i="19"/>
  <c r="AL62" i="19"/>
  <c r="AL54" i="19"/>
  <c r="AL46" i="19"/>
  <c r="AL38" i="19"/>
  <c r="AL30" i="19"/>
  <c r="AL22" i="19"/>
  <c r="AL14" i="19"/>
  <c r="AL6" i="19"/>
  <c r="AN251" i="19"/>
  <c r="AN243" i="19"/>
  <c r="AN235" i="19"/>
  <c r="AN227" i="19"/>
  <c r="AN219" i="19"/>
  <c r="AN211" i="19"/>
  <c r="AN203" i="19"/>
  <c r="AN195" i="19"/>
  <c r="AN187" i="19"/>
  <c r="AN179" i="19"/>
  <c r="AN171" i="19"/>
  <c r="AN163" i="19"/>
  <c r="AN155" i="19"/>
  <c r="AN147" i="19"/>
  <c r="AN139" i="19"/>
  <c r="AN131" i="19"/>
  <c r="AN123" i="19"/>
  <c r="AN115" i="19"/>
  <c r="AN107" i="19"/>
  <c r="AN99" i="19"/>
  <c r="AN91" i="19"/>
  <c r="AN83" i="19"/>
  <c r="AN75" i="19"/>
  <c r="AN67" i="19"/>
  <c r="AN59" i="19"/>
  <c r="AN51" i="19"/>
  <c r="AN43" i="19"/>
  <c r="AN35" i="19"/>
  <c r="AN27" i="19"/>
  <c r="AN19" i="19"/>
  <c r="AN11" i="19"/>
  <c r="AO255" i="19"/>
  <c r="AO247" i="19"/>
  <c r="AO239" i="19"/>
  <c r="AO231" i="19"/>
  <c r="AO223" i="19"/>
  <c r="AO215" i="19"/>
  <c r="AO207" i="19"/>
  <c r="AO199" i="19"/>
  <c r="AO191" i="19"/>
  <c r="AO183" i="19"/>
  <c r="AO175" i="19"/>
  <c r="AO167" i="19"/>
  <c r="AO159" i="19"/>
  <c r="AO151" i="19"/>
  <c r="AO143" i="19"/>
  <c r="AO135" i="19"/>
  <c r="AO127" i="19"/>
  <c r="AO119" i="19"/>
  <c r="AO111" i="19"/>
  <c r="AO103" i="19"/>
  <c r="AO95" i="19"/>
  <c r="AO87" i="19"/>
  <c r="AO79" i="19"/>
  <c r="AO71" i="19"/>
  <c r="AO63" i="19"/>
  <c r="AO55" i="19"/>
  <c r="AO47" i="19"/>
  <c r="AO39" i="19"/>
  <c r="AO31" i="19"/>
  <c r="AO23" i="19"/>
  <c r="AO15" i="19"/>
  <c r="AO7" i="19"/>
  <c r="BB4" i="19" s="1"/>
  <c r="BB8" i="19" s="1"/>
  <c r="AP251" i="19"/>
  <c r="AP243" i="19"/>
  <c r="AP235" i="19"/>
  <c r="AP227" i="19"/>
  <c r="AP219" i="19"/>
  <c r="AP211" i="19"/>
  <c r="AP203" i="19"/>
  <c r="AP195" i="19"/>
  <c r="AP187" i="19"/>
  <c r="AP179" i="19"/>
  <c r="AP171" i="19"/>
  <c r="AP163" i="19"/>
  <c r="AP155" i="19"/>
  <c r="AP147" i="19"/>
  <c r="AP139" i="19"/>
  <c r="AP131" i="19"/>
  <c r="AP123" i="19"/>
  <c r="AP115" i="19"/>
  <c r="AP107" i="19"/>
  <c r="AP99" i="19"/>
  <c r="AP91" i="19"/>
  <c r="AP83" i="19"/>
  <c r="AP75" i="19"/>
  <c r="AP67" i="19"/>
  <c r="AP59" i="19"/>
  <c r="AP51" i="19"/>
  <c r="AP43" i="19"/>
  <c r="AP35" i="19"/>
  <c r="AP27" i="19"/>
  <c r="AP19" i="19"/>
  <c r="AP11" i="19"/>
  <c r="AG60" i="19"/>
  <c r="AG52" i="19"/>
  <c r="AG44" i="19"/>
  <c r="AG36" i="19"/>
  <c r="AG28" i="19"/>
  <c r="AG20" i="19"/>
  <c r="AG12" i="19"/>
  <c r="AT6" i="19" s="1"/>
  <c r="AM249" i="19"/>
  <c r="AM241" i="19"/>
  <c r="AM177" i="19"/>
  <c r="AM41" i="19"/>
  <c r="AL252" i="19"/>
  <c r="AL228" i="19"/>
  <c r="AL220" i="19"/>
  <c r="AL212" i="19"/>
  <c r="AL204" i="19"/>
  <c r="AL188" i="19"/>
  <c r="AL164" i="19"/>
  <c r="AL132" i="19"/>
  <c r="AL116" i="19"/>
  <c r="AL84" i="19"/>
  <c r="AL76" i="19"/>
  <c r="AL68" i="19"/>
  <c r="AL60" i="19"/>
  <c r="AL52" i="19"/>
  <c r="AL44" i="19"/>
  <c r="AL36" i="19"/>
  <c r="AL28" i="19"/>
  <c r="AL20" i="19"/>
  <c r="AL12" i="19"/>
  <c r="AN249" i="19"/>
  <c r="AN241" i="19"/>
  <c r="AN233" i="19"/>
  <c r="AN225" i="19"/>
  <c r="AN217" i="19"/>
  <c r="AN209" i="19"/>
  <c r="AN201" i="19"/>
  <c r="AN193" i="19"/>
  <c r="AN185" i="19"/>
  <c r="AN177" i="19"/>
  <c r="AN169" i="19"/>
  <c r="AN161" i="19"/>
  <c r="AN153" i="19"/>
  <c r="AN145" i="19"/>
  <c r="AN137" i="19"/>
  <c r="AN129" i="19"/>
  <c r="AN121" i="19"/>
  <c r="AN113" i="19"/>
  <c r="AN105" i="19"/>
  <c r="AN97" i="19"/>
  <c r="AN89" i="19"/>
  <c r="AN81" i="19"/>
  <c r="AN73" i="19"/>
  <c r="AN65" i="19"/>
  <c r="AN57" i="19"/>
  <c r="AN49" i="19"/>
  <c r="AN33" i="19"/>
  <c r="AO253" i="19"/>
  <c r="AO245" i="19"/>
  <c r="AO237" i="19"/>
  <c r="AO229" i="19"/>
  <c r="AO213" i="19"/>
  <c r="AO197" i="19"/>
  <c r="AO189" i="19"/>
  <c r="AO181" i="19"/>
  <c r="AO173" i="19"/>
  <c r="AO165" i="19"/>
  <c r="AO157" i="19"/>
  <c r="AO149" i="19"/>
  <c r="AO141" i="19"/>
  <c r="AO133" i="19"/>
  <c r="AO117" i="19"/>
  <c r="AO109" i="19"/>
  <c r="AO93" i="19"/>
  <c r="AO85" i="19"/>
  <c r="AO77" i="19"/>
  <c r="AO69" i="19"/>
  <c r="AO61" i="19"/>
  <c r="AO53" i="19"/>
  <c r="AO45" i="19"/>
  <c r="AO37" i="19"/>
  <c r="AO29" i="19"/>
  <c r="AO21" i="19"/>
  <c r="AO13" i="19"/>
  <c r="AP249" i="19"/>
  <c r="AP241" i="19"/>
  <c r="AP233" i="19"/>
  <c r="AP225" i="19"/>
  <c r="AP217" i="19"/>
  <c r="AP209" i="19"/>
  <c r="AP161" i="19"/>
  <c r="AP153" i="19"/>
  <c r="AP145" i="19"/>
  <c r="AP137" i="19"/>
  <c r="AP129" i="19"/>
  <c r="AP121" i="19"/>
  <c r="AP113" i="19"/>
  <c r="AP105" i="19"/>
  <c r="AP97" i="19"/>
  <c r="AP89" i="19"/>
  <c r="AP81" i="19"/>
  <c r="AP73" i="19"/>
  <c r="AP65" i="19"/>
  <c r="AP57" i="19"/>
  <c r="AP49" i="19"/>
  <c r="AP41" i="19"/>
  <c r="AP33" i="19"/>
  <c r="AP25" i="19"/>
  <c r="AP17" i="19"/>
  <c r="AP9" i="19"/>
  <c r="AG43" i="19"/>
  <c r="AP192" i="19"/>
  <c r="AP184" i="19"/>
  <c r="AP176" i="19"/>
  <c r="AP168" i="19"/>
  <c r="AP104" i="19"/>
  <c r="AP96" i="19"/>
  <c r="AP32" i="19"/>
  <c r="AP24" i="19"/>
  <c r="AP16" i="19"/>
  <c r="AP8" i="19"/>
  <c r="AV10" i="19"/>
  <c r="AV8" i="19"/>
  <c r="AV11" i="19" s="1"/>
  <c r="AM103" i="19"/>
  <c r="AL106" i="19"/>
  <c r="AP215" i="19"/>
  <c r="AM254" i="19"/>
  <c r="AM246" i="19"/>
  <c r="AM238" i="19"/>
  <c r="AM6" i="19"/>
  <c r="AN6" i="19"/>
  <c r="AP222" i="19"/>
  <c r="AP174" i="19"/>
  <c r="AP6" i="19"/>
  <c r="AU10" i="19"/>
  <c r="AU8" i="19"/>
  <c r="AU11" i="19" s="1"/>
  <c r="AM253" i="19"/>
  <c r="AM245" i="19"/>
  <c r="AM229" i="19"/>
  <c r="AM197" i="19"/>
  <c r="AM165" i="19"/>
  <c r="AM157" i="19"/>
  <c r="AM149" i="19"/>
  <c r="AM125" i="19"/>
  <c r="AM109" i="19"/>
  <c r="AM101" i="19"/>
  <c r="AM77" i="19"/>
  <c r="AM37" i="19"/>
  <c r="AM29" i="19"/>
  <c r="AL216" i="19"/>
  <c r="AN253" i="19"/>
  <c r="AN245" i="19"/>
  <c r="AN237" i="19"/>
  <c r="AN229" i="19"/>
  <c r="AN221" i="19"/>
  <c r="AN213" i="19"/>
  <c r="AN205" i="19"/>
  <c r="AN197" i="19"/>
  <c r="AN189" i="19"/>
  <c r="AN181" i="19"/>
  <c r="AN173" i="19"/>
  <c r="AN165" i="19"/>
  <c r="AN157" i="19"/>
  <c r="AN149" i="19"/>
  <c r="AN141" i="19"/>
  <c r="AN133" i="19"/>
  <c r="AO185" i="19"/>
  <c r="AO177" i="19"/>
  <c r="AO169" i="19"/>
  <c r="AO161" i="19"/>
  <c r="AO153" i="19"/>
  <c r="AO145" i="19"/>
  <c r="AO129" i="19"/>
  <c r="AO121" i="19"/>
  <c r="AO113" i="19"/>
  <c r="AO65" i="19"/>
  <c r="AO49" i="19"/>
  <c r="AO33" i="19"/>
  <c r="AP101" i="19"/>
  <c r="AP93" i="19"/>
  <c r="AP85" i="19"/>
  <c r="AP77" i="19"/>
  <c r="AP69" i="19"/>
  <c r="AP61" i="19"/>
  <c r="AP53" i="19"/>
  <c r="AP45" i="19"/>
  <c r="AP37" i="19"/>
  <c r="AP29" i="19"/>
  <c r="AP21" i="19"/>
  <c r="AP13" i="19"/>
  <c r="AW8" i="19"/>
  <c r="AW11" i="19" s="1"/>
  <c r="AW10" i="19"/>
  <c r="AG55" i="19"/>
  <c r="AG47" i="19"/>
  <c r="AG39" i="19"/>
  <c r="AG31" i="19"/>
  <c r="AG23" i="19"/>
  <c r="AG15" i="19"/>
  <c r="AG7" i="19"/>
  <c r="AT7" i="19" s="1"/>
  <c r="AM252" i="19"/>
  <c r="AM244" i="19"/>
  <c r="AM236" i="19"/>
  <c r="AM228" i="19"/>
  <c r="AM220" i="19"/>
  <c r="AM212" i="19"/>
  <c r="AM204" i="19"/>
  <c r="AM196" i="19"/>
  <c r="AM188" i="19"/>
  <c r="AM180" i="19"/>
  <c r="AM172" i="19"/>
  <c r="AM164" i="19"/>
  <c r="AM156" i="19"/>
  <c r="AM148" i="19"/>
  <c r="AM140" i="19"/>
  <c r="AM132" i="19"/>
  <c r="AM124" i="19"/>
  <c r="AM116" i="19"/>
  <c r="AM108" i="19"/>
  <c r="AM100" i="19"/>
  <c r="AM92" i="19"/>
  <c r="AM84" i="19"/>
  <c r="AM76" i="19"/>
  <c r="AM68" i="19"/>
  <c r="AM60" i="19"/>
  <c r="AM52" i="19"/>
  <c r="AM44" i="19"/>
  <c r="AM36" i="19"/>
  <c r="AM28" i="19"/>
  <c r="AM20" i="19"/>
  <c r="AM12" i="19"/>
  <c r="AL255" i="19"/>
  <c r="AL247" i="19"/>
  <c r="AL239" i="19"/>
  <c r="AL231" i="19"/>
  <c r="AL223" i="19"/>
  <c r="AL215" i="19"/>
  <c r="AL207" i="19"/>
  <c r="AL199" i="19"/>
  <c r="AL191" i="19"/>
  <c r="AL183" i="19"/>
  <c r="AL175" i="19"/>
  <c r="AL167" i="19"/>
  <c r="AL159" i="19"/>
  <c r="AL151" i="19"/>
  <c r="AL143" i="19"/>
  <c r="AL135" i="19"/>
  <c r="AL127" i="19"/>
  <c r="AL119" i="19"/>
  <c r="AL111" i="19"/>
  <c r="AL103" i="19"/>
  <c r="AL95" i="19"/>
  <c r="AL87" i="19"/>
  <c r="AL79" i="19"/>
  <c r="AL71" i="19"/>
  <c r="AL63" i="19"/>
  <c r="AL55" i="19"/>
  <c r="AL47" i="19"/>
  <c r="AL39" i="19"/>
  <c r="AL31" i="19"/>
  <c r="AL23" i="19"/>
  <c r="AL15" i="19"/>
  <c r="AL7" i="19"/>
  <c r="AN252" i="19"/>
  <c r="AN244" i="19"/>
  <c r="AN236" i="19"/>
  <c r="AN228" i="19"/>
  <c r="AN220" i="19"/>
  <c r="AN212" i="19"/>
  <c r="AN204" i="19"/>
  <c r="AN196" i="19"/>
  <c r="AN188" i="19"/>
  <c r="AN180" i="19"/>
  <c r="AN172" i="19"/>
  <c r="AN164" i="19"/>
  <c r="AN156" i="19"/>
  <c r="AN148" i="19"/>
  <c r="AN140" i="19"/>
  <c r="AN132" i="19"/>
  <c r="AN124" i="19"/>
  <c r="AN116" i="19"/>
  <c r="AN108" i="19"/>
  <c r="AN100" i="19"/>
  <c r="AN92" i="19"/>
  <c r="AN84" i="19"/>
  <c r="AN76" i="19"/>
  <c r="AN68" i="19"/>
  <c r="AN60" i="19"/>
  <c r="AN52" i="19"/>
  <c r="AN44" i="19"/>
  <c r="AN36" i="19"/>
  <c r="AN28" i="19"/>
  <c r="AN20" i="19"/>
  <c r="AN12" i="19"/>
  <c r="AO256" i="19"/>
  <c r="AO248" i="19"/>
  <c r="AO240" i="19"/>
  <c r="AO232" i="19"/>
  <c r="AO224" i="19"/>
  <c r="AO216" i="19"/>
  <c r="AO208" i="19"/>
  <c r="AO200" i="19"/>
  <c r="AO192" i="19"/>
  <c r="AO184" i="19"/>
  <c r="AO176" i="19"/>
  <c r="AO168" i="19"/>
  <c r="AO160" i="19"/>
  <c r="AO152" i="19"/>
  <c r="AO144" i="19"/>
  <c r="AO136" i="19"/>
  <c r="AO128" i="19"/>
  <c r="AO120" i="19"/>
  <c r="AO112" i="19"/>
  <c r="AO104" i="19"/>
  <c r="AO96" i="19"/>
  <c r="AO88" i="19"/>
  <c r="AO80" i="19"/>
  <c r="AO72" i="19"/>
  <c r="AO64" i="19"/>
  <c r="AO56" i="19"/>
  <c r="AO48" i="19"/>
  <c r="AO40" i="19"/>
  <c r="AO32" i="19"/>
  <c r="AO24" i="19"/>
  <c r="AO16" i="19"/>
  <c r="AO8" i="19"/>
  <c r="BB7" i="19" s="1"/>
  <c r="BB10" i="19" s="1"/>
  <c r="AP252" i="19"/>
  <c r="AP244" i="19"/>
  <c r="AP236" i="19"/>
  <c r="AP228" i="19"/>
  <c r="AP220" i="19"/>
  <c r="AP212" i="19"/>
  <c r="AP204" i="19"/>
  <c r="AP196" i="19"/>
  <c r="AP188" i="19"/>
  <c r="AP180" i="19"/>
  <c r="AP172" i="19"/>
  <c r="AP164" i="19"/>
  <c r="AP156" i="19"/>
  <c r="AP148" i="19"/>
  <c r="AP140" i="19"/>
  <c r="AP132" i="19"/>
  <c r="AP124" i="19"/>
  <c r="AP116" i="19"/>
  <c r="AP108" i="19"/>
  <c r="AP100" i="19"/>
  <c r="AP92" i="19"/>
  <c r="AP84" i="19"/>
  <c r="AP76" i="19"/>
  <c r="AP68" i="19"/>
  <c r="AP60" i="19"/>
  <c r="AP52" i="19"/>
  <c r="AP44" i="19"/>
  <c r="AP36" i="19"/>
  <c r="AP28" i="19"/>
  <c r="AP20" i="19"/>
  <c r="AP12" i="19"/>
  <c r="K2" i="14"/>
  <c r="K3" i="14" s="1"/>
  <c r="L2" i="11"/>
  <c r="L3" i="11" s="1"/>
  <c r="K2" i="11"/>
  <c r="K3" i="11" s="1"/>
  <c r="L2" i="9"/>
  <c r="L3" i="9" s="1"/>
  <c r="K2" i="9"/>
  <c r="K3" i="9" s="1"/>
  <c r="L2" i="6"/>
  <c r="L3" i="6" s="1"/>
  <c r="K2" i="6"/>
  <c r="K3" i="6" s="1"/>
  <c r="K3" i="5"/>
  <c r="L2" i="5"/>
  <c r="L3" i="5" s="1"/>
  <c r="K2" i="5"/>
  <c r="K3" i="4"/>
  <c r="L2" i="4"/>
  <c r="L3" i="4" s="1"/>
  <c r="K2" i="4"/>
  <c r="L2" i="1"/>
  <c r="K2" i="1"/>
  <c r="H253" i="8"/>
  <c r="H252" i="8"/>
  <c r="H253" i="7"/>
  <c r="H252" i="7"/>
  <c r="H253" i="11"/>
  <c r="H252" i="11"/>
  <c r="H252" i="10"/>
  <c r="H253" i="9"/>
  <c r="H252" i="9"/>
  <c r="H253" i="6"/>
  <c r="H252" i="6"/>
  <c r="H253" i="5"/>
  <c r="H252" i="5"/>
  <c r="H253" i="4"/>
  <c r="H252" i="4"/>
  <c r="H253" i="2"/>
  <c r="H252" i="2"/>
  <c r="H253" i="1"/>
  <c r="H252" i="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251" i="9"/>
  <c r="H250" i="9"/>
  <c r="H249" i="9"/>
  <c r="H248" i="9"/>
  <c r="H247" i="9"/>
  <c r="H246" i="9"/>
  <c r="H245" i="9"/>
  <c r="H244" i="9"/>
  <c r="H243" i="9"/>
  <c r="H242" i="9"/>
  <c r="H241" i="9"/>
  <c r="H240" i="9"/>
  <c r="H239" i="9"/>
  <c r="H238" i="9"/>
  <c r="H237" i="9"/>
  <c r="H236" i="9"/>
  <c r="H235" i="9"/>
  <c r="H234" i="9"/>
  <c r="H233" i="9"/>
  <c r="H232" i="9"/>
  <c r="H231" i="9"/>
  <c r="H230" i="9"/>
  <c r="H229" i="9"/>
  <c r="H228" i="9"/>
  <c r="H227" i="9"/>
  <c r="H226" i="9"/>
  <c r="H225" i="9"/>
  <c r="H224" i="9"/>
  <c r="H223" i="9"/>
  <c r="H222" i="9"/>
  <c r="H221" i="9"/>
  <c r="H220" i="9"/>
  <c r="H219" i="9"/>
  <c r="H218" i="9"/>
  <c r="H217" i="9"/>
  <c r="H216" i="9"/>
  <c r="H215" i="9"/>
  <c r="H214" i="9"/>
  <c r="H213" i="9"/>
  <c r="H212" i="9"/>
  <c r="H211" i="9"/>
  <c r="H210" i="9"/>
  <c r="H209" i="9"/>
  <c r="H208" i="9"/>
  <c r="H207" i="9"/>
  <c r="H206" i="9"/>
  <c r="H205" i="9"/>
  <c r="H204" i="9"/>
  <c r="H203" i="9"/>
  <c r="H202" i="9"/>
  <c r="H201" i="9"/>
  <c r="H200" i="9"/>
  <c r="H199" i="9"/>
  <c r="H198" i="9"/>
  <c r="H197" i="9"/>
  <c r="H196" i="9"/>
  <c r="H195" i="9"/>
  <c r="H194" i="9"/>
  <c r="H193" i="9"/>
  <c r="H192" i="9"/>
  <c r="H191" i="9"/>
  <c r="H190" i="9"/>
  <c r="H189" i="9"/>
  <c r="H188" i="9"/>
  <c r="H187" i="9"/>
  <c r="H186" i="9"/>
  <c r="H185" i="9"/>
  <c r="H184" i="9"/>
  <c r="H183" i="9"/>
  <c r="H182" i="9"/>
  <c r="H181" i="9"/>
  <c r="H180" i="9"/>
  <c r="H179" i="9"/>
  <c r="H178" i="9"/>
  <c r="H177" i="9"/>
  <c r="H176" i="9"/>
  <c r="H175" i="9"/>
  <c r="H174" i="9"/>
  <c r="H173" i="9"/>
  <c r="H172" i="9"/>
  <c r="H171" i="9"/>
  <c r="H170" i="9"/>
  <c r="H169" i="9"/>
  <c r="H168" i="9"/>
  <c r="H167" i="9"/>
  <c r="H166" i="9"/>
  <c r="H165" i="9"/>
  <c r="H164" i="9"/>
  <c r="H163" i="9"/>
  <c r="H162" i="9"/>
  <c r="H161" i="9"/>
  <c r="H160" i="9"/>
  <c r="H159" i="9"/>
  <c r="H158" i="9"/>
  <c r="H157" i="9"/>
  <c r="H156" i="9"/>
  <c r="H155" i="9"/>
  <c r="H154" i="9"/>
  <c r="H153" i="9"/>
  <c r="H152" i="9"/>
  <c r="H151" i="9"/>
  <c r="H150" i="9"/>
  <c r="H149" i="9"/>
  <c r="H148" i="9"/>
  <c r="H147" i="9"/>
  <c r="H146" i="9"/>
  <c r="H145" i="9"/>
  <c r="H144" i="9"/>
  <c r="H143" i="9"/>
  <c r="H142" i="9"/>
  <c r="H141" i="9"/>
  <c r="H140" i="9"/>
  <c r="H139" i="9"/>
  <c r="H138" i="9"/>
  <c r="H137" i="9"/>
  <c r="H136" i="9"/>
  <c r="H135" i="9"/>
  <c r="H134" i="9"/>
  <c r="H133" i="9"/>
  <c r="H132" i="9"/>
  <c r="H131" i="9"/>
  <c r="H130" i="9"/>
  <c r="H129" i="9"/>
  <c r="H128" i="9"/>
  <c r="H127" i="9"/>
  <c r="H126" i="9"/>
  <c r="H125" i="9"/>
  <c r="H124" i="9"/>
  <c r="H123" i="9"/>
  <c r="H122" i="9"/>
  <c r="H121" i="9"/>
  <c r="H120" i="9"/>
  <c r="H119" i="9"/>
  <c r="H118" i="9"/>
  <c r="H117" i="9"/>
  <c r="H116" i="9"/>
  <c r="H115" i="9"/>
  <c r="H114" i="9"/>
  <c r="H113" i="9"/>
  <c r="H112" i="9"/>
  <c r="H111" i="9"/>
  <c r="H110" i="9"/>
  <c r="H109" i="9"/>
  <c r="H108" i="9"/>
  <c r="H107" i="9"/>
  <c r="H106" i="9"/>
  <c r="H105" i="9"/>
  <c r="H104" i="9"/>
  <c r="H103" i="9"/>
  <c r="H102" i="9"/>
  <c r="H101" i="9"/>
  <c r="H100" i="9"/>
  <c r="H99" i="9"/>
  <c r="H98" i="9"/>
  <c r="H97" i="9"/>
  <c r="H96" i="9"/>
  <c r="H95" i="9"/>
  <c r="H94" i="9"/>
  <c r="H93" i="9"/>
  <c r="H92" i="9"/>
  <c r="H91" i="9"/>
  <c r="H90" i="9"/>
  <c r="H89" i="9"/>
  <c r="H88" i="9"/>
  <c r="H87" i="9"/>
  <c r="H86" i="9"/>
  <c r="H85" i="9"/>
  <c r="H84" i="9"/>
  <c r="H83" i="9"/>
  <c r="H82" i="9"/>
  <c r="H81" i="9"/>
  <c r="H80" i="9"/>
  <c r="H79" i="9"/>
  <c r="H78" i="9"/>
  <c r="H77" i="9"/>
  <c r="H76" i="9"/>
  <c r="H75" i="9"/>
  <c r="H74" i="9"/>
  <c r="H73" i="9"/>
  <c r="H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W17" i="19" a="1"/>
  <c r="AW17" i="19" l="1"/>
  <c r="BB11" i="19"/>
  <c r="BA7" i="19"/>
  <c r="BA4" i="19"/>
  <c r="BA6" i="19"/>
  <c r="BB6" i="19"/>
  <c r="AZ6" i="19"/>
  <c r="AZ4" i="19"/>
  <c r="AZ7" i="19"/>
  <c r="AY6" i="19"/>
  <c r="AY7" i="19"/>
  <c r="AY4" i="19"/>
  <c r="AT4" i="19"/>
  <c r="BC7" i="19"/>
  <c r="BC4" i="19"/>
  <c r="BC6" i="19"/>
  <c r="AX6" i="19"/>
  <c r="AX7" i="19"/>
  <c r="AX4" i="19"/>
  <c r="K2" i="7"/>
  <c r="L2" i="7"/>
  <c r="L3" i="7" s="1"/>
  <c r="L2" i="2"/>
  <c r="L3" i="2" s="1"/>
  <c r="K2" i="2"/>
  <c r="K3" i="2" s="1"/>
  <c r="K2" i="10"/>
  <c r="K3" i="10" s="1"/>
  <c r="L2" i="10"/>
  <c r="L3" i="10" s="1"/>
  <c r="K2" i="8"/>
  <c r="K3" i="8" s="1"/>
  <c r="L2" i="8"/>
  <c r="L3" i="8" s="1"/>
  <c r="K2" i="3"/>
  <c r="K3" i="3" s="1"/>
  <c r="L2" i="3"/>
  <c r="L3" i="3" s="1"/>
  <c r="L3" i="1"/>
  <c r="K3" i="1"/>
  <c r="AU66" i="19" a="1"/>
  <c r="AT104" i="19" a="1"/>
  <c r="AT99" i="19" a="1"/>
  <c r="AU50" i="19" a="1"/>
  <c r="AT91" i="19" a="1"/>
  <c r="AT115" i="19" a="1"/>
  <c r="AT103" i="19" a="1"/>
  <c r="AT117" i="19" a="1"/>
  <c r="AT105" i="19" a="1"/>
  <c r="AT107" i="19" a="1"/>
  <c r="AU34" i="19" a="1"/>
  <c r="AT94" i="19" a="1"/>
  <c r="AT84" i="19" a="1"/>
  <c r="AT118" i="19" a="1"/>
  <c r="AT102" i="19" a="1"/>
  <c r="AT113" i="19" a="1"/>
  <c r="AT112" i="19" a="1"/>
  <c r="AT110" i="19" a="1"/>
  <c r="AT101" i="19" a="1"/>
  <c r="AT93" i="19" a="1"/>
  <c r="AT82" i="19" a="1"/>
  <c r="AT83" i="19" a="1"/>
  <c r="AT88" i="19" a="1"/>
  <c r="AT111" i="19" a="1"/>
  <c r="AT90" i="19" a="1"/>
  <c r="AT89" i="19" a="1"/>
  <c r="AT100" i="19" a="1"/>
  <c r="AT98" i="19" a="1"/>
  <c r="AT86" i="19" a="1"/>
  <c r="AT108" i="19" a="1"/>
  <c r="AT85" i="19" a="1"/>
  <c r="AT109" i="19" a="1"/>
  <c r="AT87" i="19" a="1"/>
  <c r="AT119" i="19" a="1"/>
  <c r="AT106" i="19" a="1"/>
  <c r="AT92" i="19" a="1"/>
  <c r="AT116" i="19" a="1"/>
  <c r="AT114" i="19" a="1"/>
  <c r="AT97" i="19" a="1"/>
  <c r="AT96" i="19" a="1"/>
  <c r="AT95" i="19" a="1"/>
  <c r="AU66" i="19" l="1"/>
  <c r="AU77" i="19" s="1"/>
  <c r="AT99" i="19"/>
  <c r="AT95" i="19"/>
  <c r="AT97" i="19"/>
  <c r="AT83" i="19"/>
  <c r="AT87" i="19"/>
  <c r="AT91" i="19"/>
  <c r="AT96" i="19"/>
  <c r="AT102" i="19"/>
  <c r="AT106" i="19"/>
  <c r="AT110" i="19"/>
  <c r="AT114" i="19"/>
  <c r="AT118" i="19"/>
  <c r="AT84" i="19"/>
  <c r="AT88" i="19"/>
  <c r="AT92" i="19"/>
  <c r="AT98" i="19"/>
  <c r="AT103" i="19"/>
  <c r="AT107" i="19"/>
  <c r="AT111" i="19"/>
  <c r="AT115" i="19"/>
  <c r="AT119" i="19"/>
  <c r="AT85" i="19"/>
  <c r="AT89" i="19"/>
  <c r="AT93" i="19"/>
  <c r="AT100" i="19"/>
  <c r="AT104" i="19"/>
  <c r="AT108" i="19"/>
  <c r="AT112" i="19"/>
  <c r="AT116" i="19"/>
  <c r="AT86" i="19"/>
  <c r="AT90" i="19"/>
  <c r="AT94" i="19"/>
  <c r="AT101" i="19"/>
  <c r="AT105" i="19"/>
  <c r="AT109" i="19"/>
  <c r="AT113" i="19"/>
  <c r="AT117" i="19"/>
  <c r="AT82" i="19"/>
  <c r="AU50" i="19"/>
  <c r="AU61" i="19" s="1"/>
  <c r="AU34" i="19"/>
  <c r="AU45" i="19" s="1"/>
  <c r="AZ10" i="19"/>
  <c r="AZ8" i="19"/>
  <c r="AZ11" i="19" s="1"/>
  <c r="BC10" i="19"/>
  <c r="BC8" i="19"/>
  <c r="BC11" i="19" s="1"/>
  <c r="AT10" i="19"/>
  <c r="AT8" i="19"/>
  <c r="AT11" i="19" s="1"/>
  <c r="AY10" i="19"/>
  <c r="AY8" i="19"/>
  <c r="AY11" i="19" s="1"/>
  <c r="BA10" i="19"/>
  <c r="BA8" i="19"/>
  <c r="BA11" i="19" s="1"/>
  <c r="AX8" i="19"/>
  <c r="AX11" i="19" s="1"/>
  <c r="AX10" i="19"/>
  <c r="AT34" i="19" a="1"/>
  <c r="AT34" i="19" s="1"/>
  <c r="AT45" i="19" s="1"/>
  <c r="AX68" i="19" a="1"/>
  <c r="AX68" i="19" s="1"/>
  <c r="BM105" i="19" s="1"/>
  <c r="BL113" i="19" s="1"/>
  <c r="AT66" i="19" a="1"/>
  <c r="AT66" i="19" s="1"/>
  <c r="AT77" i="19" s="1"/>
  <c r="AT50" i="19" a="1"/>
  <c r="AT50" i="19" s="1"/>
  <c r="AT61" i="19" s="1"/>
  <c r="AX35" i="19" a="1"/>
  <c r="AX35" i="19" s="1"/>
  <c r="BO102" i="19" s="1"/>
  <c r="AX51" i="19" a="1"/>
  <c r="AX51" i="19" s="1"/>
  <c r="BM106" i="19" l="1"/>
  <c r="BL114" i="19"/>
  <c r="BM114" i="19" s="1"/>
  <c r="BL122" i="19"/>
  <c r="BM122" i="19" s="1"/>
  <c r="BM113" i="19"/>
  <c r="BL115" i="19"/>
  <c r="BM115" i="19" s="1"/>
  <c r="BL123" i="19"/>
  <c r="BM123" i="19" s="1"/>
  <c r="BL121" i="19"/>
  <c r="BM121" i="19" s="1"/>
  <c r="BL116" i="19"/>
  <c r="BM116" i="19" s="1"/>
  <c r="BL117" i="19"/>
  <c r="BM117" i="19" s="1"/>
  <c r="BL118" i="19"/>
  <c r="BM118" i="19" s="1"/>
  <c r="BL119" i="19"/>
  <c r="BM119" i="19" s="1"/>
  <c r="BL120" i="19"/>
  <c r="BM120" i="19" s="1"/>
  <c r="BE97" i="19" a="1"/>
  <c r="BE97" i="19" s="1"/>
  <c r="BF97" i="19" a="1"/>
  <c r="BF97" i="19" s="1"/>
  <c r="BQ105" i="19"/>
  <c r="BE95" i="19" a="1"/>
  <c r="BE95" i="19" s="1"/>
  <c r="BF95" i="19" a="1"/>
  <c r="BF95" i="19" s="1"/>
  <c r="BE99" i="19" a="1"/>
  <c r="BE99" i="19" s="1"/>
  <c r="BF99" i="19" a="1"/>
  <c r="BF99" i="19" s="1"/>
  <c r="BF109" i="19" a="1"/>
  <c r="BF109" i="19" s="1"/>
  <c r="BE109" i="19" a="1"/>
  <c r="BE109" i="19" s="1"/>
  <c r="AZ35" i="19"/>
  <c r="BA35" i="19"/>
  <c r="BF105" i="19" a="1"/>
  <c r="BF105" i="19" s="1"/>
  <c r="BE105" i="19" a="1"/>
  <c r="BE105" i="19" s="1"/>
  <c r="BF104" i="19" a="1"/>
  <c r="BF104" i="19" s="1"/>
  <c r="BE104" i="19" a="1"/>
  <c r="BE104" i="19" s="1"/>
  <c r="BE107" i="19" a="1"/>
  <c r="BE107" i="19" s="1"/>
  <c r="BF107" i="19" a="1"/>
  <c r="BF107" i="19" s="1"/>
  <c r="BF110" i="19" a="1"/>
  <c r="BF110" i="19" s="1"/>
  <c r="BE110" i="19" a="1"/>
  <c r="BE110" i="19" s="1"/>
  <c r="BA51" i="19"/>
  <c r="AZ51" i="19"/>
  <c r="BE108" i="19" a="1"/>
  <c r="BE108" i="19" s="1"/>
  <c r="BF108" i="19" a="1"/>
  <c r="BF108" i="19" s="1"/>
  <c r="BF111" i="19" a="1"/>
  <c r="BF111" i="19" s="1"/>
  <c r="BE111" i="19" a="1"/>
  <c r="BE111" i="19" s="1"/>
  <c r="BE114" i="19" a="1"/>
  <c r="BE114" i="19" s="1"/>
  <c r="BF114" i="19" a="1"/>
  <c r="BF114" i="19" s="1"/>
  <c r="BE94" i="19" a="1"/>
  <c r="BE94" i="19" s="1"/>
  <c r="BF94" i="19" a="1"/>
  <c r="BF94" i="19" s="1"/>
  <c r="BF93" i="19" a="1"/>
  <c r="BF93" i="19" s="1"/>
  <c r="BE93" i="19" a="1"/>
  <c r="BE93" i="19" s="1"/>
  <c r="BE98" i="19" a="1"/>
  <c r="BE98" i="19" s="1"/>
  <c r="BF98" i="19" a="1"/>
  <c r="BF98" i="19" s="1"/>
  <c r="BF102" i="19" a="1"/>
  <c r="BF102" i="19" s="1"/>
  <c r="BE102" i="19" a="1"/>
  <c r="BE102" i="19" s="1"/>
  <c r="AZ68" i="19"/>
  <c r="BA68" i="19"/>
  <c r="BM102" i="19" s="1"/>
  <c r="BF90" i="19" a="1"/>
  <c r="BF90" i="19" s="1"/>
  <c r="BE90" i="19" a="1"/>
  <c r="BE90" i="19" s="1"/>
  <c r="BF89" i="19" a="1"/>
  <c r="BF89" i="19" s="1"/>
  <c r="BE89" i="19" a="1"/>
  <c r="BE89" i="19" s="1"/>
  <c r="BF92" i="19" a="1"/>
  <c r="BF92" i="19" s="1"/>
  <c r="BE92" i="19" a="1"/>
  <c r="BE92" i="19" s="1"/>
  <c r="BF96" i="19" a="1"/>
  <c r="BF96" i="19" s="1"/>
  <c r="BE96" i="19" a="1"/>
  <c r="BE96" i="19" s="1"/>
  <c r="BF82" i="19" a="1"/>
  <c r="BF82" i="19" s="1"/>
  <c r="BE82" i="19" a="1"/>
  <c r="BE82" i="19" s="1"/>
  <c r="BE86" i="19" a="1"/>
  <c r="BE86" i="19" s="1"/>
  <c r="BF86" i="19" a="1"/>
  <c r="BF86" i="19" s="1"/>
  <c r="BF85" i="19" a="1"/>
  <c r="BF85" i="19" s="1"/>
  <c r="BE85" i="19" a="1"/>
  <c r="BE85" i="19" s="1"/>
  <c r="BE88" i="19" a="1"/>
  <c r="BE88" i="19" s="1"/>
  <c r="BF88" i="19" a="1"/>
  <c r="BF88" i="19" s="1"/>
  <c r="BE91" i="19" a="1"/>
  <c r="BE91" i="19" s="1"/>
  <c r="BF91" i="19" a="1"/>
  <c r="BF91" i="19" s="1"/>
  <c r="BF101" i="19" a="1"/>
  <c r="BF101" i="19" s="1"/>
  <c r="BE101" i="19" a="1"/>
  <c r="BE101" i="19" s="1"/>
  <c r="BE100" i="19" a="1"/>
  <c r="BE100" i="19" s="1"/>
  <c r="BF100" i="19" a="1"/>
  <c r="BF100" i="19" s="1"/>
  <c r="BF103" i="19" a="1"/>
  <c r="BF103" i="19" s="1"/>
  <c r="BE103" i="19" a="1"/>
  <c r="BE103" i="19" s="1"/>
  <c r="BE106" i="19" a="1"/>
  <c r="BE106" i="19" s="1"/>
  <c r="BF106" i="19" a="1"/>
  <c r="BF106" i="19" s="1"/>
  <c r="BE117" i="19" a="1"/>
  <c r="BE117" i="19" s="1"/>
  <c r="BF117" i="19" a="1"/>
  <c r="BF117" i="19" s="1"/>
  <c r="BE116" i="19" a="1"/>
  <c r="BE116" i="19" s="1"/>
  <c r="BF116" i="19" a="1"/>
  <c r="BF116" i="19" s="1"/>
  <c r="BF119" i="19" a="1"/>
  <c r="BF119" i="19" s="1"/>
  <c r="BE119" i="19" a="1"/>
  <c r="BE119" i="19" s="1"/>
  <c r="BE84" i="19" a="1"/>
  <c r="BE84" i="19" s="1"/>
  <c r="BF84" i="19" a="1"/>
  <c r="BF84" i="19" s="1"/>
  <c r="BE87" i="19" a="1"/>
  <c r="BE87" i="19" s="1"/>
  <c r="BF87" i="19" a="1"/>
  <c r="BF87" i="19" s="1"/>
  <c r="BF113" i="19" a="1"/>
  <c r="BF113" i="19" s="1"/>
  <c r="BE113" i="19" a="1"/>
  <c r="BE113" i="19" s="1"/>
  <c r="BF112" i="19" a="1"/>
  <c r="BF112" i="19" s="1"/>
  <c r="BE112" i="19" a="1"/>
  <c r="BE112" i="19" s="1"/>
  <c r="BF115" i="19" a="1"/>
  <c r="BF115" i="19" s="1"/>
  <c r="BE115" i="19" a="1"/>
  <c r="BE115" i="19" s="1"/>
  <c r="BF118" i="19" a="1"/>
  <c r="BF118" i="19" s="1"/>
  <c r="BE118" i="19" a="1"/>
  <c r="BE118" i="19" s="1"/>
  <c r="BF83" i="19" a="1"/>
  <c r="BF83" i="19" s="1"/>
  <c r="BE83" i="19" a="1"/>
  <c r="BE83" i="19" s="1"/>
  <c r="BO116" i="19" l="1"/>
  <c r="BP116" i="19" s="1"/>
  <c r="BQ106" i="19"/>
  <c r="BT117" i="19"/>
  <c r="BU117" i="19" s="1"/>
  <c r="BW117" i="19" s="1"/>
  <c r="BX117" i="19" s="1"/>
  <c r="BT118" i="19"/>
  <c r="BU118" i="19" s="1"/>
  <c r="BW118" i="19" s="1"/>
  <c r="BX118" i="19" s="1"/>
  <c r="BT119" i="19"/>
  <c r="BU119" i="19" s="1"/>
  <c r="BW119" i="19" s="1"/>
  <c r="BX119" i="19" s="1"/>
  <c r="BT122" i="19"/>
  <c r="BU122" i="19" s="1"/>
  <c r="BW122" i="19" s="1"/>
  <c r="BX122" i="19" s="1"/>
  <c r="BT120" i="19"/>
  <c r="BU120" i="19" s="1"/>
  <c r="BT121" i="19"/>
  <c r="BU121" i="19" s="1"/>
  <c r="BW121" i="19" s="1"/>
  <c r="BX121" i="19" s="1"/>
  <c r="BT116" i="19"/>
  <c r="BU116" i="19" s="1"/>
  <c r="BW116" i="19" s="1"/>
  <c r="BX116" i="19" s="1"/>
  <c r="BT114" i="19"/>
  <c r="BU114" i="19" s="1"/>
  <c r="BW114" i="19" s="1"/>
  <c r="BX114" i="19" s="1"/>
  <c r="BT115" i="19"/>
  <c r="BU115" i="19" s="1"/>
  <c r="BW115" i="19" s="1"/>
  <c r="BX115" i="19" s="1"/>
  <c r="BT123" i="19"/>
  <c r="BU123" i="19" s="1"/>
  <c r="BW123" i="19" s="1"/>
  <c r="BX123" i="19" s="1"/>
  <c r="BT113" i="19"/>
  <c r="BU113" i="19" s="1"/>
  <c r="BO121" i="19"/>
  <c r="BP121" i="19" s="1"/>
  <c r="BO123" i="19"/>
  <c r="BP123" i="19" s="1"/>
  <c r="BO115" i="19"/>
  <c r="BP115" i="19" s="1"/>
  <c r="BO120" i="19"/>
  <c r="BP120" i="19" s="1"/>
  <c r="BM111" i="19"/>
  <c r="BO113" i="19"/>
  <c r="BP113" i="19" s="1"/>
  <c r="BO119" i="19"/>
  <c r="BP119" i="19" s="1"/>
  <c r="BO122" i="19"/>
  <c r="BP122" i="19" s="1"/>
  <c r="BP118" i="19"/>
  <c r="BO118" i="19"/>
  <c r="BO114" i="19"/>
  <c r="BP114" i="19" s="1"/>
  <c r="BO117" i="19"/>
  <c r="BP117" i="19" s="1"/>
  <c r="BL127" i="19"/>
  <c r="BM127" i="19" s="1"/>
  <c r="BO127" i="19" s="1"/>
  <c r="BP127" i="19" s="1"/>
  <c r="BL128" i="19"/>
  <c r="BM128" i="19" s="1"/>
  <c r="BO128" i="19" s="1"/>
  <c r="BP128" i="19" s="1"/>
  <c r="BM125" i="19"/>
  <c r="BL126" i="19"/>
  <c r="BM126" i="19" s="1"/>
  <c r="BO126" i="19" s="1"/>
  <c r="BP126" i="19" s="1"/>
  <c r="BL129" i="19"/>
  <c r="BM129" i="19" s="1"/>
  <c r="BO129" i="19" s="1"/>
  <c r="BP129" i="19" s="1"/>
  <c r="BL130" i="19"/>
  <c r="BM130" i="19" s="1"/>
  <c r="BO130" i="19" s="1"/>
  <c r="BP130" i="19" s="1"/>
  <c r="BP102" i="19"/>
  <c r="BI106" i="19"/>
  <c r="BI114" i="19"/>
  <c r="BI122" i="19"/>
  <c r="BI130" i="19"/>
  <c r="BI138" i="19"/>
  <c r="BI107" i="19"/>
  <c r="BI115" i="19"/>
  <c r="BI123" i="19"/>
  <c r="BI131" i="19"/>
  <c r="BI139" i="19"/>
  <c r="BI129" i="19"/>
  <c r="BI108" i="19"/>
  <c r="BI116" i="19"/>
  <c r="BI124" i="19"/>
  <c r="BI132" i="19"/>
  <c r="BI121" i="19"/>
  <c r="BI109" i="19"/>
  <c r="BI117" i="19"/>
  <c r="BI125" i="19"/>
  <c r="BI133" i="19"/>
  <c r="BI137" i="19"/>
  <c r="BI102" i="19"/>
  <c r="BI110" i="19"/>
  <c r="BI118" i="19"/>
  <c r="BI126" i="19"/>
  <c r="BI134" i="19"/>
  <c r="BI113" i="19"/>
  <c r="BI103" i="19"/>
  <c r="BI111" i="19"/>
  <c r="BI119" i="19"/>
  <c r="BI127" i="19"/>
  <c r="BI135" i="19"/>
  <c r="BI104" i="19"/>
  <c r="BI112" i="19"/>
  <c r="BI120" i="19"/>
  <c r="BI128" i="19"/>
  <c r="BI136" i="19"/>
  <c r="BI105" i="19"/>
  <c r="BP111" i="19" l="1"/>
  <c r="BW120" i="19"/>
  <c r="BX120" i="19" s="1"/>
  <c r="BO125" i="19"/>
  <c r="BP125" i="19" s="1"/>
  <c r="BP131" i="19" s="1"/>
  <c r="BM131" i="19"/>
  <c r="BW113" i="19"/>
  <c r="BX113" i="19" s="1"/>
  <c r="BU111" i="19"/>
  <c r="BT127" i="19"/>
  <c r="BU127" i="19" s="1"/>
  <c r="BW127" i="19" s="1"/>
  <c r="BX127" i="19" s="1"/>
  <c r="BT128" i="19"/>
  <c r="BU128" i="19" s="1"/>
  <c r="BW128" i="19" s="1"/>
  <c r="BX128" i="19" s="1"/>
  <c r="BT129" i="19"/>
  <c r="BU129" i="19" s="1"/>
  <c r="BW129" i="19" s="1"/>
  <c r="BX129" i="19" s="1"/>
  <c r="BT125" i="19"/>
  <c r="BU125" i="19" s="1"/>
  <c r="BT126" i="19"/>
  <c r="BU126" i="19" s="1"/>
  <c r="BW126" i="19" s="1"/>
  <c r="BX126" i="19" s="1"/>
  <c r="BT130" i="19"/>
  <c r="BU130" i="19" s="1"/>
  <c r="BW130" i="19" s="1"/>
  <c r="BX130" i="19" s="1"/>
  <c r="BN132" i="19" l="1"/>
  <c r="BN110" i="19" s="1"/>
  <c r="BW125" i="19"/>
  <c r="BX125" i="19" s="1"/>
  <c r="BX131" i="19" s="1"/>
  <c r="BU131" i="19"/>
  <c r="BX111" i="19"/>
  <c r="BV132" i="19" l="1"/>
  <c r="BV110" i="1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<sst xmlns="http://schemas.openxmlformats.org/spreadsheetml/2006/main" count="3687" uniqueCount="2357">
  <si>
    <t>Fecha</t>
  </si>
  <si>
    <t>Cierre</t>
  </si>
  <si>
    <t>Apertura</t>
  </si>
  <si>
    <t>Máximo</t>
  </si>
  <si>
    <t>Mínimo</t>
  </si>
  <si>
    <t>Vol.</t>
  </si>
  <si>
    <t>% var.</t>
  </si>
  <si>
    <r>
      <t>R</t>
    </r>
    <r>
      <rPr>
        <vertAlign val="subscript"/>
        <sz val="11"/>
        <color theme="1"/>
        <rFont val="Aptos Narrow"/>
        <family val="2"/>
        <scheme val="minor"/>
      </rPr>
      <t>rendimiento</t>
    </r>
  </si>
  <si>
    <r>
      <t>r</t>
    </r>
    <r>
      <rPr>
        <vertAlign val="subscript"/>
        <sz val="11"/>
        <color theme="1"/>
        <rFont val="Aptos Narrow"/>
        <family val="2"/>
        <scheme val="minor"/>
      </rPr>
      <t>V</t>
    </r>
  </si>
  <si>
    <r>
      <rPr>
        <sz val="11"/>
        <color theme="1"/>
        <rFont val="Aptos Narrow"/>
        <family val="2"/>
      </rPr>
      <t>σ</t>
    </r>
    <r>
      <rPr>
        <vertAlign val="subscript"/>
        <sz val="11"/>
        <color theme="1"/>
        <rFont val="Aptos Narrow"/>
        <family val="2"/>
        <scheme val="minor"/>
      </rPr>
      <t>V</t>
    </r>
  </si>
  <si>
    <t>4.29M</t>
  </si>
  <si>
    <t>-</t>
  </si>
  <si>
    <t>1 día</t>
  </si>
  <si>
    <t>5.27M</t>
  </si>
  <si>
    <t>anual</t>
  </si>
  <si>
    <t>17.71M</t>
  </si>
  <si>
    <t>7.56M</t>
  </si>
  <si>
    <t>4.33M</t>
  </si>
  <si>
    <t>4.24M</t>
  </si>
  <si>
    <t>3.62M</t>
  </si>
  <si>
    <t>3.37M</t>
  </si>
  <si>
    <t>4.96M</t>
  </si>
  <si>
    <t>5.90M</t>
  </si>
  <si>
    <t>4.23M</t>
  </si>
  <si>
    <t>2.59M</t>
  </si>
  <si>
    <t>2.88M</t>
  </si>
  <si>
    <t>4.89M</t>
  </si>
  <si>
    <t>3.82M</t>
  </si>
  <si>
    <t>2.38M</t>
  </si>
  <si>
    <t>3.34M</t>
  </si>
  <si>
    <t>4.42M</t>
  </si>
  <si>
    <t>3.35M</t>
  </si>
  <si>
    <t>2.52M</t>
  </si>
  <si>
    <t>2.65M</t>
  </si>
  <si>
    <t>4.76M</t>
  </si>
  <si>
    <t>4.14M</t>
  </si>
  <si>
    <t>2.27M</t>
  </si>
  <si>
    <t>6.11M</t>
  </si>
  <si>
    <t>4.02M</t>
  </si>
  <si>
    <t>2.61M</t>
  </si>
  <si>
    <t>3.77M</t>
  </si>
  <si>
    <t>2.41M</t>
  </si>
  <si>
    <t>2.46M</t>
  </si>
  <si>
    <t>2.19M</t>
  </si>
  <si>
    <t>2.32M</t>
  </si>
  <si>
    <t>3.42M</t>
  </si>
  <si>
    <t>1.89M</t>
  </si>
  <si>
    <t>4.15M</t>
  </si>
  <si>
    <t>2.40M</t>
  </si>
  <si>
    <t>2.83M</t>
  </si>
  <si>
    <t>2.24M</t>
  </si>
  <si>
    <t>1.83M</t>
  </si>
  <si>
    <t>2.06M</t>
  </si>
  <si>
    <t>2.10M</t>
  </si>
  <si>
    <t>4.21M</t>
  </si>
  <si>
    <t>3.74M</t>
  </si>
  <si>
    <t>2.53M</t>
  </si>
  <si>
    <t>1.75M</t>
  </si>
  <si>
    <t>2.43M</t>
  </si>
  <si>
    <t>1.71M</t>
  </si>
  <si>
    <t>2.12M</t>
  </si>
  <si>
    <t>2.18M</t>
  </si>
  <si>
    <t>3.45M</t>
  </si>
  <si>
    <t>5.34M</t>
  </si>
  <si>
    <t>8.05M</t>
  </si>
  <si>
    <t>2.69M</t>
  </si>
  <si>
    <t>1.65M</t>
  </si>
  <si>
    <t>1.40M</t>
  </si>
  <si>
    <t>1.99M</t>
  </si>
  <si>
    <t>1.19M</t>
  </si>
  <si>
    <t>1.90M</t>
  </si>
  <si>
    <t>2.75M</t>
  </si>
  <si>
    <t>1.46M</t>
  </si>
  <si>
    <t>1.32M</t>
  </si>
  <si>
    <t>1.50M</t>
  </si>
  <si>
    <t>1.38M</t>
  </si>
  <si>
    <t>2.23M</t>
  </si>
  <si>
    <t>1.81M</t>
  </si>
  <si>
    <t>1.37M</t>
  </si>
  <si>
    <t>1.09M</t>
  </si>
  <si>
    <t>2.29M</t>
  </si>
  <si>
    <t>1.95M</t>
  </si>
  <si>
    <t>1.85M</t>
  </si>
  <si>
    <t>2.09M</t>
  </si>
  <si>
    <t>3.20M</t>
  </si>
  <si>
    <t>2.56M</t>
  </si>
  <si>
    <t>3.08M</t>
  </si>
  <si>
    <t>1.70M</t>
  </si>
  <si>
    <t>1.73M</t>
  </si>
  <si>
    <t>1.28M</t>
  </si>
  <si>
    <t>1.98M</t>
  </si>
  <si>
    <t>1.82M</t>
  </si>
  <si>
    <t>2.14M</t>
  </si>
  <si>
    <t>2.54M</t>
  </si>
  <si>
    <t>1.67M</t>
  </si>
  <si>
    <t>1.62M</t>
  </si>
  <si>
    <t>1.88M</t>
  </si>
  <si>
    <t>3.52M</t>
  </si>
  <si>
    <t>2.04M</t>
  </si>
  <si>
    <t>2.58M</t>
  </si>
  <si>
    <t>1.78M</t>
  </si>
  <si>
    <t>1.43M</t>
  </si>
  <si>
    <t>1.31M</t>
  </si>
  <si>
    <t>1.26M</t>
  </si>
  <si>
    <t>1.13M</t>
  </si>
  <si>
    <t>2.13M</t>
  </si>
  <si>
    <t>1.69M</t>
  </si>
  <si>
    <t>2.00M</t>
  </si>
  <si>
    <t>2.95M</t>
  </si>
  <si>
    <t>6.78M</t>
  </si>
  <si>
    <t>9.39M</t>
  </si>
  <si>
    <t>3.26M</t>
  </si>
  <si>
    <t>3.11M</t>
  </si>
  <si>
    <t>5.00M</t>
  </si>
  <si>
    <t>4.01M</t>
  </si>
  <si>
    <t>3.55M</t>
  </si>
  <si>
    <t>1.25M</t>
  </si>
  <si>
    <t>2.49M</t>
  </si>
  <si>
    <t>1.47M</t>
  </si>
  <si>
    <t>1.56M</t>
  </si>
  <si>
    <t>2.78M</t>
  </si>
  <si>
    <t>1.77M</t>
  </si>
  <si>
    <t>2.07M</t>
  </si>
  <si>
    <t>1.72M</t>
  </si>
  <si>
    <t>1.51M</t>
  </si>
  <si>
    <t>964.02K</t>
  </si>
  <si>
    <t>1.36M</t>
  </si>
  <si>
    <t>1.16M</t>
  </si>
  <si>
    <t>3.72M</t>
  </si>
  <si>
    <t>1.27M</t>
  </si>
  <si>
    <t>1.33M</t>
  </si>
  <si>
    <t>1.53M</t>
  </si>
  <si>
    <t>1.74M</t>
  </si>
  <si>
    <t>2.85M</t>
  </si>
  <si>
    <t>1.94M</t>
  </si>
  <si>
    <t>1.61M</t>
  </si>
  <si>
    <t>1.35M</t>
  </si>
  <si>
    <t>1.24M</t>
  </si>
  <si>
    <t>2.05M</t>
  </si>
  <si>
    <t>1.45M</t>
  </si>
  <si>
    <t>859.77K</t>
  </si>
  <si>
    <t>2.08M</t>
  </si>
  <si>
    <t>5.07M</t>
  </si>
  <si>
    <t>4.46M</t>
  </si>
  <si>
    <t>7.66M</t>
  </si>
  <si>
    <t>2.30M</t>
  </si>
  <si>
    <t>2.96M</t>
  </si>
  <si>
    <t>3.01M</t>
  </si>
  <si>
    <t>2.03M</t>
  </si>
  <si>
    <t>1.42M</t>
  </si>
  <si>
    <t>1.44M</t>
  </si>
  <si>
    <t>2.57M</t>
  </si>
  <si>
    <t>4.58M</t>
  </si>
  <si>
    <t>9.95M</t>
  </si>
  <si>
    <t>5.05M</t>
  </si>
  <si>
    <t>2.92M</t>
  </si>
  <si>
    <t>4.28M</t>
  </si>
  <si>
    <t>4.66M</t>
  </si>
  <si>
    <t>5.59M</t>
  </si>
  <si>
    <t>4.70M</t>
  </si>
  <si>
    <t>4.06M</t>
  </si>
  <si>
    <t>3.66M</t>
  </si>
  <si>
    <t>3.61M</t>
  </si>
  <si>
    <t>2.48M</t>
  </si>
  <si>
    <t>2.72M</t>
  </si>
  <si>
    <t>1.87M</t>
  </si>
  <si>
    <t>1.11M</t>
  </si>
  <si>
    <t>1.30M</t>
  </si>
  <si>
    <t>1.52M</t>
  </si>
  <si>
    <t>1.63M</t>
  </si>
  <si>
    <t>883.55K</t>
  </si>
  <si>
    <t>845.43K</t>
  </si>
  <si>
    <t>1.04M</t>
  </si>
  <si>
    <t>1.59M</t>
  </si>
  <si>
    <t>2.01M</t>
  </si>
  <si>
    <t>1.20M</t>
  </si>
  <si>
    <t>1.76M</t>
  </si>
  <si>
    <t>1.08M</t>
  </si>
  <si>
    <t>3.21M</t>
  </si>
  <si>
    <t>2.02M</t>
  </si>
  <si>
    <t>1.92M</t>
  </si>
  <si>
    <t>1.60M</t>
  </si>
  <si>
    <t>2.76M</t>
  </si>
  <si>
    <t>2.28M</t>
  </si>
  <si>
    <t>2.60M</t>
  </si>
  <si>
    <t>2.31M</t>
  </si>
  <si>
    <t>2.21M</t>
  </si>
  <si>
    <t>2.55M</t>
  </si>
  <si>
    <t>1.96M</t>
  </si>
  <si>
    <t>2.22M</t>
  </si>
  <si>
    <t>2.71M</t>
  </si>
  <si>
    <t>1.79M</t>
  </si>
  <si>
    <t>2.16M</t>
  </si>
  <si>
    <t>4.04M</t>
  </si>
  <si>
    <t>2.70M</t>
  </si>
  <si>
    <t>4.98M</t>
  </si>
  <si>
    <t>3.71M</t>
  </si>
  <si>
    <t>2.35M</t>
  </si>
  <si>
    <t>2.33M</t>
  </si>
  <si>
    <t>1.97M</t>
  </si>
  <si>
    <t>2.99M</t>
  </si>
  <si>
    <t>2.44M</t>
  </si>
  <si>
    <t>2.17M</t>
  </si>
  <si>
    <t>2.67M</t>
  </si>
  <si>
    <t>3.92M</t>
  </si>
  <si>
    <t>1.66M</t>
  </si>
  <si>
    <t>2.74M</t>
  </si>
  <si>
    <t>2.64M</t>
  </si>
  <si>
    <t>5.06M</t>
  </si>
  <si>
    <t>2.45M</t>
  </si>
  <si>
    <t>3.31M</t>
  </si>
  <si>
    <t>4.11M</t>
  </si>
  <si>
    <t>3.15M</t>
  </si>
  <si>
    <t>3.19M</t>
  </si>
  <si>
    <t>1.80M</t>
  </si>
  <si>
    <t>2.11M</t>
  </si>
  <si>
    <t>3.76M</t>
  </si>
  <si>
    <t>2.25M</t>
  </si>
  <si>
    <t>4.31M</t>
  </si>
  <si>
    <t>3.81M</t>
  </si>
  <si>
    <t>4.50M</t>
  </si>
  <si>
    <t>1.54M</t>
  </si>
  <si>
    <t>1.64M</t>
  </si>
  <si>
    <t>2.34M</t>
  </si>
  <si>
    <t>2.20M</t>
  </si>
  <si>
    <t>3.47M</t>
  </si>
  <si>
    <t>3.48M</t>
  </si>
  <si>
    <t>3.07M</t>
  </si>
  <si>
    <t>2.86M</t>
  </si>
  <si>
    <t>1.49M</t>
  </si>
  <si>
    <t>2.89M</t>
  </si>
  <si>
    <t>1.86M</t>
  </si>
  <si>
    <t>1.91M</t>
  </si>
  <si>
    <t>1.58M</t>
  </si>
  <si>
    <t>3.12M</t>
  </si>
  <si>
    <t>2.36M</t>
  </si>
  <si>
    <t>2.63M</t>
  </si>
  <si>
    <t>2.94M</t>
  </si>
  <si>
    <t>3.05M</t>
  </si>
  <si>
    <t>7.32M</t>
  </si>
  <si>
    <t>2.82M</t>
  </si>
  <si>
    <t>3.28M</t>
  </si>
  <si>
    <t>2.37M</t>
  </si>
  <si>
    <t>2.47M</t>
  </si>
  <si>
    <t>2.73M</t>
  </si>
  <si>
    <t>6.01M</t>
  </si>
  <si>
    <t>4.51M</t>
  </si>
  <si>
    <t>1.93M</t>
  </si>
  <si>
    <t>2.26M</t>
  </si>
  <si>
    <t>3.22M</t>
  </si>
  <si>
    <t>1.84M</t>
  </si>
  <si>
    <t>1.41M</t>
  </si>
  <si>
    <t>2.15M</t>
  </si>
  <si>
    <t>3.29M</t>
  </si>
  <si>
    <t>4.10M</t>
  </si>
  <si>
    <t>1.21M</t>
  </si>
  <si>
    <t>1.48M</t>
  </si>
  <si>
    <t>2.91M</t>
  </si>
  <si>
    <t>8.11M</t>
  </si>
  <si>
    <t>3.36M</t>
  </si>
  <si>
    <t>3.02M</t>
  </si>
  <si>
    <t>1.10M</t>
  </si>
  <si>
    <t>1.17M</t>
  </si>
  <si>
    <t>1.22M</t>
  </si>
  <si>
    <t>1.18M</t>
  </si>
  <si>
    <t>1.05M</t>
  </si>
  <si>
    <t>1.55M</t>
  </si>
  <si>
    <t>6.25M</t>
  </si>
  <si>
    <t>1.01M</t>
  </si>
  <si>
    <t>2.81M</t>
  </si>
  <si>
    <t>3.96M</t>
  </si>
  <si>
    <t>3.57M</t>
  </si>
  <si>
    <t>3.88M</t>
  </si>
  <si>
    <t>1.07M</t>
  </si>
  <si>
    <t>3.18M</t>
  </si>
  <si>
    <t>5.77M</t>
  </si>
  <si>
    <t>6.42M</t>
  </si>
  <si>
    <t>1.12M</t>
  </si>
  <si>
    <t>2.62M</t>
  </si>
  <si>
    <t>1.68M</t>
  </si>
  <si>
    <t>2.90M</t>
  </si>
  <si>
    <t>1.14M</t>
  </si>
  <si>
    <t>1.34M</t>
  </si>
  <si>
    <t>4.53M</t>
  </si>
  <si>
    <t>3.33M</t>
  </si>
  <si>
    <t>3.30M</t>
  </si>
  <si>
    <t>3.51M</t>
  </si>
  <si>
    <t>3.39M</t>
  </si>
  <si>
    <t>3.54M</t>
  </si>
  <si>
    <t>3.95M</t>
  </si>
  <si>
    <t>2.79M</t>
  </si>
  <si>
    <t>3.56M</t>
  </si>
  <si>
    <t>3.50M</t>
  </si>
  <si>
    <t>3.69M</t>
  </si>
  <si>
    <t>952.31K</t>
  </si>
  <si>
    <t>680.23K</t>
  </si>
  <si>
    <t>2.87M</t>
  </si>
  <si>
    <t>2.50M</t>
  </si>
  <si>
    <t>2.97M</t>
  </si>
  <si>
    <t>2.84M</t>
  </si>
  <si>
    <t>3.10M</t>
  </si>
  <si>
    <t>5.41M</t>
  </si>
  <si>
    <t>3.24M</t>
  </si>
  <si>
    <t>3.90M</t>
  </si>
  <si>
    <t>1.57M</t>
  </si>
  <si>
    <t>4.48M</t>
  </si>
  <si>
    <t>2.51M</t>
  </si>
  <si>
    <t>3.09M</t>
  </si>
  <si>
    <t>2.42M</t>
  </si>
  <si>
    <t>4.07M</t>
  </si>
  <si>
    <t>2.93M</t>
  </si>
  <si>
    <t>3.00M</t>
  </si>
  <si>
    <t>2.77M</t>
  </si>
  <si>
    <t>4.52M</t>
  </si>
  <si>
    <t>3.64M</t>
  </si>
  <si>
    <t>3.58M</t>
  </si>
  <si>
    <t>4.19M</t>
  </si>
  <si>
    <t>3.84M</t>
  </si>
  <si>
    <t>5.37M</t>
  </si>
  <si>
    <t>2.66M</t>
  </si>
  <si>
    <t>3.04M</t>
  </si>
  <si>
    <t>3.16M</t>
  </si>
  <si>
    <t>5.74M</t>
  </si>
  <si>
    <t>969.94K</t>
  </si>
  <si>
    <t>939.03K</t>
  </si>
  <si>
    <t>912.51K</t>
  </si>
  <si>
    <t>3.46M</t>
  </si>
  <si>
    <t>1.39M</t>
  </si>
  <si>
    <t>6.02M</t>
  </si>
  <si>
    <t>814.42K</t>
  </si>
  <si>
    <t>3.85M</t>
  </si>
  <si>
    <t>4.36M</t>
  </si>
  <si>
    <t>8.73M</t>
  </si>
  <si>
    <t>7.18M</t>
  </si>
  <si>
    <t>5.58M</t>
  </si>
  <si>
    <t>9.64M</t>
  </si>
  <si>
    <t>6.85M</t>
  </si>
  <si>
    <t>7.84M</t>
  </si>
  <si>
    <t>6.23M</t>
  </si>
  <si>
    <t>4.45M</t>
  </si>
  <si>
    <t>6.49M</t>
  </si>
  <si>
    <t>9.08M</t>
  </si>
  <si>
    <t>6.74M</t>
  </si>
  <si>
    <t>5.79M</t>
  </si>
  <si>
    <t>7.43M</t>
  </si>
  <si>
    <t>6.79M</t>
  </si>
  <si>
    <t>5.17M</t>
  </si>
  <si>
    <t>6.88M</t>
  </si>
  <si>
    <t>15.33M</t>
  </si>
  <si>
    <t>7.82M</t>
  </si>
  <si>
    <t>7.76M</t>
  </si>
  <si>
    <t>6.03M</t>
  </si>
  <si>
    <t>6.66M</t>
  </si>
  <si>
    <t>7.96M</t>
  </si>
  <si>
    <t>9.44M</t>
  </si>
  <si>
    <t>7.52M</t>
  </si>
  <si>
    <t>8.55M</t>
  </si>
  <si>
    <t>8.04M</t>
  </si>
  <si>
    <t>5.23M</t>
  </si>
  <si>
    <t>16.35M</t>
  </si>
  <si>
    <t>8.18M</t>
  </si>
  <si>
    <t>5.35M</t>
  </si>
  <si>
    <t>5.31M</t>
  </si>
  <si>
    <t>7.02M</t>
  </si>
  <si>
    <t>5.56M</t>
  </si>
  <si>
    <t>11.09M</t>
  </si>
  <si>
    <t>6.99M</t>
  </si>
  <si>
    <t>5.04M</t>
  </si>
  <si>
    <t>5.83M</t>
  </si>
  <si>
    <t>5.19M</t>
  </si>
  <si>
    <t>4.64M</t>
  </si>
  <si>
    <t>6.61M</t>
  </si>
  <si>
    <t>5.18M</t>
  </si>
  <si>
    <t>4.09M</t>
  </si>
  <si>
    <t>4.82M</t>
  </si>
  <si>
    <t>12.06M</t>
  </si>
  <si>
    <t>6.16M</t>
  </si>
  <si>
    <t>6.15M</t>
  </si>
  <si>
    <t>4.12M</t>
  </si>
  <si>
    <t>6.58M</t>
  </si>
  <si>
    <t>9.81M</t>
  </si>
  <si>
    <t>7.92M</t>
  </si>
  <si>
    <t>7.29M</t>
  </si>
  <si>
    <t>6.05M</t>
  </si>
  <si>
    <t>6.37M</t>
  </si>
  <si>
    <t>8.60M</t>
  </si>
  <si>
    <t>3.41M</t>
  </si>
  <si>
    <t>4.20M</t>
  </si>
  <si>
    <t>7.25M</t>
  </si>
  <si>
    <t>4.67M</t>
  </si>
  <si>
    <t>5.10M</t>
  </si>
  <si>
    <t>4.97M</t>
  </si>
  <si>
    <t>5.49M</t>
  </si>
  <si>
    <t>4.22M</t>
  </si>
  <si>
    <t>6.00M</t>
  </si>
  <si>
    <t>4.55M</t>
  </si>
  <si>
    <t>5.01M</t>
  </si>
  <si>
    <t>8.88M</t>
  </si>
  <si>
    <t>6.80M</t>
  </si>
  <si>
    <t>4.41M</t>
  </si>
  <si>
    <t>3.78M</t>
  </si>
  <si>
    <t>6.68M</t>
  </si>
  <si>
    <t>6.48M</t>
  </si>
  <si>
    <t>5.93M</t>
  </si>
  <si>
    <t>16.19M</t>
  </si>
  <si>
    <t>9.54M</t>
  </si>
  <si>
    <t>5.16M</t>
  </si>
  <si>
    <t>5.15M</t>
  </si>
  <si>
    <t>6.32M</t>
  </si>
  <si>
    <t>5.44M</t>
  </si>
  <si>
    <t>5.60M</t>
  </si>
  <si>
    <t>6.63M</t>
  </si>
  <si>
    <t>6.41M</t>
  </si>
  <si>
    <t>5.86M</t>
  </si>
  <si>
    <t>27.47M</t>
  </si>
  <si>
    <t>5.13M</t>
  </si>
  <si>
    <t>4.75M</t>
  </si>
  <si>
    <t>4.34M</t>
  </si>
  <si>
    <t>3.60M</t>
  </si>
  <si>
    <t>6.44M</t>
  </si>
  <si>
    <t>7.20M</t>
  </si>
  <si>
    <t>8.75M</t>
  </si>
  <si>
    <t>7.44M</t>
  </si>
  <si>
    <t>8.64M</t>
  </si>
  <si>
    <t>9.78M</t>
  </si>
  <si>
    <t>8.47M</t>
  </si>
  <si>
    <t>5.99M</t>
  </si>
  <si>
    <t>10.82M</t>
  </si>
  <si>
    <t>4.90M</t>
  </si>
  <si>
    <t>6.13M</t>
  </si>
  <si>
    <t>5.87M</t>
  </si>
  <si>
    <t>5.12M</t>
  </si>
  <si>
    <t>5.20M</t>
  </si>
  <si>
    <t>6.71M</t>
  </si>
  <si>
    <t>7.05M</t>
  </si>
  <si>
    <t>5.57M</t>
  </si>
  <si>
    <t>7.35M</t>
  </si>
  <si>
    <t>4.73M</t>
  </si>
  <si>
    <t>7.00M</t>
  </si>
  <si>
    <t>4.77M</t>
  </si>
  <si>
    <t>5.39M</t>
  </si>
  <si>
    <t>4.86M</t>
  </si>
  <si>
    <t>6.67M</t>
  </si>
  <si>
    <t>6.57M</t>
  </si>
  <si>
    <t>5.88M</t>
  </si>
  <si>
    <t>5.92M</t>
  </si>
  <si>
    <t>7.57M</t>
  </si>
  <si>
    <t>7.41M</t>
  </si>
  <si>
    <t>17.88M</t>
  </si>
  <si>
    <t>7.24M</t>
  </si>
  <si>
    <t>9.36M</t>
  </si>
  <si>
    <t>5.81M</t>
  </si>
  <si>
    <t>11.89M</t>
  </si>
  <si>
    <t>7.38M</t>
  </si>
  <si>
    <t>9.20M</t>
  </si>
  <si>
    <t>9.96M</t>
  </si>
  <si>
    <t>13.32M</t>
  </si>
  <si>
    <t>16.09M</t>
  </si>
  <si>
    <t>7.49M</t>
  </si>
  <si>
    <t>13.30M</t>
  </si>
  <si>
    <t>6.52M</t>
  </si>
  <si>
    <t>4.83M</t>
  </si>
  <si>
    <t>5.85M</t>
  </si>
  <si>
    <t>9.11M</t>
  </si>
  <si>
    <t>8.21M</t>
  </si>
  <si>
    <t>11.11M</t>
  </si>
  <si>
    <t>8.17M</t>
  </si>
  <si>
    <t>6.30M</t>
  </si>
  <si>
    <t>5.11M</t>
  </si>
  <si>
    <t>7.68M</t>
  </si>
  <si>
    <t>7.27M</t>
  </si>
  <si>
    <t>6.04M</t>
  </si>
  <si>
    <t>8.40M</t>
  </si>
  <si>
    <t>8.06M</t>
  </si>
  <si>
    <t>5.40M</t>
  </si>
  <si>
    <t>7.37M</t>
  </si>
  <si>
    <t>8.28M</t>
  </si>
  <si>
    <t>9.75M</t>
  </si>
  <si>
    <t>7.83M</t>
  </si>
  <si>
    <t>9.70M</t>
  </si>
  <si>
    <t>9.16M</t>
  </si>
  <si>
    <t>5.32M</t>
  </si>
  <si>
    <t>6.91M</t>
  </si>
  <si>
    <t>9.12M</t>
  </si>
  <si>
    <t>17.68M</t>
  </si>
  <si>
    <t>13.42M</t>
  </si>
  <si>
    <t>9.23M</t>
  </si>
  <si>
    <t>26.60M</t>
  </si>
  <si>
    <t>23.72M</t>
  </si>
  <si>
    <t>45.84M</t>
  </si>
  <si>
    <t>25.47M</t>
  </si>
  <si>
    <t>40.62M</t>
  </si>
  <si>
    <t>12.12M</t>
  </si>
  <si>
    <t>11.51M</t>
  </si>
  <si>
    <t>11.72M</t>
  </si>
  <si>
    <t>14.82M</t>
  </si>
  <si>
    <t>14.08M</t>
  </si>
  <si>
    <t>17.53M</t>
  </si>
  <si>
    <t>7.69M</t>
  </si>
  <si>
    <t>8.90M</t>
  </si>
  <si>
    <t>9.17M</t>
  </si>
  <si>
    <t>12.60M</t>
  </si>
  <si>
    <t>10.92M</t>
  </si>
  <si>
    <t>7.71M</t>
  </si>
  <si>
    <t>8.67M</t>
  </si>
  <si>
    <t>9.60M</t>
  </si>
  <si>
    <t>7.42M</t>
  </si>
  <si>
    <t>7.47M</t>
  </si>
  <si>
    <t>7.04M</t>
  </si>
  <si>
    <t>7.28M</t>
  </si>
  <si>
    <t>6.40M</t>
  </si>
  <si>
    <t>9.88M</t>
  </si>
  <si>
    <t>8.38M</t>
  </si>
  <si>
    <t>7.80M</t>
  </si>
  <si>
    <t>8.57M</t>
  </si>
  <si>
    <t>6.72M</t>
  </si>
  <si>
    <t>7.73M</t>
  </si>
  <si>
    <t>9.89M</t>
  </si>
  <si>
    <t>6.17M</t>
  </si>
  <si>
    <t>9.25M</t>
  </si>
  <si>
    <t>8.20M</t>
  </si>
  <si>
    <t>7.50M</t>
  </si>
  <si>
    <t>8.98M</t>
  </si>
  <si>
    <t>6.73M</t>
  </si>
  <si>
    <t>9.02M</t>
  </si>
  <si>
    <t>8.93M</t>
  </si>
  <si>
    <t>6.59M</t>
  </si>
  <si>
    <t>10.27M</t>
  </si>
  <si>
    <t>714.69K</t>
  </si>
  <si>
    <t>575.57K</t>
  </si>
  <si>
    <t>374.29K</t>
  </si>
  <si>
    <t>582.64K</t>
  </si>
  <si>
    <t>662.52K</t>
  </si>
  <si>
    <t>377.96K</t>
  </si>
  <si>
    <t>346.73K</t>
  </si>
  <si>
    <t>466.47K</t>
  </si>
  <si>
    <t>732.05K</t>
  </si>
  <si>
    <t>511.37K</t>
  </si>
  <si>
    <t>504.13K</t>
  </si>
  <si>
    <t>252.93K</t>
  </si>
  <si>
    <t>409.18K</t>
  </si>
  <si>
    <t>509.94K</t>
  </si>
  <si>
    <t>300.94K</t>
  </si>
  <si>
    <t>509.65K</t>
  </si>
  <si>
    <t>298.39K</t>
  </si>
  <si>
    <t>264.15K</t>
  </si>
  <si>
    <t>309.79K</t>
  </si>
  <si>
    <t>293.47K</t>
  </si>
  <si>
    <t>526.16K</t>
  </si>
  <si>
    <t>395.67K</t>
  </si>
  <si>
    <t>642.88K</t>
  </si>
  <si>
    <t>295.91K</t>
  </si>
  <si>
    <t>372.55K</t>
  </si>
  <si>
    <t>385.76K</t>
  </si>
  <si>
    <t>303.93K</t>
  </si>
  <si>
    <t>400.34K</t>
  </si>
  <si>
    <t>512.83K</t>
  </si>
  <si>
    <t>687.64K</t>
  </si>
  <si>
    <t>381.61K</t>
  </si>
  <si>
    <t>503.95K</t>
  </si>
  <si>
    <t>400.89K</t>
  </si>
  <si>
    <t>315.88K</t>
  </si>
  <si>
    <t>395.27K</t>
  </si>
  <si>
    <t>303.26K</t>
  </si>
  <si>
    <t>282.33K</t>
  </si>
  <si>
    <t>213.66K</t>
  </si>
  <si>
    <t>233.43K</t>
  </si>
  <si>
    <t>147.67K</t>
  </si>
  <si>
    <t>199.54K</t>
  </si>
  <si>
    <t>202.80K</t>
  </si>
  <si>
    <t>349.33K</t>
  </si>
  <si>
    <t>254.95K</t>
  </si>
  <si>
    <t>272.47K</t>
  </si>
  <si>
    <t>368.92K</t>
  </si>
  <si>
    <t>536.13K</t>
  </si>
  <si>
    <t>358.44K</t>
  </si>
  <si>
    <t>473.38K</t>
  </si>
  <si>
    <t>343.69K</t>
  </si>
  <si>
    <t>287.87K</t>
  </si>
  <si>
    <t>336.84K</t>
  </si>
  <si>
    <t>358.73K</t>
  </si>
  <si>
    <t>307.31K</t>
  </si>
  <si>
    <t>424.42K</t>
  </si>
  <si>
    <t>454.84K</t>
  </si>
  <si>
    <t>436.47K</t>
  </si>
  <si>
    <t>245.07K</t>
  </si>
  <si>
    <t>182.47K</t>
  </si>
  <si>
    <t>178.94K</t>
  </si>
  <si>
    <t>646.12K</t>
  </si>
  <si>
    <t>371.68K</t>
  </si>
  <si>
    <t>308.45K</t>
  </si>
  <si>
    <t>514.91K</t>
  </si>
  <si>
    <t>402.45K</t>
  </si>
  <si>
    <t>313.77K</t>
  </si>
  <si>
    <t>405.91K</t>
  </si>
  <si>
    <t>364.19K</t>
  </si>
  <si>
    <t>343.96K</t>
  </si>
  <si>
    <t>442.04K</t>
  </si>
  <si>
    <t>675.06K</t>
  </si>
  <si>
    <t>516.24K</t>
  </si>
  <si>
    <t>472.31K</t>
  </si>
  <si>
    <t>357.58K</t>
  </si>
  <si>
    <t>192.28K</t>
  </si>
  <si>
    <t>296.66K</t>
  </si>
  <si>
    <t>459.99K</t>
  </si>
  <si>
    <t>264.82K</t>
  </si>
  <si>
    <t>262.53K</t>
  </si>
  <si>
    <t>283.26K</t>
  </si>
  <si>
    <t>276.03K</t>
  </si>
  <si>
    <t>242.67K</t>
  </si>
  <si>
    <t>306.42K</t>
  </si>
  <si>
    <t>182.36K</t>
  </si>
  <si>
    <t>131.93K</t>
  </si>
  <si>
    <t>220.29K</t>
  </si>
  <si>
    <t>247.39K</t>
  </si>
  <si>
    <t>370.67K</t>
  </si>
  <si>
    <t>322.99K</t>
  </si>
  <si>
    <t>157.21K</t>
  </si>
  <si>
    <t>225.54K</t>
  </si>
  <si>
    <t>247.96K</t>
  </si>
  <si>
    <t>263.37K</t>
  </si>
  <si>
    <t>313.93K</t>
  </si>
  <si>
    <t>335.35K</t>
  </si>
  <si>
    <t>237.12K</t>
  </si>
  <si>
    <t>219.26K</t>
  </si>
  <si>
    <t>265.69K</t>
  </si>
  <si>
    <t>238.86K</t>
  </si>
  <si>
    <t>399.17K</t>
  </si>
  <si>
    <t>281.11K</t>
  </si>
  <si>
    <t>379.57K</t>
  </si>
  <si>
    <t>218.69K</t>
  </si>
  <si>
    <t>166.98K</t>
  </si>
  <si>
    <t>247.46K</t>
  </si>
  <si>
    <t>460.46K</t>
  </si>
  <si>
    <t>259.80K</t>
  </si>
  <si>
    <t>202.18K</t>
  </si>
  <si>
    <t>185.99K</t>
  </si>
  <si>
    <t>258.27K</t>
  </si>
  <si>
    <t>303.00K</t>
  </si>
  <si>
    <t>360.89K</t>
  </si>
  <si>
    <t>332.20K</t>
  </si>
  <si>
    <t>223.93K</t>
  </si>
  <si>
    <t>356.84K</t>
  </si>
  <si>
    <t>294.88K</t>
  </si>
  <si>
    <t>313.67K</t>
  </si>
  <si>
    <t>305.61K</t>
  </si>
  <si>
    <t>176.55K</t>
  </si>
  <si>
    <t>332.37K</t>
  </si>
  <si>
    <t>229.09K</t>
  </si>
  <si>
    <t>206.69K</t>
  </si>
  <si>
    <t>259.91K</t>
  </si>
  <si>
    <t>132.61K</t>
  </si>
  <si>
    <t>323.73K</t>
  </si>
  <si>
    <t>290.16K</t>
  </si>
  <si>
    <t>202.70K</t>
  </si>
  <si>
    <t>194.27K</t>
  </si>
  <si>
    <t>198.80K</t>
  </si>
  <si>
    <t>404.59K</t>
  </si>
  <si>
    <t>318.80K</t>
  </si>
  <si>
    <t>409.86K</t>
  </si>
  <si>
    <t>329.78K</t>
  </si>
  <si>
    <t>245.02K</t>
  </si>
  <si>
    <t>273.62K</t>
  </si>
  <si>
    <t>349.07K</t>
  </si>
  <si>
    <t>538.56K</t>
  </si>
  <si>
    <t>571.07K</t>
  </si>
  <si>
    <t>526.11K</t>
  </si>
  <si>
    <t>474.26K</t>
  </si>
  <si>
    <t>424.63K</t>
  </si>
  <si>
    <t>386.26K</t>
  </si>
  <si>
    <t>667.84K</t>
  </si>
  <si>
    <t>309.34K</t>
  </si>
  <si>
    <t>321.61K</t>
  </si>
  <si>
    <t>473.71K</t>
  </si>
  <si>
    <t>315.55K</t>
  </si>
  <si>
    <t>234.39K</t>
  </si>
  <si>
    <t>183.52K</t>
  </si>
  <si>
    <t>227.29K</t>
  </si>
  <si>
    <t>297.36K</t>
  </si>
  <si>
    <t>273.13K</t>
  </si>
  <si>
    <t>228.84K</t>
  </si>
  <si>
    <t>183.22K</t>
  </si>
  <si>
    <t>326.83K</t>
  </si>
  <si>
    <t>271.75K</t>
  </si>
  <si>
    <t>203.51K</t>
  </si>
  <si>
    <t>291.93K</t>
  </si>
  <si>
    <t>319.00K</t>
  </si>
  <si>
    <t>239.72K</t>
  </si>
  <si>
    <t>213.48K</t>
  </si>
  <si>
    <t>420.46K</t>
  </si>
  <si>
    <t>338.39K</t>
  </si>
  <si>
    <t>273.32K</t>
  </si>
  <si>
    <t>409.96K</t>
  </si>
  <si>
    <t>239.47K</t>
  </si>
  <si>
    <t>296.33K</t>
  </si>
  <si>
    <t>234.76K</t>
  </si>
  <si>
    <t>351.42K</t>
  </si>
  <si>
    <t>918.55K</t>
  </si>
  <si>
    <t>360.81K</t>
  </si>
  <si>
    <t>182.17K</t>
  </si>
  <si>
    <t>267.71K</t>
  </si>
  <si>
    <t>286.72K</t>
  </si>
  <si>
    <t>345.24K</t>
  </si>
  <si>
    <t>328.67K</t>
  </si>
  <si>
    <t>423.46K</t>
  </si>
  <si>
    <t>331.73K</t>
  </si>
  <si>
    <t>312.56K</t>
  </si>
  <si>
    <t>272.88K</t>
  </si>
  <si>
    <t>249.59K</t>
  </si>
  <si>
    <t>422.03K</t>
  </si>
  <si>
    <t>481.98K</t>
  </si>
  <si>
    <t>345.53K</t>
  </si>
  <si>
    <t>416.57K</t>
  </si>
  <si>
    <t>338.57K</t>
  </si>
  <si>
    <t>347.68K</t>
  </si>
  <si>
    <t>162.94K</t>
  </si>
  <si>
    <t>254.43K</t>
  </si>
  <si>
    <t>411.24K</t>
  </si>
  <si>
    <t>297.67K</t>
  </si>
  <si>
    <t>264.48K</t>
  </si>
  <si>
    <t>156.93K</t>
  </si>
  <si>
    <t>397.14K</t>
  </si>
  <si>
    <t>503.92K</t>
  </si>
  <si>
    <t>269.47K</t>
  </si>
  <si>
    <t>314.54K</t>
  </si>
  <si>
    <t>284.14K</t>
  </si>
  <si>
    <t>577.41K</t>
  </si>
  <si>
    <t>345.37K</t>
  </si>
  <si>
    <t>319.82K</t>
  </si>
  <si>
    <t>687.46K</t>
  </si>
  <si>
    <t>388.24K</t>
  </si>
  <si>
    <t>261.43K</t>
  </si>
  <si>
    <t>314.82K</t>
  </si>
  <si>
    <t>398.40K</t>
  </si>
  <si>
    <t>303.19K</t>
  </si>
  <si>
    <t>258.96K</t>
  </si>
  <si>
    <t>372.77K</t>
  </si>
  <si>
    <t>299.79K</t>
  </si>
  <si>
    <t>309.28K</t>
  </si>
  <si>
    <t>374.56K</t>
  </si>
  <si>
    <t>471.51K</t>
  </si>
  <si>
    <t>410.28K</t>
  </si>
  <si>
    <t>249.07K</t>
  </si>
  <si>
    <t>398.65K</t>
  </si>
  <si>
    <t>350.14K</t>
  </si>
  <si>
    <t>375.34K</t>
  </si>
  <si>
    <t>429.85K</t>
  </si>
  <si>
    <t>905.79K</t>
  </si>
  <si>
    <t>124.65K</t>
  </si>
  <si>
    <t>160.02K</t>
  </si>
  <si>
    <t>66.02K</t>
  </si>
  <si>
    <t>62.73K</t>
  </si>
  <si>
    <t>122.02K</t>
  </si>
  <si>
    <t>r</t>
  </si>
  <si>
    <t>σ</t>
  </si>
  <si>
    <t>JWN</t>
  </si>
  <si>
    <t>PGR</t>
  </si>
  <si>
    <t>COST</t>
  </si>
  <si>
    <t>DTEGn</t>
  </si>
  <si>
    <t>HEIG</t>
  </si>
  <si>
    <t>MTXGn</t>
  </si>
  <si>
    <t>Tasa Banxico</t>
  </si>
  <si>
    <t>rp</t>
  </si>
  <si>
    <t>Sharpe Ratio</t>
  </si>
  <si>
    <t>VBA</t>
  </si>
  <si>
    <t>rpc</t>
  </si>
  <si>
    <t>14.03M</t>
  </si>
  <si>
    <t>10.28M</t>
  </si>
  <si>
    <t>1.23M</t>
  </si>
  <si>
    <t>4.38M</t>
  </si>
  <si>
    <t>4.32M</t>
  </si>
  <si>
    <t>4.74M</t>
  </si>
  <si>
    <t>1.29M</t>
  </si>
  <si>
    <t>1.15M</t>
  </si>
  <si>
    <t>4.27M</t>
  </si>
  <si>
    <t>7.34M</t>
  </si>
  <si>
    <t>3.83M</t>
  </si>
  <si>
    <t>4.35M</t>
  </si>
  <si>
    <t>3.63M</t>
  </si>
  <si>
    <t>6.08M</t>
  </si>
  <si>
    <t>4.16M</t>
  </si>
  <si>
    <t>5.51M</t>
  </si>
  <si>
    <t>19.28M</t>
  </si>
  <si>
    <t>9.72M</t>
  </si>
  <si>
    <t>4.87M</t>
  </si>
  <si>
    <t>7.78M</t>
  </si>
  <si>
    <t>7.62M</t>
  </si>
  <si>
    <t>6.36M</t>
  </si>
  <si>
    <t>5.47M</t>
  </si>
  <si>
    <t>5.68M</t>
  </si>
  <si>
    <t>6.33M</t>
  </si>
  <si>
    <t>6.43M</t>
  </si>
  <si>
    <t>10.31M</t>
  </si>
  <si>
    <t>10.42M</t>
  </si>
  <si>
    <t>15.20M</t>
  </si>
  <si>
    <t>12.82M</t>
  </si>
  <si>
    <t>9.85M</t>
  </si>
  <si>
    <t>12.81M</t>
  </si>
  <si>
    <t>13.19M</t>
  </si>
  <si>
    <t>861.06K</t>
  </si>
  <si>
    <t>456.82K</t>
  </si>
  <si>
    <t>362.47K</t>
  </si>
  <si>
    <t>488.19K</t>
  </si>
  <si>
    <t>720.79K</t>
  </si>
  <si>
    <t>557.03K</t>
  </si>
  <si>
    <t>800.37K</t>
  </si>
  <si>
    <t>387.96K</t>
  </si>
  <si>
    <t>398.57K</t>
  </si>
  <si>
    <t>309.44K</t>
  </si>
  <si>
    <t>692.54K</t>
  </si>
  <si>
    <t>670.63K</t>
  </si>
  <si>
    <t>836.40K</t>
  </si>
  <si>
    <t>486.36K</t>
  </si>
  <si>
    <t>674.35K</t>
  </si>
  <si>
    <t>675.90K</t>
  </si>
  <si>
    <t>486.10K</t>
  </si>
  <si>
    <t>920.70K</t>
  </si>
  <si>
    <t>848.29K</t>
  </si>
  <si>
    <t>462.48K</t>
  </si>
  <si>
    <t>603.34K</t>
  </si>
  <si>
    <t>430.07K</t>
  </si>
  <si>
    <t>567.81K</t>
  </si>
  <si>
    <t>363.99K</t>
  </si>
  <si>
    <t>216.45K</t>
  </si>
  <si>
    <t>87.76K</t>
  </si>
  <si>
    <t>140.56K</t>
  </si>
  <si>
    <t>152.07K</t>
  </si>
  <si>
    <t>131.70K</t>
  </si>
  <si>
    <t>95.86K</t>
  </si>
  <si>
    <t>113.48K</t>
  </si>
  <si>
    <t>124.12K</t>
  </si>
  <si>
    <t>65.88K</t>
  </si>
  <si>
    <t>226.78K</t>
  </si>
  <si>
    <t>175.81K</t>
  </si>
  <si>
    <t>174.14K</t>
  </si>
  <si>
    <t>170.86K</t>
  </si>
  <si>
    <t>124.98K</t>
  </si>
  <si>
    <t>160.92K</t>
  </si>
  <si>
    <t>126.49K</t>
  </si>
  <si>
    <t>212.73K</t>
  </si>
  <si>
    <t>301.33K</t>
  </si>
  <si>
    <t>275.57K</t>
  </si>
  <si>
    <t>339.01K</t>
  </si>
  <si>
    <t>238.97K</t>
  </si>
  <si>
    <t>220.54K</t>
  </si>
  <si>
    <t>286.50K</t>
  </si>
  <si>
    <t>205.47K</t>
  </si>
  <si>
    <t>408.61K</t>
  </si>
  <si>
    <t>258.39K</t>
  </si>
  <si>
    <t>175.37K</t>
  </si>
  <si>
    <t>207.35K</t>
  </si>
  <si>
    <t>163.70K</t>
  </si>
  <si>
    <t>264.08K</t>
  </si>
  <si>
    <t>288.62K</t>
  </si>
  <si>
    <t>472.90K</t>
  </si>
  <si>
    <t>127.84K</t>
  </si>
  <si>
    <t>115.37K</t>
  </si>
  <si>
    <t>121.91K</t>
  </si>
  <si>
    <t>126.09K</t>
  </si>
  <si>
    <t>69.83K</t>
  </si>
  <si>
    <t>58.08K</t>
  </si>
  <si>
    <t>69.00K</t>
  </si>
  <si>
    <t>91.67K</t>
  </si>
  <si>
    <t>92.48K</t>
  </si>
  <si>
    <t>76.91K</t>
  </si>
  <si>
    <t>41.71K</t>
  </si>
  <si>
    <t>93.51K</t>
  </si>
  <si>
    <t>92.43K</t>
  </si>
  <si>
    <t>69.96K</t>
  </si>
  <si>
    <t>84.78K</t>
  </si>
  <si>
    <t>109.76K</t>
  </si>
  <si>
    <t>135.08K</t>
  </si>
  <si>
    <t>355.43K</t>
  </si>
  <si>
    <t>124.05K</t>
  </si>
  <si>
    <t>80.39K</t>
  </si>
  <si>
    <t>63.48K</t>
  </si>
  <si>
    <t>78.74K</t>
  </si>
  <si>
    <t>129.22K</t>
  </si>
  <si>
    <t>111.33K</t>
  </si>
  <si>
    <t>114.99K</t>
  </si>
  <si>
    <t>78.77K</t>
  </si>
  <si>
    <t>81.76K</t>
  </si>
  <si>
    <t>78.82K</t>
  </si>
  <si>
    <t>65.27K</t>
  </si>
  <si>
    <t>86.14K</t>
  </si>
  <si>
    <t>74.85K</t>
  </si>
  <si>
    <t>101.17K</t>
  </si>
  <si>
    <t>91.24K</t>
  </si>
  <si>
    <t>89.16K</t>
  </si>
  <si>
    <t>58.89K</t>
  </si>
  <si>
    <t>64.42K</t>
  </si>
  <si>
    <t>58.77K</t>
  </si>
  <si>
    <t>193.04K</t>
  </si>
  <si>
    <t>146.86K</t>
  </si>
  <si>
    <t>83.45K</t>
  </si>
  <si>
    <t>95.94K</t>
  </si>
  <si>
    <t>71.82K</t>
  </si>
  <si>
    <t>101.99K</t>
  </si>
  <si>
    <t>103.89K</t>
  </si>
  <si>
    <t>77.13K</t>
  </si>
  <si>
    <t>127.15K</t>
  </si>
  <si>
    <t>144.81K</t>
  </si>
  <si>
    <t>85.25K</t>
  </si>
  <si>
    <t>142.17K</t>
  </si>
  <si>
    <t>106.68K</t>
  </si>
  <si>
    <t>122.88K</t>
  </si>
  <si>
    <t>136.37K</t>
  </si>
  <si>
    <t>215.94K</t>
  </si>
  <si>
    <t>73.53K</t>
  </si>
  <si>
    <t>108.44K</t>
  </si>
  <si>
    <t>162.01K</t>
  </si>
  <si>
    <t>400.57K</t>
  </si>
  <si>
    <t>105.02K</t>
  </si>
  <si>
    <t>86.59K</t>
  </si>
  <si>
    <t>74.73K</t>
  </si>
  <si>
    <t>129.67K</t>
  </si>
  <si>
    <t>111.68K</t>
  </si>
  <si>
    <t>97.08K</t>
  </si>
  <si>
    <t>124.07K</t>
  </si>
  <si>
    <t>139.06K</t>
  </si>
  <si>
    <t>221.98K</t>
  </si>
  <si>
    <t>92.24K</t>
  </si>
  <si>
    <t>101.41K</t>
  </si>
  <si>
    <t>121.28K</t>
  </si>
  <si>
    <t>71.77K</t>
  </si>
  <si>
    <t>71.24K</t>
  </si>
  <si>
    <t>131.07K</t>
  </si>
  <si>
    <t>145.39K</t>
  </si>
  <si>
    <t>79.05K</t>
  </si>
  <si>
    <t>84.15K</t>
  </si>
  <si>
    <t>73.43K</t>
  </si>
  <si>
    <t>87.85K</t>
  </si>
  <si>
    <t>144.51K</t>
  </si>
  <si>
    <t>110.94K</t>
  </si>
  <si>
    <t>108.95K</t>
  </si>
  <si>
    <t>107.35K</t>
  </si>
  <si>
    <t>123.80K</t>
  </si>
  <si>
    <t>100.49K</t>
  </si>
  <si>
    <t>183.21K</t>
  </si>
  <si>
    <t>308.87K</t>
  </si>
  <si>
    <t>104.92K</t>
  </si>
  <si>
    <t>154.53K</t>
  </si>
  <si>
    <t>72.13K</t>
  </si>
  <si>
    <t>115.90K</t>
  </si>
  <si>
    <t>112.30K</t>
  </si>
  <si>
    <t>62.44K</t>
  </si>
  <si>
    <t>112.26K</t>
  </si>
  <si>
    <t>92.59K</t>
  </si>
  <si>
    <t>146.12K</t>
  </si>
  <si>
    <t>117.64K</t>
  </si>
  <si>
    <t>83.39K</t>
  </si>
  <si>
    <t>68.94K</t>
  </si>
  <si>
    <t>79.00K</t>
  </si>
  <si>
    <t>55.10K</t>
  </si>
  <si>
    <t>213.35K</t>
  </si>
  <si>
    <t>86.03K</t>
  </si>
  <si>
    <t>84.13K</t>
  </si>
  <si>
    <t>105.56K</t>
  </si>
  <si>
    <t>121.26K</t>
  </si>
  <si>
    <t>78.21K</t>
  </si>
  <si>
    <t>86.32K</t>
  </si>
  <si>
    <t>107.01K</t>
  </si>
  <si>
    <t>46.46K</t>
  </si>
  <si>
    <t>58.58K</t>
  </si>
  <si>
    <t>69.38K</t>
  </si>
  <si>
    <t>74.30K</t>
  </si>
  <si>
    <t>67.15K</t>
  </si>
  <si>
    <t>82.89K</t>
  </si>
  <si>
    <t>118.21K</t>
  </si>
  <si>
    <t>53.75K</t>
  </si>
  <si>
    <t>57.47K</t>
  </si>
  <si>
    <t>50.82K</t>
  </si>
  <si>
    <t>51.81K</t>
  </si>
  <si>
    <t>52.83K</t>
  </si>
  <si>
    <t>76.12K</t>
  </si>
  <si>
    <t>59.67K</t>
  </si>
  <si>
    <t>76.24K</t>
  </si>
  <si>
    <t>104.82K</t>
  </si>
  <si>
    <t>67.11K</t>
  </si>
  <si>
    <t>70.77K</t>
  </si>
  <si>
    <t>65.65K</t>
  </si>
  <si>
    <t>49.73K</t>
  </si>
  <si>
    <t>72.57K</t>
  </si>
  <si>
    <t>74.64K</t>
  </si>
  <si>
    <t>111.01K</t>
  </si>
  <si>
    <t>99.48K</t>
  </si>
  <si>
    <t>166.91K</t>
  </si>
  <si>
    <t>173.03K</t>
  </si>
  <si>
    <t>383.13K</t>
  </si>
  <si>
    <t>122.73K</t>
  </si>
  <si>
    <t>155.57K</t>
  </si>
  <si>
    <t>159.14K</t>
  </si>
  <si>
    <t>148.26K</t>
  </si>
  <si>
    <t>88.97K</t>
  </si>
  <si>
    <t>63.19K</t>
  </si>
  <si>
    <t>81.94K</t>
  </si>
  <si>
    <t>77.58K</t>
  </si>
  <si>
    <t>102.45K</t>
  </si>
  <si>
    <t>79.16K</t>
  </si>
  <si>
    <t>130.00K</t>
  </si>
  <si>
    <t>85.17K</t>
  </si>
  <si>
    <t>145.69K</t>
  </si>
  <si>
    <t>134.77K</t>
  </si>
  <si>
    <t>136.58K</t>
  </si>
  <si>
    <t>145.55K</t>
  </si>
  <si>
    <t>152.03K</t>
  </si>
  <si>
    <t>267.48K</t>
  </si>
  <si>
    <t>213.04K</t>
  </si>
  <si>
    <t>104.69K</t>
  </si>
  <si>
    <t>265.97K</t>
  </si>
  <si>
    <t>217.58K</t>
  </si>
  <si>
    <t>110.64K</t>
  </si>
  <si>
    <t>310.18K</t>
  </si>
  <si>
    <t>54.94K</t>
  </si>
  <si>
    <t>242.34K</t>
  </si>
  <si>
    <t>119.34K</t>
  </si>
  <si>
    <t>62.83K</t>
  </si>
  <si>
    <t>143.08K</t>
  </si>
  <si>
    <t>71.73K</t>
  </si>
  <si>
    <t>121.79K</t>
  </si>
  <si>
    <t>73.04K</t>
  </si>
  <si>
    <t>88.78K</t>
  </si>
  <si>
    <t>95.27K</t>
  </si>
  <si>
    <t>73.65K</t>
  </si>
  <si>
    <t>57.48K</t>
  </si>
  <si>
    <t>66.31K</t>
  </si>
  <si>
    <t>49.52K</t>
  </si>
  <si>
    <t>62.10K</t>
  </si>
  <si>
    <t>53.84K</t>
  </si>
  <si>
    <t>351.31K</t>
  </si>
  <si>
    <t>78.14K</t>
  </si>
  <si>
    <t>82.27K</t>
  </si>
  <si>
    <t>81.42K</t>
  </si>
  <si>
    <t>51.88K</t>
  </si>
  <si>
    <t>91.69K</t>
  </si>
  <si>
    <t>97.50K</t>
  </si>
  <si>
    <t>94.32K</t>
  </si>
  <si>
    <t>101.36K</t>
  </si>
  <si>
    <t>54.79K</t>
  </si>
  <si>
    <t>161.97K</t>
  </si>
  <si>
    <t>156.98K</t>
  </si>
  <si>
    <t>83.93K</t>
  </si>
  <si>
    <t>76.75K</t>
  </si>
  <si>
    <t>87.92K</t>
  </si>
  <si>
    <t>135.85K</t>
  </si>
  <si>
    <t>86.12K</t>
  </si>
  <si>
    <t>138.54K</t>
  </si>
  <si>
    <t>127.65K</t>
  </si>
  <si>
    <t>59.59K</t>
  </si>
  <si>
    <t>159.88K</t>
  </si>
  <si>
    <t>258.33K</t>
  </si>
  <si>
    <t>171.28K</t>
  </si>
  <si>
    <t>130.59K</t>
  </si>
  <si>
    <t>105.37K</t>
  </si>
  <si>
    <t>167.85K</t>
  </si>
  <si>
    <t>209.12K</t>
  </si>
  <si>
    <t>203.44K</t>
  </si>
  <si>
    <t>135.40K</t>
  </si>
  <si>
    <t>171.25K</t>
  </si>
  <si>
    <t>96.90K</t>
  </si>
  <si>
    <t>105.90K</t>
  </si>
  <si>
    <t>151.83K</t>
  </si>
  <si>
    <t>78.59K</t>
  </si>
  <si>
    <t>132.32K</t>
  </si>
  <si>
    <t>139.78K</t>
  </si>
  <si>
    <t>264.36K</t>
  </si>
  <si>
    <t>30.58M</t>
  </si>
  <si>
    <t>11.92M</t>
  </si>
  <si>
    <t>16.56M</t>
  </si>
  <si>
    <t>1.02M</t>
  </si>
  <si>
    <t>18.23M</t>
  </si>
  <si>
    <t>1.06M</t>
  </si>
  <si>
    <t>1.03M</t>
  </si>
  <si>
    <t>173.82K</t>
  </si>
  <si>
    <t>509.60K</t>
  </si>
  <si>
    <t>16.91M</t>
  </si>
  <si>
    <t>12.15M</t>
  </si>
  <si>
    <t>13.28M</t>
  </si>
  <si>
    <t>5.25M</t>
  </si>
  <si>
    <t>5.02M</t>
  </si>
  <si>
    <t>5.28M</t>
  </si>
  <si>
    <t>12.05M</t>
  </si>
  <si>
    <t>12.69M</t>
  </si>
  <si>
    <t>8.30M</t>
  </si>
  <si>
    <t>5.24M</t>
  </si>
  <si>
    <t>7.40M</t>
  </si>
  <si>
    <t>7.46M</t>
  </si>
  <si>
    <t>10.12M</t>
  </si>
  <si>
    <t>25.89M</t>
  </si>
  <si>
    <t>5.22M</t>
  </si>
  <si>
    <t>8.80M</t>
  </si>
  <si>
    <t>4.93M</t>
  </si>
  <si>
    <t>4.37M</t>
  </si>
  <si>
    <t>5.33M</t>
  </si>
  <si>
    <t>8.02M</t>
  </si>
  <si>
    <t>5.75M</t>
  </si>
  <si>
    <t>9.45M</t>
  </si>
  <si>
    <t>6.76M</t>
  </si>
  <si>
    <t>4.88M</t>
  </si>
  <si>
    <t>5.82M</t>
  </si>
  <si>
    <t>4.25M</t>
  </si>
  <si>
    <t>6.77M</t>
  </si>
  <si>
    <t>10.08M</t>
  </si>
  <si>
    <t>4.80M</t>
  </si>
  <si>
    <t>5.95M</t>
  </si>
  <si>
    <t>3.79M</t>
  </si>
  <si>
    <t>4.05M</t>
  </si>
  <si>
    <t>3.25M</t>
  </si>
  <si>
    <t>3.86M</t>
  </si>
  <si>
    <t>7.23M</t>
  </si>
  <si>
    <t>3.70M</t>
  </si>
  <si>
    <t>6.26M</t>
  </si>
  <si>
    <t>6.14M</t>
  </si>
  <si>
    <t>7.45M</t>
  </si>
  <si>
    <t>7.72M</t>
  </si>
  <si>
    <t>4.13M</t>
  </si>
  <si>
    <t>9.87M</t>
  </si>
  <si>
    <t>27.81M</t>
  </si>
  <si>
    <t>4.30M</t>
  </si>
  <si>
    <t>5.84M</t>
  </si>
  <si>
    <t>11.37M</t>
  </si>
  <si>
    <t>6.55M</t>
  </si>
  <si>
    <t>3.17M</t>
  </si>
  <si>
    <t>10.63M</t>
  </si>
  <si>
    <t>8.66M</t>
  </si>
  <si>
    <t>8.83M</t>
  </si>
  <si>
    <t>6.27M</t>
  </si>
  <si>
    <t>4.00M</t>
  </si>
  <si>
    <t>3.97M</t>
  </si>
  <si>
    <t>9.19M</t>
  </si>
  <si>
    <t>4.60M</t>
  </si>
  <si>
    <t>3.43M</t>
  </si>
  <si>
    <t>4.43M</t>
  </si>
  <si>
    <t>4.95M</t>
  </si>
  <si>
    <t>6.21M</t>
  </si>
  <si>
    <t>4.84M</t>
  </si>
  <si>
    <t>10.75M</t>
  </si>
  <si>
    <t>5.03M</t>
  </si>
  <si>
    <t>4.18M</t>
  </si>
  <si>
    <t>4.85M</t>
  </si>
  <si>
    <t>45.58M</t>
  </si>
  <si>
    <t>12.30M</t>
  </si>
  <si>
    <t>4.99M</t>
  </si>
  <si>
    <t>4.61M</t>
  </si>
  <si>
    <t>4.08M</t>
  </si>
  <si>
    <t>7.07M</t>
  </si>
  <si>
    <t>4.81M</t>
  </si>
  <si>
    <t>8.42M</t>
  </si>
  <si>
    <t>3.91M</t>
  </si>
  <si>
    <t>3.40M</t>
  </si>
  <si>
    <t>5.09M</t>
  </si>
  <si>
    <t>7.06M</t>
  </si>
  <si>
    <t>5.67M</t>
  </si>
  <si>
    <t>7.31M</t>
  </si>
  <si>
    <t>6.64M</t>
  </si>
  <si>
    <t>6.35M</t>
  </si>
  <si>
    <t>5.48M</t>
  </si>
  <si>
    <t>5.69M</t>
  </si>
  <si>
    <t>10.30M</t>
  </si>
  <si>
    <t>11.79M</t>
  </si>
  <si>
    <t>8.70M</t>
  </si>
  <si>
    <t>7.88M</t>
  </si>
  <si>
    <t>8.01M</t>
  </si>
  <si>
    <t>12.02M</t>
  </si>
  <si>
    <t>15.69M</t>
  </si>
  <si>
    <t>15.44M</t>
  </si>
  <si>
    <t>18.86M</t>
  </si>
  <si>
    <t>12.40M</t>
  </si>
  <si>
    <t>13.66M</t>
  </si>
  <si>
    <t>IAU</t>
  </si>
  <si>
    <t>19.52M</t>
  </si>
  <si>
    <t>47.56M</t>
  </si>
  <si>
    <t>31.10M</t>
  </si>
  <si>
    <t>994.29K</t>
  </si>
  <si>
    <t>999.66K</t>
  </si>
  <si>
    <t>836.89K</t>
  </si>
  <si>
    <t>900.92K</t>
  </si>
  <si>
    <t>807.21K</t>
  </si>
  <si>
    <t>970.80K</t>
  </si>
  <si>
    <t>770.07K</t>
  </si>
  <si>
    <t>902.26K</t>
  </si>
  <si>
    <t>809.58K</t>
  </si>
  <si>
    <t>723.32K</t>
  </si>
  <si>
    <t>970.93K</t>
  </si>
  <si>
    <t>597.73K</t>
  </si>
  <si>
    <t>684.36K</t>
  </si>
  <si>
    <t>788.60K</t>
  </si>
  <si>
    <t>918.39K</t>
  </si>
  <si>
    <t>985.70K</t>
  </si>
  <si>
    <t>873.10K</t>
  </si>
  <si>
    <t>601.27K</t>
  </si>
  <si>
    <t>797.77K</t>
  </si>
  <si>
    <t>820.23K</t>
  </si>
  <si>
    <t>737.21K</t>
  </si>
  <si>
    <t>604.44K</t>
  </si>
  <si>
    <t>926.86K</t>
  </si>
  <si>
    <t>657.44K</t>
  </si>
  <si>
    <t>693.91K</t>
  </si>
  <si>
    <t>882.14K</t>
  </si>
  <si>
    <t>933.78K</t>
  </si>
  <si>
    <t>783.02K</t>
  </si>
  <si>
    <t>887.64K</t>
  </si>
  <si>
    <t>742.33K</t>
  </si>
  <si>
    <t>945.69K</t>
  </si>
  <si>
    <t>769.20K</t>
  </si>
  <si>
    <t>802.04K</t>
  </si>
  <si>
    <t>867.90K</t>
  </si>
  <si>
    <t>803.12K</t>
  </si>
  <si>
    <t>832.24K</t>
  </si>
  <si>
    <t>902.57K</t>
  </si>
  <si>
    <t>787.00K</t>
  </si>
  <si>
    <t>534.71K</t>
  </si>
  <si>
    <t>966.55K</t>
  </si>
  <si>
    <t>912.82K</t>
  </si>
  <si>
    <t>903.30K</t>
  </si>
  <si>
    <t>839.15K</t>
  </si>
  <si>
    <t>746.10K</t>
  </si>
  <si>
    <t>824.03K</t>
  </si>
  <si>
    <t>737.12K</t>
  </si>
  <si>
    <t>522.43K</t>
  </si>
  <si>
    <t>657.07K</t>
  </si>
  <si>
    <t>686.20K</t>
  </si>
  <si>
    <t>630.24K</t>
  </si>
  <si>
    <t>479.91K</t>
  </si>
  <si>
    <t>912.59K</t>
  </si>
  <si>
    <t>691.37K</t>
  </si>
  <si>
    <t>725.84K</t>
  </si>
  <si>
    <t>535.06K</t>
  </si>
  <si>
    <t>631.34K</t>
  </si>
  <si>
    <t>902.68K</t>
  </si>
  <si>
    <t>816.04K</t>
  </si>
  <si>
    <t>705.75K</t>
  </si>
  <si>
    <t>822.26K</t>
  </si>
  <si>
    <t>711.68K</t>
  </si>
  <si>
    <t>892.75K</t>
  </si>
  <si>
    <t>815.97K</t>
  </si>
  <si>
    <t>899.47K</t>
  </si>
  <si>
    <t>664.63K</t>
  </si>
  <si>
    <t>832.84K</t>
  </si>
  <si>
    <t>695.41K</t>
  </si>
  <si>
    <t>509.57K</t>
  </si>
  <si>
    <t>767.79K</t>
  </si>
  <si>
    <t>749.95K</t>
  </si>
  <si>
    <t>782.90K</t>
  </si>
  <si>
    <t>630.08K</t>
  </si>
  <si>
    <t>787.56K</t>
  </si>
  <si>
    <t>506.14K</t>
  </si>
  <si>
    <t>829.18K</t>
  </si>
  <si>
    <t>805.96K</t>
  </si>
  <si>
    <t>919.62K</t>
  </si>
  <si>
    <t>963.81K</t>
  </si>
  <si>
    <t>975.01K</t>
  </si>
  <si>
    <t>953.04K</t>
  </si>
  <si>
    <t>717.41K</t>
  </si>
  <si>
    <t>826.57K</t>
  </si>
  <si>
    <t>828.30K</t>
  </si>
  <si>
    <t>745.49K</t>
  </si>
  <si>
    <t>757.54K</t>
  </si>
  <si>
    <t>883.16K</t>
  </si>
  <si>
    <t>787.84K</t>
  </si>
  <si>
    <t>610.33K</t>
  </si>
  <si>
    <t>806.00K</t>
  </si>
  <si>
    <t>903.82K</t>
  </si>
  <si>
    <t>3.59M</t>
  </si>
  <si>
    <t>848.83K</t>
  </si>
  <si>
    <t>777.55K</t>
  </si>
  <si>
    <t>757.55K</t>
  </si>
  <si>
    <t>747.52K</t>
  </si>
  <si>
    <t>874.10K</t>
  </si>
  <si>
    <t>666.23K</t>
  </si>
  <si>
    <t>887.53K</t>
  </si>
  <si>
    <t>750.85K</t>
  </si>
  <si>
    <t>884.54K</t>
  </si>
  <si>
    <t>478.84K</t>
  </si>
  <si>
    <t>291.37K</t>
  </si>
  <si>
    <t>209.02K</t>
  </si>
  <si>
    <t>241.43K</t>
  </si>
  <si>
    <t>301.64K</t>
  </si>
  <si>
    <t>278.74K</t>
  </si>
  <si>
    <t>125.78K</t>
  </si>
  <si>
    <t>214.91K</t>
  </si>
  <si>
    <t>204.94K</t>
  </si>
  <si>
    <t>166.29K</t>
  </si>
  <si>
    <t>417.14K</t>
  </si>
  <si>
    <t>201.31K</t>
  </si>
  <si>
    <t>158.56K</t>
  </si>
  <si>
    <t>226.40K</t>
  </si>
  <si>
    <t>198.10K</t>
  </si>
  <si>
    <t>350.45K</t>
  </si>
  <si>
    <t>311.33K</t>
  </si>
  <si>
    <t>293.37K</t>
  </si>
  <si>
    <t>253.93K</t>
  </si>
  <si>
    <t>404.84K</t>
  </si>
  <si>
    <t>235.66K</t>
  </si>
  <si>
    <t>296.43K</t>
  </si>
  <si>
    <t>246.31K</t>
  </si>
  <si>
    <t>683.50K</t>
  </si>
  <si>
    <t>568.06K</t>
  </si>
  <si>
    <t>912.09K</t>
  </si>
  <si>
    <t>502.47K</t>
  </si>
  <si>
    <t>274.99K</t>
  </si>
  <si>
    <t>891.55K</t>
  </si>
  <si>
    <t>813.14K</t>
  </si>
  <si>
    <t>705.37K</t>
  </si>
  <si>
    <t>281.68K</t>
  </si>
  <si>
    <t>555.63K</t>
  </si>
  <si>
    <t>158.82K</t>
  </si>
  <si>
    <t>268.48K</t>
  </si>
  <si>
    <t>198.78K</t>
  </si>
  <si>
    <t>117.89K</t>
  </si>
  <si>
    <t>137.30K</t>
  </si>
  <si>
    <t>248.42K</t>
  </si>
  <si>
    <t>135.63K</t>
  </si>
  <si>
    <t>468.21K</t>
  </si>
  <si>
    <t>162.71K</t>
  </si>
  <si>
    <t>250.27K</t>
  </si>
  <si>
    <t>412.99K</t>
  </si>
  <si>
    <t>261.09K</t>
  </si>
  <si>
    <t>154.00K</t>
  </si>
  <si>
    <t>228.26K</t>
  </si>
  <si>
    <t>197.19K</t>
  </si>
  <si>
    <t>153.33K</t>
  </si>
  <si>
    <t>130.63K</t>
  </si>
  <si>
    <t>160.58K</t>
  </si>
  <si>
    <t>127.46K</t>
  </si>
  <si>
    <t>50.48K</t>
  </si>
  <si>
    <t>255.18K</t>
  </si>
  <si>
    <t>282.46K</t>
  </si>
  <si>
    <t>185.52K</t>
  </si>
  <si>
    <t>139.99K</t>
  </si>
  <si>
    <t>197.63K</t>
  </si>
  <si>
    <t>71.80K</t>
  </si>
  <si>
    <t>240.38K</t>
  </si>
  <si>
    <t>168.88K</t>
  </si>
  <si>
    <t>138.82K</t>
  </si>
  <si>
    <t>166.72K</t>
  </si>
  <si>
    <t>108.07K</t>
  </si>
  <si>
    <t>99.49K</t>
  </si>
  <si>
    <t>121.01K</t>
  </si>
  <si>
    <t>104.96K</t>
  </si>
  <si>
    <t>71.91K</t>
  </si>
  <si>
    <t>163.56K</t>
  </si>
  <si>
    <t>595.85K</t>
  </si>
  <si>
    <t>234.13K</t>
  </si>
  <si>
    <t>186.08K</t>
  </si>
  <si>
    <t>391.30K</t>
  </si>
  <si>
    <t>273.46K</t>
  </si>
  <si>
    <t>196.69K</t>
  </si>
  <si>
    <t>251.86K</t>
  </si>
  <si>
    <t>320.13K</t>
  </si>
  <si>
    <t>381.67K</t>
  </si>
  <si>
    <t>286.86K</t>
  </si>
  <si>
    <t>209.72K</t>
  </si>
  <si>
    <t>361.92K</t>
  </si>
  <si>
    <t>309.14K</t>
  </si>
  <si>
    <t>193.66K</t>
  </si>
  <si>
    <t>251.70K</t>
  </si>
  <si>
    <t>72.99K</t>
  </si>
  <si>
    <t>247.79K</t>
  </si>
  <si>
    <t>907.50K</t>
  </si>
  <si>
    <t>733.46K</t>
  </si>
  <si>
    <t>933.66K</t>
  </si>
  <si>
    <t>936.60K</t>
  </si>
  <si>
    <t>463.30K</t>
  </si>
  <si>
    <t>193.80K</t>
  </si>
  <si>
    <t>445.29K</t>
  </si>
  <si>
    <t>240.29K</t>
  </si>
  <si>
    <t>263.79K</t>
  </si>
  <si>
    <t>563.21K</t>
  </si>
  <si>
    <t>714.14K</t>
  </si>
  <si>
    <t>120.52K</t>
  </si>
  <si>
    <t>345.07K</t>
  </si>
  <si>
    <t>210.88K</t>
  </si>
  <si>
    <t>242.85K</t>
  </si>
  <si>
    <t>315.10K</t>
  </si>
  <si>
    <t>107.57K</t>
  </si>
  <si>
    <t>289.28K</t>
  </si>
  <si>
    <t>225.09K</t>
  </si>
  <si>
    <t>200.16K</t>
  </si>
  <si>
    <t>142.80K</t>
  </si>
  <si>
    <t>136.92K</t>
  </si>
  <si>
    <t>126.73K</t>
  </si>
  <si>
    <t>139.19K</t>
  </si>
  <si>
    <t>210.51K</t>
  </si>
  <si>
    <t>104.99K</t>
  </si>
  <si>
    <t>146.36K</t>
  </si>
  <si>
    <t>128.93K</t>
  </si>
  <si>
    <t>249.68K</t>
  </si>
  <si>
    <t>168.40K</t>
  </si>
  <si>
    <t>150.39K</t>
  </si>
  <si>
    <t>190.84K</t>
  </si>
  <si>
    <t>121.09K</t>
  </si>
  <si>
    <t>106.95K</t>
  </si>
  <si>
    <t>134.18K</t>
  </si>
  <si>
    <t>205.42K</t>
  </si>
  <si>
    <t>276.29K</t>
  </si>
  <si>
    <t>121.64K</t>
  </si>
  <si>
    <t>195.13K</t>
  </si>
  <si>
    <t>95.70K</t>
  </si>
  <si>
    <t>137.28K</t>
  </si>
  <si>
    <t>217.18K</t>
  </si>
  <si>
    <t>496.55K</t>
  </si>
  <si>
    <t>247.04K</t>
  </si>
  <si>
    <t>194.90K</t>
  </si>
  <si>
    <t>118.28K</t>
  </si>
  <si>
    <t>205.93K</t>
  </si>
  <si>
    <t>113.59K</t>
  </si>
  <si>
    <t>115.20K</t>
  </si>
  <si>
    <t>344.18K</t>
  </si>
  <si>
    <t>223.43K</t>
  </si>
  <si>
    <t>110.63K</t>
  </si>
  <si>
    <t>135.79K</t>
  </si>
  <si>
    <t>221.39K</t>
  </si>
  <si>
    <t>418.94K</t>
  </si>
  <si>
    <t>340.63K</t>
  </si>
  <si>
    <t>279.22K</t>
  </si>
  <si>
    <t>126.96K</t>
  </si>
  <si>
    <t>299.96K</t>
  </si>
  <si>
    <t>618.43K</t>
  </si>
  <si>
    <t>141.90K</t>
  </si>
  <si>
    <t>181.26K</t>
  </si>
  <si>
    <t>659.99K</t>
  </si>
  <si>
    <t>638.28K</t>
  </si>
  <si>
    <t>160.90K</t>
  </si>
  <si>
    <t>322.50K</t>
  </si>
  <si>
    <t>980.47K</t>
  </si>
  <si>
    <t>370.23K</t>
  </si>
  <si>
    <t>362.24K</t>
  </si>
  <si>
    <t>357.67K</t>
  </si>
  <si>
    <t>318.99K</t>
  </si>
  <si>
    <t>583.42K</t>
  </si>
  <si>
    <t>333.52K</t>
  </si>
  <si>
    <t>231.91K</t>
  </si>
  <si>
    <t>353.23K</t>
  </si>
  <si>
    <t>259.21K</t>
  </si>
  <si>
    <t>228.34K</t>
  </si>
  <si>
    <t>189.18K</t>
  </si>
  <si>
    <t>486.07K</t>
  </si>
  <si>
    <t>294.69K</t>
  </si>
  <si>
    <t>386.24K</t>
  </si>
  <si>
    <t>356.89K</t>
  </si>
  <si>
    <t>157.92K</t>
  </si>
  <si>
    <t>186.30K</t>
  </si>
  <si>
    <t>119.42K</t>
  </si>
  <si>
    <t>192.18K</t>
  </si>
  <si>
    <t>163.38K</t>
  </si>
  <si>
    <t>215.59K</t>
  </si>
  <si>
    <t>373.25K</t>
  </si>
  <si>
    <t>236.79K</t>
  </si>
  <si>
    <t>124.46K</t>
  </si>
  <si>
    <t>141.26K</t>
  </si>
  <si>
    <t>343.89K</t>
  </si>
  <si>
    <t>90.94K</t>
  </si>
  <si>
    <t>567.57K</t>
  </si>
  <si>
    <t>232.98K</t>
  </si>
  <si>
    <t>437.70K</t>
  </si>
  <si>
    <t>287.82K</t>
  </si>
  <si>
    <t>269.81K</t>
  </si>
  <si>
    <t>416.91K</t>
  </si>
  <si>
    <t>336.33K</t>
  </si>
  <si>
    <t>624.15K</t>
  </si>
  <si>
    <t>334.53K</t>
  </si>
  <si>
    <t>104.00K</t>
  </si>
  <si>
    <t>190.75K</t>
  </si>
  <si>
    <t>196.96K</t>
  </si>
  <si>
    <t>184.10K</t>
  </si>
  <si>
    <t>180.08K</t>
  </si>
  <si>
    <t>258.83K</t>
  </si>
  <si>
    <t>160.57K</t>
  </si>
  <si>
    <t>224.74K</t>
  </si>
  <si>
    <t>218.21K</t>
  </si>
  <si>
    <t>270.38K</t>
  </si>
  <si>
    <t>342.36K</t>
  </si>
  <si>
    <t>343.60K</t>
  </si>
  <si>
    <t>740.61K</t>
  </si>
  <si>
    <t>449.79K</t>
  </si>
  <si>
    <t>200.68K</t>
  </si>
  <si>
    <t>175.68K</t>
  </si>
  <si>
    <t>431.53K</t>
  </si>
  <si>
    <t>323.87K</t>
  </si>
  <si>
    <t>325.30K</t>
  </si>
  <si>
    <t>490.57K</t>
  </si>
  <si>
    <t>251.36K</t>
  </si>
  <si>
    <t>278.30K</t>
  </si>
  <si>
    <t>331.01K</t>
  </si>
  <si>
    <t>227.89K</t>
  </si>
  <si>
    <t>380.94K</t>
  </si>
  <si>
    <t>381.25K</t>
  </si>
  <si>
    <t>228.64K</t>
  </si>
  <si>
    <t>379.76K</t>
  </si>
  <si>
    <t>408.42K</t>
  </si>
  <si>
    <t>256.80K</t>
  </si>
  <si>
    <t>152.34K</t>
  </si>
  <si>
    <t>300.14K</t>
  </si>
  <si>
    <t>512.18K</t>
  </si>
  <si>
    <t>329.86K</t>
  </si>
  <si>
    <t>200.30K</t>
  </si>
  <si>
    <t>289.99K</t>
  </si>
  <si>
    <t>296.64K</t>
  </si>
  <si>
    <t>428.06K</t>
  </si>
  <si>
    <t>294.20K</t>
  </si>
  <si>
    <t>234.73K</t>
  </si>
  <si>
    <t>325.61K</t>
  </si>
  <si>
    <t>205.59K</t>
  </si>
  <si>
    <t>226.80K</t>
  </si>
  <si>
    <t>232.01K</t>
  </si>
  <si>
    <t>210.31K</t>
  </si>
  <si>
    <t>250.50K</t>
  </si>
  <si>
    <t>309.70K</t>
  </si>
  <si>
    <t>310.55K</t>
  </si>
  <si>
    <t>143.94K</t>
  </si>
  <si>
    <t>211.08K</t>
  </si>
  <si>
    <t>IAG</t>
  </si>
  <si>
    <t>77.00M</t>
  </si>
  <si>
    <t>58.23M</t>
  </si>
  <si>
    <t>40.88M</t>
  </si>
  <si>
    <t>20.73M</t>
  </si>
  <si>
    <t>14.77M</t>
  </si>
  <si>
    <t>21.65M</t>
  </si>
  <si>
    <t>27.99M</t>
  </si>
  <si>
    <t>22.23M</t>
  </si>
  <si>
    <t>25.67M</t>
  </si>
  <si>
    <t>47.74M</t>
  </si>
  <si>
    <t>18.84M</t>
  </si>
  <si>
    <t>21.25M</t>
  </si>
  <si>
    <t>51.94M</t>
  </si>
  <si>
    <t>43.80M</t>
  </si>
  <si>
    <t>19.35M</t>
  </si>
  <si>
    <t>18.08M</t>
  </si>
  <si>
    <t>15.05M</t>
  </si>
  <si>
    <t>18.49M</t>
  </si>
  <si>
    <t>23.09M</t>
  </si>
  <si>
    <t>32.08M</t>
  </si>
  <si>
    <t>31.70M</t>
  </si>
  <si>
    <t>45.61M</t>
  </si>
  <si>
    <t>65.18M</t>
  </si>
  <si>
    <t>71.92M</t>
  </si>
  <si>
    <t>42.80M</t>
  </si>
  <si>
    <t>13.64M</t>
  </si>
  <si>
    <t>22.16M</t>
  </si>
  <si>
    <t>10.77M</t>
  </si>
  <si>
    <t>13.20M</t>
  </si>
  <si>
    <t>12.43M</t>
  </si>
  <si>
    <t>23.14M</t>
  </si>
  <si>
    <t>19.32M</t>
  </si>
  <si>
    <t>14.17M</t>
  </si>
  <si>
    <t>12.76M</t>
  </si>
  <si>
    <t>14.15M</t>
  </si>
  <si>
    <t>18.18M</t>
  </si>
  <si>
    <t>18.88M</t>
  </si>
  <si>
    <t>17.37M</t>
  </si>
  <si>
    <t>14.95M</t>
  </si>
  <si>
    <t>16.44M</t>
  </si>
  <si>
    <t>18.39M</t>
  </si>
  <si>
    <t>22.99M</t>
  </si>
  <si>
    <t>22.96M</t>
  </si>
  <si>
    <t>15.67M</t>
  </si>
  <si>
    <t>15.93M</t>
  </si>
  <si>
    <t>17.74M</t>
  </si>
  <si>
    <t>22.35M</t>
  </si>
  <si>
    <t>32.42M</t>
  </si>
  <si>
    <t>31.44M</t>
  </si>
  <si>
    <t>23.81M</t>
  </si>
  <si>
    <t>12.39M</t>
  </si>
  <si>
    <t>13.00M</t>
  </si>
  <si>
    <t>18.19M</t>
  </si>
  <si>
    <t>17.29M</t>
  </si>
  <si>
    <t>19.27M</t>
  </si>
  <si>
    <t>18.13M</t>
  </si>
  <si>
    <t>12.33M</t>
  </si>
  <si>
    <t>15.73M</t>
  </si>
  <si>
    <t>22.15M</t>
  </si>
  <si>
    <t>9.41M</t>
  </si>
  <si>
    <t>14.67M</t>
  </si>
  <si>
    <t>16.48M</t>
  </si>
  <si>
    <t>25.45M</t>
  </si>
  <si>
    <t>20.57M</t>
  </si>
  <si>
    <t>27.98M</t>
  </si>
  <si>
    <t>48.35M</t>
  </si>
  <si>
    <t>18.03M</t>
  </si>
  <si>
    <t>32.99M</t>
  </si>
  <si>
    <t>22.50M</t>
  </si>
  <si>
    <t>17.46M</t>
  </si>
  <si>
    <t>20.26M</t>
  </si>
  <si>
    <t>31.78M</t>
  </si>
  <si>
    <t>22.77M</t>
  </si>
  <si>
    <t>28.38M</t>
  </si>
  <si>
    <t>36.87M</t>
  </si>
  <si>
    <t>21.10M</t>
  </si>
  <si>
    <t>21.30M</t>
  </si>
  <si>
    <t>22.51M</t>
  </si>
  <si>
    <t>24.27M</t>
  </si>
  <si>
    <t>14.98M</t>
  </si>
  <si>
    <t>23.18M</t>
  </si>
  <si>
    <t>15.97M</t>
  </si>
  <si>
    <t>24.91M</t>
  </si>
  <si>
    <t>16.99M</t>
  </si>
  <si>
    <t>23.46M</t>
  </si>
  <si>
    <t>27.97M</t>
  </si>
  <si>
    <t>39.07M</t>
  </si>
  <si>
    <t>68.74M</t>
  </si>
  <si>
    <t>104.50M</t>
  </si>
  <si>
    <t>67.52M</t>
  </si>
  <si>
    <t>36.20M</t>
  </si>
  <si>
    <t>38.74M</t>
  </si>
  <si>
    <t>53.93M</t>
  </si>
  <si>
    <t>70.56M</t>
  </si>
  <si>
    <t>83.12M</t>
  </si>
  <si>
    <t>18.79M</t>
  </si>
  <si>
    <t>43.56M</t>
  </si>
  <si>
    <t>21.69M</t>
  </si>
  <si>
    <t>40.48M</t>
  </si>
  <si>
    <t>49.91M</t>
  </si>
  <si>
    <t>39.20M</t>
  </si>
  <si>
    <t>22.59M</t>
  </si>
  <si>
    <t>26.46M</t>
  </si>
  <si>
    <t>16.25M</t>
  </si>
  <si>
    <t>17.07M</t>
  </si>
  <si>
    <t>14.30M</t>
  </si>
  <si>
    <t>20.83M</t>
  </si>
  <si>
    <t>29.65M</t>
  </si>
  <si>
    <t>36.77M</t>
  </si>
  <si>
    <t>18.81M</t>
  </si>
  <si>
    <t>20.87M</t>
  </si>
  <si>
    <t>20.54M</t>
  </si>
  <si>
    <t>20.48M</t>
  </si>
  <si>
    <t>33.58M</t>
  </si>
  <si>
    <t>27.61M</t>
  </si>
  <si>
    <t>11.69M</t>
  </si>
  <si>
    <t>11.60M</t>
  </si>
  <si>
    <t>14.16M</t>
  </si>
  <si>
    <t>15.31M</t>
  </si>
  <si>
    <t>21.62M</t>
  </si>
  <si>
    <t>19.95M</t>
  </si>
  <si>
    <t>19.10M</t>
  </si>
  <si>
    <t>21.91M</t>
  </si>
  <si>
    <t>25.74M</t>
  </si>
  <si>
    <t>23.97M</t>
  </si>
  <si>
    <t>27.08M</t>
  </si>
  <si>
    <t>35.94M</t>
  </si>
  <si>
    <t>46.78M</t>
  </si>
  <si>
    <t>43.94M</t>
  </si>
  <si>
    <t>40.33M</t>
  </si>
  <si>
    <t>21.50M</t>
  </si>
  <si>
    <t>23.66M</t>
  </si>
  <si>
    <t>32.92M</t>
  </si>
  <si>
    <t>22.09M</t>
  </si>
  <si>
    <t>24.85M</t>
  </si>
  <si>
    <t>35.14M</t>
  </si>
  <si>
    <t>12.24M</t>
  </si>
  <si>
    <t>16.42M</t>
  </si>
  <si>
    <t>20.86M</t>
  </si>
  <si>
    <t>16.36M</t>
  </si>
  <si>
    <t>24.32M</t>
  </si>
  <si>
    <t>18.64M</t>
  </si>
  <si>
    <t>32.28M</t>
  </si>
  <si>
    <t>40.98M</t>
  </si>
  <si>
    <t>48.59M</t>
  </si>
  <si>
    <t>78.90M</t>
  </si>
  <si>
    <t>11.57M</t>
  </si>
  <si>
    <t>30.05M</t>
  </si>
  <si>
    <t>25.30M</t>
  </si>
  <si>
    <t>14.25M</t>
  </si>
  <si>
    <t>8.13M</t>
  </si>
  <si>
    <t>8.33M</t>
  </si>
  <si>
    <t>5.63M</t>
  </si>
  <si>
    <t>5.21M</t>
  </si>
  <si>
    <t>5.14M</t>
  </si>
  <si>
    <t>5.54M</t>
  </si>
  <si>
    <t>5.80M</t>
  </si>
  <si>
    <t>7.94M</t>
  </si>
  <si>
    <t>6.90M</t>
  </si>
  <si>
    <t>5.43M</t>
  </si>
  <si>
    <t>12.46M</t>
  </si>
  <si>
    <t>7.16M</t>
  </si>
  <si>
    <t>7.77M</t>
  </si>
  <si>
    <t>13.39M</t>
  </si>
  <si>
    <t>17.61M</t>
  </si>
  <si>
    <t>8.24M</t>
  </si>
  <si>
    <t>8.63M</t>
  </si>
  <si>
    <t>6.46M</t>
  </si>
  <si>
    <t>7.75M</t>
  </si>
  <si>
    <t>7.65M</t>
  </si>
  <si>
    <t>8.56M</t>
  </si>
  <si>
    <t>10.39M</t>
  </si>
  <si>
    <t>13.50M</t>
  </si>
  <si>
    <t>20.74M</t>
  </si>
  <si>
    <t>10.20M</t>
  </si>
  <si>
    <t>8.78M</t>
  </si>
  <si>
    <t>7.12M</t>
  </si>
  <si>
    <t>7.63M</t>
  </si>
  <si>
    <t>7.55M</t>
  </si>
  <si>
    <t>12.16M</t>
  </si>
  <si>
    <t>8.95M</t>
  </si>
  <si>
    <t>15.84M</t>
  </si>
  <si>
    <t>18.32M</t>
  </si>
  <si>
    <t>Great-Sun Foods Co Ltd</t>
  </si>
  <si>
    <t>Bolsa de shangai</t>
  </si>
  <si>
    <t>609.93K</t>
  </si>
  <si>
    <t>674.06K</t>
  </si>
  <si>
    <t>752.89K</t>
  </si>
  <si>
    <t>647.37K</t>
  </si>
  <si>
    <t>607.75K</t>
  </si>
  <si>
    <t>515.04K</t>
  </si>
  <si>
    <t>450.97K</t>
  </si>
  <si>
    <t>896.82K</t>
  </si>
  <si>
    <t>437.30K</t>
  </si>
  <si>
    <t>658.46K</t>
  </si>
  <si>
    <t>416.25K</t>
  </si>
  <si>
    <t>542.94K</t>
  </si>
  <si>
    <t>513.51K</t>
  </si>
  <si>
    <t>359.18K</t>
  </si>
  <si>
    <t>919.41K</t>
  </si>
  <si>
    <t>676.89K</t>
  </si>
  <si>
    <t>703.85K</t>
  </si>
  <si>
    <t>680.92K</t>
  </si>
  <si>
    <t>489.84K</t>
  </si>
  <si>
    <t>549.34K</t>
  </si>
  <si>
    <t>394.11K</t>
  </si>
  <si>
    <t>963.94K</t>
  </si>
  <si>
    <t>748.84K</t>
  </si>
  <si>
    <t>430.71K</t>
  </si>
  <si>
    <t>737.30K</t>
  </si>
  <si>
    <t>864.93K</t>
  </si>
  <si>
    <t>424.73K</t>
  </si>
  <si>
    <t>571.96K</t>
  </si>
  <si>
    <t>41.18K</t>
  </si>
  <si>
    <t>617.12K</t>
  </si>
  <si>
    <t>552.96K</t>
  </si>
  <si>
    <t>524.69K</t>
  </si>
  <si>
    <t>785.68K</t>
  </si>
  <si>
    <t>603.46K</t>
  </si>
  <si>
    <t>870.39K</t>
  </si>
  <si>
    <t>623.64K</t>
  </si>
  <si>
    <t>261.14K</t>
  </si>
  <si>
    <t>540.46K</t>
  </si>
  <si>
    <t>387.17K</t>
  </si>
  <si>
    <t>49.29K</t>
  </si>
  <si>
    <t>312.90K</t>
  </si>
  <si>
    <t>588.67K</t>
  </si>
  <si>
    <t>402.87K</t>
  </si>
  <si>
    <t>939.27K</t>
  </si>
  <si>
    <t>597.51K</t>
  </si>
  <si>
    <t>819.40K</t>
  </si>
  <si>
    <t>389.54K</t>
  </si>
  <si>
    <t>958.72K</t>
  </si>
  <si>
    <t>834.23K</t>
  </si>
  <si>
    <t>659.95K</t>
  </si>
  <si>
    <t>308.40K</t>
  </si>
  <si>
    <t>223.08K</t>
  </si>
  <si>
    <t>376.43K</t>
  </si>
  <si>
    <t>314.52K</t>
  </si>
  <si>
    <t>91.39K</t>
  </si>
  <si>
    <t>62.09K</t>
  </si>
  <si>
    <t>366.20K</t>
  </si>
  <si>
    <t>531.33K</t>
  </si>
  <si>
    <t>379.49K</t>
  </si>
  <si>
    <t>615.75K</t>
  </si>
  <si>
    <t>484.41K</t>
  </si>
  <si>
    <t>484.50K</t>
  </si>
  <si>
    <t>439.19K</t>
  </si>
  <si>
    <t>392.63K</t>
  </si>
  <si>
    <t>574.50K</t>
  </si>
  <si>
    <t>543.15K</t>
  </si>
  <si>
    <t>659.55K</t>
  </si>
  <si>
    <t>522.41K</t>
  </si>
  <si>
    <t>971.47K</t>
  </si>
  <si>
    <t>213.79K</t>
  </si>
  <si>
    <t>902.99K</t>
  </si>
  <si>
    <t>717.26K</t>
  </si>
  <si>
    <t>324.45K</t>
  </si>
  <si>
    <t>480.68K</t>
  </si>
  <si>
    <t>239.02K</t>
  </si>
  <si>
    <t>433.88K</t>
  </si>
  <si>
    <t>293.56K</t>
  </si>
  <si>
    <t>604.47K</t>
  </si>
  <si>
    <t>617.19K</t>
  </si>
  <si>
    <t>534.20K</t>
  </si>
  <si>
    <t>285.10K</t>
  </si>
  <si>
    <t>321.55K</t>
  </si>
  <si>
    <t>704.16K</t>
  </si>
  <si>
    <t>679.94K</t>
  </si>
  <si>
    <t>697.53K</t>
  </si>
  <si>
    <t>535.20K</t>
  </si>
  <si>
    <t>296.72K</t>
  </si>
  <si>
    <t>941.36K</t>
  </si>
  <si>
    <t>585.31K</t>
  </si>
  <si>
    <t>527.56K</t>
  </si>
  <si>
    <t>246.16K</t>
  </si>
  <si>
    <t>738.32K</t>
  </si>
  <si>
    <t>744.59K</t>
  </si>
  <si>
    <t>507.96K</t>
  </si>
  <si>
    <t>625.79K</t>
  </si>
  <si>
    <t>713.06K</t>
  </si>
  <si>
    <t>336.85K</t>
  </si>
  <si>
    <t>417.05K</t>
  </si>
  <si>
    <t>580.46K</t>
  </si>
  <si>
    <t>620.41K</t>
  </si>
  <si>
    <t>325.89K</t>
  </si>
  <si>
    <t>356.68K</t>
  </si>
  <si>
    <t>569.43K</t>
  </si>
  <si>
    <t>450.71K</t>
  </si>
  <si>
    <t>380.78K</t>
  </si>
  <si>
    <t>342.34K</t>
  </si>
  <si>
    <t>500.06K</t>
  </si>
  <si>
    <t>729.18K</t>
  </si>
  <si>
    <t>861.73K</t>
  </si>
  <si>
    <t>847.64K</t>
  </si>
  <si>
    <t>695.02K</t>
  </si>
  <si>
    <t>444.87K</t>
  </si>
  <si>
    <t>4.54M</t>
  </si>
  <si>
    <t>886.02K</t>
  </si>
  <si>
    <t>488.60K</t>
  </si>
  <si>
    <t>588.40K</t>
  </si>
  <si>
    <t>511.68K</t>
  </si>
  <si>
    <t>325.81K</t>
  </si>
  <si>
    <t>420.51K</t>
  </si>
  <si>
    <t>506.07K</t>
  </si>
  <si>
    <t>362.03K</t>
  </si>
  <si>
    <t>672.98K</t>
  </si>
  <si>
    <t>594.22K</t>
  </si>
  <si>
    <t>73.22K</t>
  </si>
  <si>
    <t>577.29K</t>
  </si>
  <si>
    <t>523.22K</t>
  </si>
  <si>
    <t>636.17K</t>
  </si>
  <si>
    <t>373.18K</t>
  </si>
  <si>
    <t>467.58K</t>
  </si>
  <si>
    <t>463.18K</t>
  </si>
  <si>
    <t>606.40K</t>
  </si>
  <si>
    <t>485.82K</t>
  </si>
  <si>
    <t>175.08K</t>
  </si>
  <si>
    <t>457.52K</t>
  </si>
  <si>
    <t>268.16K</t>
  </si>
  <si>
    <t>489.46K</t>
  </si>
  <si>
    <t>470.00K</t>
  </si>
  <si>
    <t>183.24K</t>
  </si>
  <si>
    <t>206.05K</t>
  </si>
  <si>
    <t>280.56K</t>
  </si>
  <si>
    <t>481.24K</t>
  </si>
  <si>
    <t>410.59K</t>
  </si>
  <si>
    <t>420.22K</t>
  </si>
  <si>
    <t>310.06K</t>
  </si>
  <si>
    <t>343.63K</t>
  </si>
  <si>
    <t>110.50K</t>
  </si>
  <si>
    <t>917.18K</t>
  </si>
  <si>
    <t>494.77K</t>
  </si>
  <si>
    <t>506.89K</t>
  </si>
  <si>
    <t>545.10K</t>
  </si>
  <si>
    <t>411.55K</t>
  </si>
  <si>
    <t>863.54K</t>
  </si>
  <si>
    <t>881.41K</t>
  </si>
  <si>
    <t>659.84K</t>
  </si>
  <si>
    <t>427.28K</t>
  </si>
  <si>
    <t>352.09K</t>
  </si>
  <si>
    <t>638.42K</t>
  </si>
  <si>
    <t>489.10K</t>
  </si>
  <si>
    <t>381.57K</t>
  </si>
  <si>
    <t>745.44K</t>
  </si>
  <si>
    <t>257.80K</t>
  </si>
  <si>
    <t>367.39K</t>
  </si>
  <si>
    <t>355.90K</t>
  </si>
  <si>
    <t>36.68K</t>
  </si>
  <si>
    <t>560.33K</t>
  </si>
  <si>
    <t>614.24K</t>
  </si>
  <si>
    <t>907.79K</t>
  </si>
  <si>
    <t>758.29K</t>
  </si>
  <si>
    <t>909.88K</t>
  </si>
  <si>
    <t>5.73M</t>
  </si>
  <si>
    <t>403.77K</t>
  </si>
  <si>
    <t>84.50K</t>
  </si>
  <si>
    <t>383.34K</t>
  </si>
  <si>
    <t>209.96K</t>
  </si>
  <si>
    <t>365.71K</t>
  </si>
  <si>
    <t>521.77K</t>
  </si>
  <si>
    <t>844.22K</t>
  </si>
  <si>
    <t>729.00K</t>
  </si>
  <si>
    <t>655.25K</t>
  </si>
  <si>
    <t>571.37K</t>
  </si>
  <si>
    <t>895.06K</t>
  </si>
  <si>
    <t>848.32K</t>
  </si>
  <si>
    <t>569.33K</t>
  </si>
  <si>
    <t>781.53K</t>
  </si>
  <si>
    <t>482.63K</t>
  </si>
  <si>
    <t>172.39K</t>
  </si>
  <si>
    <t>367.90K</t>
  </si>
  <si>
    <t>752.52K</t>
  </si>
  <si>
    <t>482.52K</t>
  </si>
  <si>
    <t>390.80K</t>
  </si>
  <si>
    <t>324.58K</t>
  </si>
  <si>
    <t>451.37K</t>
  </si>
  <si>
    <t>531.68K</t>
  </si>
  <si>
    <t>424.11K</t>
  </si>
  <si>
    <t>310.48K</t>
  </si>
  <si>
    <t>177.13K</t>
  </si>
  <si>
    <t>412.37K</t>
  </si>
  <si>
    <t>381.94K</t>
  </si>
  <si>
    <t>417.58K</t>
  </si>
  <si>
    <t>415.04K</t>
  </si>
  <si>
    <t>371.75K</t>
  </si>
  <si>
    <t>833.86K</t>
  </si>
  <si>
    <t>536.19K</t>
  </si>
  <si>
    <t>317.91K</t>
  </si>
  <si>
    <t>353.65K</t>
  </si>
  <si>
    <t>553.16K</t>
  </si>
  <si>
    <t>678.57K</t>
  </si>
  <si>
    <t>502.43K</t>
  </si>
  <si>
    <t>469.08K</t>
  </si>
  <si>
    <t>223.82K</t>
  </si>
  <si>
    <t>822.25K</t>
  </si>
  <si>
    <t>412.51K</t>
  </si>
  <si>
    <t>553.84K</t>
  </si>
  <si>
    <t>581.61K</t>
  </si>
  <si>
    <t>777.47K</t>
  </si>
  <si>
    <t>658.93K</t>
  </si>
  <si>
    <t>516.03K</t>
  </si>
  <si>
    <t>264.53K</t>
  </si>
  <si>
    <t>234.19K</t>
  </si>
  <si>
    <t>437.77K</t>
  </si>
  <si>
    <t>KOFUBL</t>
  </si>
  <si>
    <t>10.04.2024</t>
  </si>
  <si>
    <t>11.04.2024</t>
  </si>
  <si>
    <t>12.04.2024</t>
  </si>
  <si>
    <t>15.04.2024</t>
  </si>
  <si>
    <t>16.04.2024</t>
  </si>
  <si>
    <t>17.04.2024</t>
  </si>
  <si>
    <t>18.04.2024</t>
  </si>
  <si>
    <t>19.04.2024</t>
  </si>
  <si>
    <t>22.04.2024</t>
  </si>
  <si>
    <t>23.04.2024</t>
  </si>
  <si>
    <t>24.04.2024</t>
  </si>
  <si>
    <t>25.04.2024</t>
  </si>
  <si>
    <t>26.04.2024</t>
  </si>
  <si>
    <t>29.04.2024</t>
  </si>
  <si>
    <t>30.04.2024</t>
  </si>
  <si>
    <t>972.16K</t>
  </si>
  <si>
    <t>02.05.2024</t>
  </si>
  <si>
    <t>03.05.2024</t>
  </si>
  <si>
    <t>06.05.2024</t>
  </si>
  <si>
    <t>827.06K</t>
  </si>
  <si>
    <t>07.05.2024</t>
  </si>
  <si>
    <t>928.80K</t>
  </si>
  <si>
    <t>08.05.2024</t>
  </si>
  <si>
    <t>09.05.2024</t>
  </si>
  <si>
    <t>10.05.2024</t>
  </si>
  <si>
    <t>13.05.2024</t>
  </si>
  <si>
    <t>856.41K</t>
  </si>
  <si>
    <t>14.05.2024</t>
  </si>
  <si>
    <t>15.05.2024</t>
  </si>
  <si>
    <t>16.05.2024</t>
  </si>
  <si>
    <t>784.64K</t>
  </si>
  <si>
    <t>17.05.2024</t>
  </si>
  <si>
    <t>20.05.2024</t>
  </si>
  <si>
    <t>21.05.2024</t>
  </si>
  <si>
    <t>697.24K</t>
  </si>
  <si>
    <t>22.05.2024</t>
  </si>
  <si>
    <t>23.05.2024</t>
  </si>
  <si>
    <t>24.05.2024</t>
  </si>
  <si>
    <t>721.39K</t>
  </si>
  <si>
    <t>27.05.2024</t>
  </si>
  <si>
    <t>513.91K</t>
  </si>
  <si>
    <t>28.05.2024</t>
  </si>
  <si>
    <t>743.32K</t>
  </si>
  <si>
    <t>29.05.2024</t>
  </si>
  <si>
    <t>997.59K</t>
  </si>
  <si>
    <t>30.05.2024</t>
  </si>
  <si>
    <t>31.05.2024</t>
  </si>
  <si>
    <t>03.06.2024</t>
  </si>
  <si>
    <t>848.59K</t>
  </si>
  <si>
    <t>04.06.2024</t>
  </si>
  <si>
    <t>05.06.2024</t>
  </si>
  <si>
    <t>06.06.2024</t>
  </si>
  <si>
    <t>861.93K</t>
  </si>
  <si>
    <t>07.06.2024</t>
  </si>
  <si>
    <t>10.06.2024</t>
  </si>
  <si>
    <t>576.29K</t>
  </si>
  <si>
    <t>11.06.2024</t>
  </si>
  <si>
    <t>12.06.2024</t>
  </si>
  <si>
    <t>13.06.2024</t>
  </si>
  <si>
    <t>14.06.2024</t>
  </si>
  <si>
    <t>17.06.2024</t>
  </si>
  <si>
    <t>18.06.2024</t>
  </si>
  <si>
    <t>19.06.2024</t>
  </si>
  <si>
    <t>20.06.2024</t>
  </si>
  <si>
    <t>21.06.2024</t>
  </si>
  <si>
    <t>24.06.2024</t>
  </si>
  <si>
    <t>25.06.2024</t>
  </si>
  <si>
    <t>913.71K</t>
  </si>
  <si>
    <t>26.06.2024</t>
  </si>
  <si>
    <t>3.38M</t>
  </si>
  <si>
    <t>27.06.2024</t>
  </si>
  <si>
    <t>28.06.2024</t>
  </si>
  <si>
    <t>01.07.2024</t>
  </si>
  <si>
    <t>843.08K</t>
  </si>
  <si>
    <t>02.07.2024</t>
  </si>
  <si>
    <t>03.07.2024</t>
  </si>
  <si>
    <t>04.07.2024</t>
  </si>
  <si>
    <t>05.07.2024</t>
  </si>
  <si>
    <t>08.07.2024</t>
  </si>
  <si>
    <t>784.10K</t>
  </si>
  <si>
    <t>09.07.2024</t>
  </si>
  <si>
    <t>10.07.2024</t>
  </si>
  <si>
    <t>11.07.2024</t>
  </si>
  <si>
    <t>12.07.2024</t>
  </si>
  <si>
    <t>15.07.2024</t>
  </si>
  <si>
    <t>748.71K</t>
  </si>
  <si>
    <t>16.07.2024</t>
  </si>
  <si>
    <t>674.40K</t>
  </si>
  <si>
    <t>17.07.2024</t>
  </si>
  <si>
    <t>895.28K</t>
  </si>
  <si>
    <t>18.07.2024</t>
  </si>
  <si>
    <t>574.64K</t>
  </si>
  <si>
    <t>19.07.2024</t>
  </si>
  <si>
    <t>798.35K</t>
  </si>
  <si>
    <t>22.07.2024</t>
  </si>
  <si>
    <t>576.30K</t>
  </si>
  <si>
    <t>23.07.2024</t>
  </si>
  <si>
    <t>24.07.2024</t>
  </si>
  <si>
    <t>25.07.2024</t>
  </si>
  <si>
    <t>26.07.2024</t>
  </si>
  <si>
    <t>948.49K</t>
  </si>
  <si>
    <t>29.07.2024</t>
  </si>
  <si>
    <t>879.88K</t>
  </si>
  <si>
    <t>30.07.2024</t>
  </si>
  <si>
    <t>647.45K</t>
  </si>
  <si>
    <t>31.07.2024</t>
  </si>
  <si>
    <t>01.08.2024</t>
  </si>
  <si>
    <t>02.08.2024</t>
  </si>
  <si>
    <t>05.08.2024</t>
  </si>
  <si>
    <t>06.08.2024</t>
  </si>
  <si>
    <t>847.12K</t>
  </si>
  <si>
    <t>07.08.2024</t>
  </si>
  <si>
    <t>837.98K</t>
  </si>
  <si>
    <t>08.08.2024</t>
  </si>
  <si>
    <t>612.63K</t>
  </si>
  <si>
    <t>09.08.2024</t>
  </si>
  <si>
    <t>633.14K</t>
  </si>
  <si>
    <t>12.08.2024</t>
  </si>
  <si>
    <t>637.01K</t>
  </si>
  <si>
    <t>13.08.2024</t>
  </si>
  <si>
    <t>14.08.2024</t>
  </si>
  <si>
    <t>603.91K</t>
  </si>
  <si>
    <t>15.08.2024</t>
  </si>
  <si>
    <t>402.86K</t>
  </si>
  <si>
    <t>16.08.2024</t>
  </si>
  <si>
    <t>436.27K</t>
  </si>
  <si>
    <t>19.08.2024</t>
  </si>
  <si>
    <t>624.71K</t>
  </si>
  <si>
    <t>20.08.2024</t>
  </si>
  <si>
    <t>531.19K</t>
  </si>
  <si>
    <t>21.08.2024</t>
  </si>
  <si>
    <t>407.92K</t>
  </si>
  <si>
    <t>22.08.2024</t>
  </si>
  <si>
    <t>555.15K</t>
  </si>
  <si>
    <t>23.08.2024</t>
  </si>
  <si>
    <t>966.40K</t>
  </si>
  <si>
    <t>26.08.2024</t>
  </si>
  <si>
    <t>729.90K</t>
  </si>
  <si>
    <t>27.08.2024</t>
  </si>
  <si>
    <t>656.41K</t>
  </si>
  <si>
    <t>28.08.2024</t>
  </si>
  <si>
    <t>647.28K</t>
  </si>
  <si>
    <t>29.08.2024</t>
  </si>
  <si>
    <t>822.11K</t>
  </si>
  <si>
    <t>30.08.2024</t>
  </si>
  <si>
    <t>02.09.2024</t>
  </si>
  <si>
    <t>551.62K</t>
  </si>
  <si>
    <t>03.09.2024</t>
  </si>
  <si>
    <t>930.22K</t>
  </si>
  <si>
    <t>04.09.2024</t>
  </si>
  <si>
    <t>905.82K</t>
  </si>
  <si>
    <t>05.09.2024</t>
  </si>
  <si>
    <t>688.72K</t>
  </si>
  <si>
    <t>06.09.2024</t>
  </si>
  <si>
    <t>708.75K</t>
  </si>
  <si>
    <t>09.09.2024</t>
  </si>
  <si>
    <t>660.61K</t>
  </si>
  <si>
    <t>10.09.2024</t>
  </si>
  <si>
    <t>11.09.2024</t>
  </si>
  <si>
    <t>777.11K</t>
  </si>
  <si>
    <t>12.09.2024</t>
  </si>
  <si>
    <t>927.11K</t>
  </si>
  <si>
    <t>13.09.2024</t>
  </si>
  <si>
    <t>16.09.2024</t>
  </si>
  <si>
    <t>782.75K</t>
  </si>
  <si>
    <t>17.09.2024</t>
  </si>
  <si>
    <t>18.09.2024</t>
  </si>
  <si>
    <t>789.38K</t>
  </si>
  <si>
    <t>19.09.2024</t>
  </si>
  <si>
    <t>20.09.2024</t>
  </si>
  <si>
    <t>23.09.2024</t>
  </si>
  <si>
    <t>644.31K</t>
  </si>
  <si>
    <t>24.09.2024</t>
  </si>
  <si>
    <t>637.88K</t>
  </si>
  <si>
    <t>25.09.2024</t>
  </si>
  <si>
    <t>512.35K</t>
  </si>
  <si>
    <t>26.09.2024</t>
  </si>
  <si>
    <t>749.94K</t>
  </si>
  <si>
    <t>27.09.2024</t>
  </si>
  <si>
    <t>824.76K</t>
  </si>
  <si>
    <t>30.09.2024</t>
  </si>
  <si>
    <t>01.10.2024</t>
  </si>
  <si>
    <t>998.84K</t>
  </si>
  <si>
    <t>02.10.2024</t>
  </si>
  <si>
    <t>966.94K</t>
  </si>
  <si>
    <t>03.10.2024</t>
  </si>
  <si>
    <t>04.10.2024</t>
  </si>
  <si>
    <t>07.10.2024</t>
  </si>
  <si>
    <t>816.03K</t>
  </si>
  <si>
    <t>08.10.2024</t>
  </si>
  <si>
    <t>833.67K</t>
  </si>
  <si>
    <t>09.10.2024</t>
  </si>
  <si>
    <t>470.39K</t>
  </si>
  <si>
    <t>10.10.2024</t>
  </si>
  <si>
    <t>11.10.2024</t>
  </si>
  <si>
    <t>14.10.2024</t>
  </si>
  <si>
    <t>915.13K</t>
  </si>
  <si>
    <t>15.10.2024</t>
  </si>
  <si>
    <t>904.32K</t>
  </si>
  <si>
    <t>16.10.2024</t>
  </si>
  <si>
    <t>17.10.2024</t>
  </si>
  <si>
    <t>18.10.2024</t>
  </si>
  <si>
    <t>21.10.2024</t>
  </si>
  <si>
    <t>677.43K</t>
  </si>
  <si>
    <t>22.10.2024</t>
  </si>
  <si>
    <t>993.18K</t>
  </si>
  <si>
    <t>23.10.2024</t>
  </si>
  <si>
    <t>734.21K</t>
  </si>
  <si>
    <t>24.10.2024</t>
  </si>
  <si>
    <t>643.92K</t>
  </si>
  <si>
    <t>25.10.2024</t>
  </si>
  <si>
    <t>765.61K</t>
  </si>
  <si>
    <t>28.10.2024</t>
  </si>
  <si>
    <t>502.79K</t>
  </si>
  <si>
    <t>29.10.2024</t>
  </si>
  <si>
    <t>989.41K</t>
  </si>
  <si>
    <t>30.10.2024</t>
  </si>
  <si>
    <t>31.10.2024</t>
  </si>
  <si>
    <t>01.11.2024</t>
  </si>
  <si>
    <t>998.13K</t>
  </si>
  <si>
    <t>04.11.2024</t>
  </si>
  <si>
    <t>667.94K</t>
  </si>
  <si>
    <t>05.11.2024</t>
  </si>
  <si>
    <t>06.11.2024</t>
  </si>
  <si>
    <t>07.11.2024</t>
  </si>
  <si>
    <t>08.11.2024</t>
  </si>
  <si>
    <t>990.63K</t>
  </si>
  <si>
    <t>11.11.2024</t>
  </si>
  <si>
    <t>449.13K</t>
  </si>
  <si>
    <t>12.11.2024</t>
  </si>
  <si>
    <t>13.11.2024</t>
  </si>
  <si>
    <t>780.73K</t>
  </si>
  <si>
    <t>14.11.2024</t>
  </si>
  <si>
    <t>15.11.2024</t>
  </si>
  <si>
    <t>957.49K</t>
  </si>
  <si>
    <t>18.11.2024</t>
  </si>
  <si>
    <t>745.86K</t>
  </si>
  <si>
    <t>19.11.2024</t>
  </si>
  <si>
    <t>20.11.2024</t>
  </si>
  <si>
    <t>21.11.2024</t>
  </si>
  <si>
    <t>22.11.2024</t>
  </si>
  <si>
    <t>25.11.2024</t>
  </si>
  <si>
    <t>26.11.2024</t>
  </si>
  <si>
    <t>952.58K</t>
  </si>
  <si>
    <t>27.11.2024</t>
  </si>
  <si>
    <t>739.67K</t>
  </si>
  <si>
    <t>28.11.2024</t>
  </si>
  <si>
    <t>430.21K</t>
  </si>
  <si>
    <t>29.11.2024</t>
  </si>
  <si>
    <t>713.29K</t>
  </si>
  <si>
    <t>02.12.2024</t>
  </si>
  <si>
    <t>03.12.2024</t>
  </si>
  <si>
    <t>803.35K</t>
  </si>
  <si>
    <t>04.12.2024</t>
  </si>
  <si>
    <t>841.45K</t>
  </si>
  <si>
    <t>05.12.2024</t>
  </si>
  <si>
    <t>06.12.2024</t>
  </si>
  <si>
    <t>767.41K</t>
  </si>
  <si>
    <t>09.12.2024</t>
  </si>
  <si>
    <t>790.47K</t>
  </si>
  <si>
    <t>10.12.2024</t>
  </si>
  <si>
    <t>828.79K</t>
  </si>
  <si>
    <t>11.12.2024</t>
  </si>
  <si>
    <t>951.05K</t>
  </si>
  <si>
    <t>12.12.2024</t>
  </si>
  <si>
    <t>13.12.2024</t>
  </si>
  <si>
    <t>906.74K</t>
  </si>
  <si>
    <t>16.12.2024</t>
  </si>
  <si>
    <t>652.95K</t>
  </si>
  <si>
    <t>17.12.2024</t>
  </si>
  <si>
    <t>18.12.2024</t>
  </si>
  <si>
    <t>19.12.2024</t>
  </si>
  <si>
    <t>20.12.2024</t>
  </si>
  <si>
    <t>23.12.2024</t>
  </si>
  <si>
    <t>798.66K</t>
  </si>
  <si>
    <t>24.12.2024</t>
  </si>
  <si>
    <t>184.51K</t>
  </si>
  <si>
    <t>27.12.2024</t>
  </si>
  <si>
    <t>669.28K</t>
  </si>
  <si>
    <t>30.12.2024</t>
  </si>
  <si>
    <t>539.65K</t>
  </si>
  <si>
    <t>31.12.2024</t>
  </si>
  <si>
    <t>382.35K</t>
  </si>
  <si>
    <t>02.01.2025</t>
  </si>
  <si>
    <t>727.29K</t>
  </si>
  <si>
    <t>03.01.2025</t>
  </si>
  <si>
    <t>841.42K</t>
  </si>
  <si>
    <t>06.01.2025</t>
  </si>
  <si>
    <t>788.48K</t>
  </si>
  <si>
    <t>07.01.2025</t>
  </si>
  <si>
    <t>954.96K</t>
  </si>
  <si>
    <t>08.01.2025</t>
  </si>
  <si>
    <t>09.01.2025</t>
  </si>
  <si>
    <t>10.01.2025</t>
  </si>
  <si>
    <t>0.46K</t>
  </si>
  <si>
    <t>13.01.2025</t>
  </si>
  <si>
    <t>905.61K</t>
  </si>
  <si>
    <t>14.01.2025</t>
  </si>
  <si>
    <t>801.31K</t>
  </si>
  <si>
    <t>15.01.2025</t>
  </si>
  <si>
    <t>983.14K</t>
  </si>
  <si>
    <t>16.01.2025</t>
  </si>
  <si>
    <t>17.01.2025</t>
  </si>
  <si>
    <t>20.01.2025</t>
  </si>
  <si>
    <t>661.35K</t>
  </si>
  <si>
    <t>21.01.2025</t>
  </si>
  <si>
    <t>965.44K</t>
  </si>
  <si>
    <t>22.01.2025</t>
  </si>
  <si>
    <t>903.32K</t>
  </si>
  <si>
    <t>23.01.2025</t>
  </si>
  <si>
    <t>826.78K</t>
  </si>
  <si>
    <t>24.01.2025</t>
  </si>
  <si>
    <t>755.92K</t>
  </si>
  <si>
    <t>27.01.2025</t>
  </si>
  <si>
    <t>28.01.2025</t>
  </si>
  <si>
    <t>780.19K</t>
  </si>
  <si>
    <t>29.01.2025</t>
  </si>
  <si>
    <t>677.46K</t>
  </si>
  <si>
    <t>30.01.2025</t>
  </si>
  <si>
    <t>992.55K</t>
  </si>
  <si>
    <t>31.01.2025</t>
  </si>
  <si>
    <t>03.02.2025</t>
  </si>
  <si>
    <t>04.02.2025</t>
  </si>
  <si>
    <t>05.02.2025</t>
  </si>
  <si>
    <t>994.93K</t>
  </si>
  <si>
    <t>06.02.2025</t>
  </si>
  <si>
    <t>07.02.2025</t>
  </si>
  <si>
    <t>780.00K</t>
  </si>
  <si>
    <t>10.02.2025</t>
  </si>
  <si>
    <t>733.84K</t>
  </si>
  <si>
    <t>11.02.2025</t>
  </si>
  <si>
    <t>909.01K</t>
  </si>
  <si>
    <t>12.02.2025</t>
  </si>
  <si>
    <t>13.02.2025</t>
  </si>
  <si>
    <t>923.80K</t>
  </si>
  <si>
    <t>14.02.2025</t>
  </si>
  <si>
    <t>972.80K</t>
  </si>
  <si>
    <t>17.02.2025</t>
  </si>
  <si>
    <t>790.54K</t>
  </si>
  <si>
    <t>18.02.2025</t>
  </si>
  <si>
    <t>1.32K</t>
  </si>
  <si>
    <t>19.02.2025</t>
  </si>
  <si>
    <t>779.49K</t>
  </si>
  <si>
    <t>20.02.2025</t>
  </si>
  <si>
    <t>21.02.2025</t>
  </si>
  <si>
    <t>992.00K</t>
  </si>
  <si>
    <t>24.02.2025</t>
  </si>
  <si>
    <t>645.93K</t>
  </si>
  <si>
    <t>25.02.2025</t>
  </si>
  <si>
    <t>26.02.2025</t>
  </si>
  <si>
    <t>0.79K</t>
  </si>
  <si>
    <t>27.02.2025</t>
  </si>
  <si>
    <t>28.02.2025</t>
  </si>
  <si>
    <t>03.03.2025</t>
  </si>
  <si>
    <t>04.03.2025</t>
  </si>
  <si>
    <t>05.03.2025</t>
  </si>
  <si>
    <t>06.03.2025</t>
  </si>
  <si>
    <t>07.03.2025</t>
  </si>
  <si>
    <t>803.93K</t>
  </si>
  <si>
    <t>10.03.2025</t>
  </si>
  <si>
    <t>11.03.2025</t>
  </si>
  <si>
    <t>12.03.2025</t>
  </si>
  <si>
    <t>875.53K</t>
  </si>
  <si>
    <t>13.03.2025</t>
  </si>
  <si>
    <t>14.03.2025</t>
  </si>
  <si>
    <t>723.15K</t>
  </si>
  <si>
    <t>17.03.2025</t>
  </si>
  <si>
    <t>872.36K</t>
  </si>
  <si>
    <t>18.03.2025</t>
  </si>
  <si>
    <t>19.03.2025</t>
  </si>
  <si>
    <t>0.97K</t>
  </si>
  <si>
    <t>20.03.2025</t>
  </si>
  <si>
    <t>21.03.2025</t>
  </si>
  <si>
    <t>3.11K</t>
  </si>
  <si>
    <t>24.03.2025</t>
  </si>
  <si>
    <t>1.00K</t>
  </si>
  <si>
    <t>25.03.2025</t>
  </si>
  <si>
    <t>26.03.2025</t>
  </si>
  <si>
    <t>787.52K</t>
  </si>
  <si>
    <t>27.03.2025</t>
  </si>
  <si>
    <t>28.03.2025</t>
  </si>
  <si>
    <t>1.40K</t>
  </si>
  <si>
    <t>31.03.2025</t>
  </si>
  <si>
    <t>01.04.2025</t>
  </si>
  <si>
    <t>02.04.2025</t>
  </si>
  <si>
    <t>03.04.2025</t>
  </si>
  <si>
    <t>04.04.2025</t>
  </si>
  <si>
    <t>0.28K</t>
  </si>
  <si>
    <t>ELE</t>
  </si>
  <si>
    <r>
      <t>Rendimiento</t>
    </r>
    <r>
      <rPr>
        <vertAlign val="subscript"/>
        <sz val="11"/>
        <color theme="1"/>
        <rFont val="Aptos Narrow"/>
        <family val="2"/>
        <scheme val="minor"/>
      </rPr>
      <t>Anual</t>
    </r>
  </si>
  <si>
    <t>w%</t>
  </si>
  <si>
    <t>BBVAPZO</t>
  </si>
  <si>
    <t>BBVALIQ</t>
  </si>
  <si>
    <t>BBVADLP</t>
  </si>
  <si>
    <t>BBVAGUB</t>
  </si>
  <si>
    <t>BBVAGB3</t>
  </si>
  <si>
    <r>
      <t xml:space="preserve">Cete </t>
    </r>
    <r>
      <rPr>
        <vertAlign val="subscript"/>
        <sz val="11"/>
        <color theme="1"/>
        <rFont val="Aptos Narrow"/>
        <family val="2"/>
        <scheme val="minor"/>
      </rPr>
      <t>1año</t>
    </r>
  </si>
  <si>
    <t>EUR-USD</t>
  </si>
  <si>
    <t>Yuan chino-USD</t>
  </si>
  <si>
    <t>CAD-USD</t>
  </si>
  <si>
    <t>r histórico</t>
  </si>
  <si>
    <t>r mercado /Analistas</t>
  </si>
  <si>
    <r>
      <t>σ</t>
    </r>
    <r>
      <rPr>
        <vertAlign val="superscript"/>
        <sz val="11"/>
        <color theme="1"/>
        <rFont val="Calibri"/>
        <family val="2"/>
      </rPr>
      <t>2</t>
    </r>
  </si>
  <si>
    <t>Prima de riesgo Histórica</t>
  </si>
  <si>
    <t>Prima de riesgo mercado/analistas</t>
  </si>
  <si>
    <t>Cociente Sharpe</t>
  </si>
  <si>
    <t>rf</t>
  </si>
  <si>
    <t>µ</t>
  </si>
  <si>
    <t>V=</t>
  </si>
  <si>
    <t>Portafolio de mínimo riesgo</t>
  </si>
  <si>
    <t>Solver</t>
  </si>
  <si>
    <t>Análitica</t>
  </si>
  <si>
    <r>
      <rPr>
        <b/>
        <sz val="11"/>
        <color theme="1"/>
        <rFont val="Calibri"/>
        <family val="2"/>
      </rPr>
      <t>σ</t>
    </r>
    <r>
      <rPr>
        <b/>
        <sz val="11"/>
        <color theme="1"/>
        <rFont val="Aptos Narrow"/>
        <family val="2"/>
        <scheme val="minor"/>
      </rPr>
      <t>p</t>
    </r>
  </si>
  <si>
    <t>Prima de riesgo</t>
  </si>
  <si>
    <t>Portafolio de máximo cociente sharpe</t>
  </si>
  <si>
    <t>Portafolio de máximo Sharpe Ratio (Tangencia)</t>
  </si>
  <si>
    <t>F</t>
  </si>
  <si>
    <t>Frontera Eficiente</t>
  </si>
  <si>
    <t>Capital Market Line (CML)</t>
  </si>
  <si>
    <r>
      <rPr>
        <b/>
        <sz val="11"/>
        <color theme="1"/>
        <rFont val="Calibri"/>
        <family val="2"/>
      </rPr>
      <t>σ</t>
    </r>
    <r>
      <rPr>
        <b/>
        <sz val="11"/>
        <color theme="1"/>
        <rFont val="Aptos Narrow"/>
        <family val="2"/>
        <scheme val="minor"/>
      </rPr>
      <t>pc</t>
    </r>
  </si>
  <si>
    <t>Propuesta 1</t>
  </si>
  <si>
    <t>Prospuesta 2</t>
  </si>
  <si>
    <t>Portafolio conjunto Propuesta 2</t>
  </si>
  <si>
    <t>Inversión Tangencia</t>
  </si>
  <si>
    <t>Inversión en deuda</t>
  </si>
  <si>
    <t>Portafolio conjunto Propuesta 1</t>
  </si>
  <si>
    <t>Pasivo</t>
  </si>
  <si>
    <t>Activo</t>
  </si>
  <si>
    <t>Inversión</t>
  </si>
  <si>
    <t>USD</t>
  </si>
  <si>
    <t>$</t>
  </si>
  <si>
    <t>Precio unitario</t>
  </si>
  <si>
    <t># Títulos</t>
  </si>
  <si>
    <t>$ Ajustada</t>
  </si>
  <si>
    <t>Extra para deuda</t>
  </si>
  <si>
    <t>MXN-USD (FIX)</t>
  </si>
  <si>
    <t>Propuesta con 8.32</t>
  </si>
  <si>
    <t>Propuesta con 8.92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</si>
</sst>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0.0000%"/>
    <numFmt numFmtId="165" formatCode="0.000%"/>
    <numFmt numFmtId="171" formatCode="&quot;$&quot;#,##0.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7C32"/>
      <name val="Segoe UI"/>
      <family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i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rgb="FFFF0000"/>
      <name val="Aptos Narrow"/>
      <family val="2"/>
      <scheme val="minor"/>
    </font>
    <font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4" fontId="0" fillId="0" borderId="0" xfId="0" applyNumberFormat="1"/>
    <xf numFmtId="10" fontId="0" fillId="0" borderId="0" xfId="0" applyNumberFormat="1"/>
    <xf numFmtId="4" fontId="0" fillId="0" borderId="0" xfId="0" applyNumberFormat="1"/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0" borderId="0" xfId="1" applyNumberFormat="1" applyFont="1"/>
    <xf numFmtId="10" fontId="0" fillId="3" borderId="6" xfId="1" applyNumberFormat="1" applyFont="1" applyFill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4" fontId="0" fillId="0" borderId="0" xfId="0" applyNumberFormat="1" applyAlignment="1">
      <alignment horizontal="center"/>
    </xf>
    <xf numFmtId="0" fontId="6" fillId="6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8" fillId="4" borderId="0" xfId="0" applyFont="1" applyFill="1" applyAlignment="1">
      <alignment horizontal="right" vertical="center" wrapText="1" readingOrder="1"/>
    </xf>
    <xf numFmtId="0" fontId="0" fillId="8" borderId="0" xfId="0" applyFill="1" applyAlignment="1">
      <alignment horizontal="center"/>
    </xf>
    <xf numFmtId="0" fontId="6" fillId="0" borderId="9" xfId="0" applyFont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6" borderId="0" xfId="0" applyNumberForma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165" fontId="0" fillId="10" borderId="4" xfId="1" applyNumberFormat="1" applyFont="1" applyFill="1" applyBorder="1" applyAlignment="1">
      <alignment horizontal="center" vertical="center"/>
    </xf>
    <xf numFmtId="165" fontId="0" fillId="10" borderId="8" xfId="1" applyNumberFormat="1" applyFont="1" applyFill="1" applyBorder="1" applyAlignment="1">
      <alignment horizontal="center" vertical="center"/>
    </xf>
    <xf numFmtId="165" fontId="0" fillId="10" borderId="6" xfId="1" applyNumberFormat="1" applyFont="1" applyFill="1" applyBorder="1" applyAlignment="1">
      <alignment horizontal="center" vertical="center"/>
    </xf>
    <xf numFmtId="0" fontId="0" fillId="10" borderId="10" xfId="0" applyFill="1" applyBorder="1"/>
    <xf numFmtId="0" fontId="0" fillId="10" borderId="15" xfId="0" applyFill="1" applyBorder="1"/>
    <xf numFmtId="0" fontId="0" fillId="10" borderId="11" xfId="0" applyFill="1" applyBorder="1"/>
    <xf numFmtId="0" fontId="0" fillId="10" borderId="5" xfId="0" applyFill="1" applyBorder="1"/>
    <xf numFmtId="0" fontId="0" fillId="10" borderId="0" xfId="0" applyFill="1"/>
    <xf numFmtId="0" fontId="0" fillId="10" borderId="12" xfId="0" applyFill="1" applyBorder="1"/>
    <xf numFmtId="0" fontId="0" fillId="10" borderId="13" xfId="0" applyFill="1" applyBorder="1"/>
    <xf numFmtId="0" fontId="0" fillId="10" borderId="7" xfId="0" applyFill="1" applyBorder="1"/>
    <xf numFmtId="0" fontId="0" fillId="10" borderId="14" xfId="0" applyFill="1" applyBorder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0" xfId="0" applyFont="1"/>
    <xf numFmtId="165" fontId="0" fillId="0" borderId="16" xfId="1" applyNumberFormat="1" applyFont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4" fontId="0" fillId="0" borderId="16" xfId="1" applyNumberFormat="1" applyFont="1" applyBorder="1" applyAlignment="1">
      <alignment horizontal="center"/>
    </xf>
    <xf numFmtId="164" fontId="0" fillId="0" borderId="17" xfId="1" applyNumberFormat="1" applyFon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0" xfId="0" applyNumberFormat="1"/>
    <xf numFmtId="1" fontId="0" fillId="0" borderId="17" xfId="1" applyNumberFormat="1" applyFont="1" applyBorder="1" applyAlignment="1">
      <alignment horizontal="center" vertical="center"/>
    </xf>
    <xf numFmtId="165" fontId="0" fillId="0" borderId="0" xfId="1" applyNumberFormat="1" applyFont="1"/>
    <xf numFmtId="164" fontId="0" fillId="0" borderId="0" xfId="1" applyNumberFormat="1" applyFont="1"/>
    <xf numFmtId="9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2" borderId="0" xfId="0" applyNumberFormat="1" applyFill="1"/>
    <xf numFmtId="10" fontId="0" fillId="2" borderId="0" xfId="1" applyNumberFormat="1" applyFont="1" applyFill="1"/>
    <xf numFmtId="0" fontId="11" fillId="2" borderId="0" xfId="0" applyFont="1" applyFill="1"/>
    <xf numFmtId="0" fontId="11" fillId="5" borderId="0" xfId="0" applyFont="1" applyFill="1"/>
    <xf numFmtId="10" fontId="0" fillId="5" borderId="0" xfId="0" applyNumberFormat="1" applyFill="1"/>
    <xf numFmtId="10" fontId="0" fillId="5" borderId="0" xfId="1" applyNumberFormat="1" applyFont="1" applyFill="1"/>
    <xf numFmtId="0" fontId="0" fillId="2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0" fontId="0" fillId="7" borderId="0" xfId="1" applyNumberFormat="1" applyFont="1" applyFill="1"/>
    <xf numFmtId="10" fontId="0" fillId="7" borderId="0" xfId="0" applyNumberFormat="1" applyFill="1"/>
    <xf numFmtId="0" fontId="0" fillId="5" borderId="2" xfId="0" applyFill="1" applyBorder="1" applyAlignment="1">
      <alignment horizontal="center" vertical="center"/>
    </xf>
    <xf numFmtId="0" fontId="11" fillId="7" borderId="0" xfId="0" applyFont="1" applyFill="1"/>
    <xf numFmtId="0" fontId="2" fillId="7" borderId="0" xfId="0" applyFont="1" applyFill="1" applyAlignment="1">
      <alignment horizontal="center"/>
    </xf>
    <xf numFmtId="10" fontId="0" fillId="9" borderId="1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4" fontId="0" fillId="0" borderId="3" xfId="1" applyNumberFormat="1" applyFont="1" applyFill="1" applyBorder="1" applyAlignment="1">
      <alignment horizontal="center" vertical="center"/>
    </xf>
    <xf numFmtId="44" fontId="0" fillId="0" borderId="0" xfId="2" applyFont="1" applyAlignment="1">
      <alignment horizontal="center"/>
    </xf>
    <xf numFmtId="4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1" fontId="13" fillId="0" borderId="0" xfId="0" applyNumberFormat="1" applyFont="1"/>
    <xf numFmtId="44" fontId="13" fillId="0" borderId="0" xfId="0" applyNumberFormat="1" applyFont="1"/>
    <xf numFmtId="0" fontId="0" fillId="2" borderId="0" xfId="0" applyFill="1"/>
    <xf numFmtId="0" fontId="0" fillId="9" borderId="0" xfId="0" applyFill="1"/>
    <xf numFmtId="171" fontId="0" fillId="0" borderId="1" xfId="0" applyNumberFormat="1" applyBorder="1" applyAlignment="1">
      <alignment horizontal="center" vertical="center"/>
    </xf>
    <xf numFmtId="0" fontId="14" fillId="0" borderId="0" xfId="0" applyFont="1"/>
    <xf numFmtId="171" fontId="0" fillId="0" borderId="1" xfId="2" applyNumberFormat="1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1" xfId="0" applyBorder="1" applyAlignment="1">
      <alignment horizontal="center"/>
    </xf>
    <xf numFmtId="171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/>
    <xf numFmtId="0" fontId="13" fillId="0" borderId="0" xfId="0" applyFont="1"/>
    <xf numFmtId="164" fontId="0" fillId="11" borderId="1" xfId="1" applyNumberFormat="1" applyFont="1" applyFill="1" applyBorder="1" applyAlignment="1">
      <alignment horizontal="center" vertical="center"/>
    </xf>
    <xf numFmtId="1" fontId="0" fillId="11" borderId="1" xfId="1" applyNumberFormat="1" applyFont="1" applyFill="1" applyBorder="1" applyAlignment="1">
      <alignment horizontal="center" vertical="center"/>
    </xf>
    <xf numFmtId="165" fontId="0" fillId="11" borderId="4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64" fontId="0" fillId="2" borderId="1" xfId="1" applyNumberFormat="1" applyFont="1" applyFill="1" applyBorder="1" applyAlignment="1">
      <alignment horizontal="center" vertical="center"/>
    </xf>
    <xf numFmtId="1" fontId="0" fillId="2" borderId="1" xfId="1" applyNumberFormat="1" applyFon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12" borderId="6" xfId="1" applyNumberFormat="1" applyFont="1" applyFill="1" applyBorder="1" applyAlignment="1">
      <alignment horizontal="center" vertical="center"/>
    </xf>
    <xf numFmtId="1" fontId="0" fillId="12" borderId="1" xfId="1" applyNumberFormat="1" applyFont="1" applyFill="1" applyBorder="1" applyAlignment="1">
      <alignment horizontal="center" vertical="center"/>
    </xf>
    <xf numFmtId="164" fontId="0" fillId="12" borderId="1" xfId="1" applyNumberFormat="1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64" fontId="0" fillId="13" borderId="6" xfId="1" applyNumberFormat="1" applyFont="1" applyFill="1" applyBorder="1" applyAlignment="1">
      <alignment horizontal="center" vertical="center"/>
    </xf>
    <xf numFmtId="1" fontId="0" fillId="13" borderId="1" xfId="1" applyNumberFormat="1" applyFont="1" applyFill="1" applyBorder="1" applyAlignment="1">
      <alignment horizontal="center" vertical="center"/>
    </xf>
    <xf numFmtId="164" fontId="0" fillId="13" borderId="1" xfId="1" applyNumberFormat="1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</cellXfs>
  <cellStyles count="4">
    <cellStyle name="Moneda" xfId="2" builtinId="4"/>
    <cellStyle name="Normal" xfId="0" builtinId="0"/>
    <cellStyle name="Normal 2" xfId="3" xr:uid="{C1DCF7C6-7241-4D53-894D-DC6D4623C954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31714785651794"/>
          <c:y val="5.0925925925925923E-2"/>
          <c:w val="0.64517287096067599"/>
          <c:h val="0.84204505686789155"/>
        </c:manualLayout>
      </c:layout>
      <c:scatterChart>
        <c:scatterStyle val="smoothMarker"/>
        <c:varyColors val="0"/>
        <c:ser>
          <c:idx val="0"/>
          <c:order val="0"/>
          <c:tx>
            <c:v>Frontera Eficiente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Portafolio!$BE$82:$BE$119</c:f>
              <c:numCache>
                <c:formatCode>0.00%</c:formatCode>
                <c:ptCount val="38"/>
                <c:pt idx="0">
                  <c:v>0.26470238842904953</c:v>
                </c:pt>
                <c:pt idx="1">
                  <c:v>0.24598908957080531</c:v>
                </c:pt>
                <c:pt idx="2">
                  <c:v>0.22749040640034249</c:v>
                </c:pt>
                <c:pt idx="3">
                  <c:v>0.20926326215798455</c:v>
                </c:pt>
                <c:pt idx="4">
                  <c:v>0.1913852550284342</c:v>
                </c:pt>
                <c:pt idx="5">
                  <c:v>0.17396405911591423</c:v>
                </c:pt>
                <c:pt idx="6">
                  <c:v>0.15715166863371474</c:v>
                </c:pt>
                <c:pt idx="7">
                  <c:v>0.14116577174770623</c:v>
                </c:pt>
                <c:pt idx="8">
                  <c:v>0.12632053807825233</c:v>
                </c:pt>
                <c:pt idx="9">
                  <c:v>0.11306616043769224</c:v>
                </c:pt>
                <c:pt idx="10">
                  <c:v>0.10202455586942681</c:v>
                </c:pt>
                <c:pt idx="11">
                  <c:v>9.3978925473079775E-2</c:v>
                </c:pt>
                <c:pt idx="12">
                  <c:v>8.9738742660484386E-2</c:v>
                </c:pt>
                <c:pt idx="13">
                  <c:v>8.9233170110689736E-2</c:v>
                </c:pt>
                <c:pt idx="14">
                  <c:v>8.9844423889207867E-2</c:v>
                </c:pt>
                <c:pt idx="15">
                  <c:v>9.3249945673759632E-2</c:v>
                </c:pt>
                <c:pt idx="16">
                  <c:v>9.4281356280930526E-2</c:v>
                </c:pt>
                <c:pt idx="17">
                  <c:v>9.535859181393605E-2</c:v>
                </c:pt>
                <c:pt idx="18">
                  <c:v>0.10248854984264785</c:v>
                </c:pt>
                <c:pt idx="19">
                  <c:v>0.11365212987012227</c:v>
                </c:pt>
                <c:pt idx="20">
                  <c:v>0.1269948245704148</c:v>
                </c:pt>
                <c:pt idx="21">
                  <c:v>0.14190327473252615</c:v>
                </c:pt>
                <c:pt idx="22">
                  <c:v>0.15793469650601863</c:v>
                </c:pt>
                <c:pt idx="23">
                  <c:v>0.17478035475868192</c:v>
                </c:pt>
                <c:pt idx="24">
                  <c:v>0.19222630290150786</c:v>
                </c:pt>
                <c:pt idx="25">
                  <c:v>0.21012307277708195</c:v>
                </c:pt>
                <c:pt idx="26">
                  <c:v>0.22836469728894737</c:v>
                </c:pt>
                <c:pt idx="27">
                  <c:v>0.24687474413343971</c:v>
                </c:pt>
                <c:pt idx="28">
                  <c:v>0.26559709840756757</c:v>
                </c:pt>
                <c:pt idx="29">
                  <c:v>0.28448984716958886</c:v>
                </c:pt>
                <c:pt idx="30">
                  <c:v>0.30352117334894774</c:v>
                </c:pt>
                <c:pt idx="31">
                  <c:v>0.32266655740587219</c:v>
                </c:pt>
                <c:pt idx="32">
                  <c:v>0.34190683955381929</c:v>
                </c:pt>
                <c:pt idx="33">
                  <c:v>0.3612268562381461</c:v>
                </c:pt>
                <c:pt idx="34">
                  <c:v>0.38061446566072143</c:v>
                </c:pt>
                <c:pt idx="35">
                  <c:v>0.40005984095031055</c:v>
                </c:pt>
                <c:pt idx="36">
                  <c:v>0.4195549502516544</c:v>
                </c:pt>
                <c:pt idx="37">
                  <c:v>0.43909316925754782</c:v>
                </c:pt>
              </c:numCache>
            </c:numRef>
          </c:xVal>
          <c:yVal>
            <c:numRef>
              <c:f>Portafolio!$BF$82:$BF$119</c:f>
              <c:numCache>
                <c:formatCode>0.00%</c:formatCode>
                <c:ptCount val="38"/>
                <c:pt idx="0">
                  <c:v>2.4999999999999779E-2</c:v>
                </c:pt>
                <c:pt idx="1">
                  <c:v>5.00000000000001E-2</c:v>
                </c:pt>
                <c:pt idx="2">
                  <c:v>7.4999999999999942E-2</c:v>
                </c:pt>
                <c:pt idx="3">
                  <c:v>9.9999999999999895E-2</c:v>
                </c:pt>
                <c:pt idx="4">
                  <c:v>0.12499999999999996</c:v>
                </c:pt>
                <c:pt idx="5">
                  <c:v>0.14999999999999988</c:v>
                </c:pt>
                <c:pt idx="6">
                  <c:v>0.17499999999999993</c:v>
                </c:pt>
                <c:pt idx="7">
                  <c:v>0.19999999999999993</c:v>
                </c:pt>
                <c:pt idx="8">
                  <c:v>0.22499999999999992</c:v>
                </c:pt>
                <c:pt idx="9">
                  <c:v>0.24999999999999989</c:v>
                </c:pt>
                <c:pt idx="10">
                  <c:v>0.27499999999999991</c:v>
                </c:pt>
                <c:pt idx="11">
                  <c:v>0.3</c:v>
                </c:pt>
                <c:pt idx="12">
                  <c:v>0.32499999999999996</c:v>
                </c:pt>
                <c:pt idx="13">
                  <c:v>0.33690541470377766</c:v>
                </c:pt>
                <c:pt idx="14">
                  <c:v>0.35000000000000003</c:v>
                </c:pt>
                <c:pt idx="15">
                  <c:v>0.37079064737906664</c:v>
                </c:pt>
                <c:pt idx="16">
                  <c:v>0.37500000000000011</c:v>
                </c:pt>
                <c:pt idx="17">
                  <c:v>0.37899110929126195</c:v>
                </c:pt>
                <c:pt idx="18">
                  <c:v>0.40000000000000008</c:v>
                </c:pt>
                <c:pt idx="19">
                  <c:v>0.4250000000000001</c:v>
                </c:pt>
                <c:pt idx="20">
                  <c:v>0.45000000000000018</c:v>
                </c:pt>
                <c:pt idx="21">
                  <c:v>0.47500000000000014</c:v>
                </c:pt>
                <c:pt idx="22">
                  <c:v>0.50000000000000033</c:v>
                </c:pt>
                <c:pt idx="23">
                  <c:v>0.52500000000000013</c:v>
                </c:pt>
                <c:pt idx="24">
                  <c:v>0.55000000000000027</c:v>
                </c:pt>
                <c:pt idx="25">
                  <c:v>0.57500000000000029</c:v>
                </c:pt>
                <c:pt idx="26">
                  <c:v>0.60000000000000042</c:v>
                </c:pt>
                <c:pt idx="27">
                  <c:v>0.62500000000000033</c:v>
                </c:pt>
                <c:pt idx="28">
                  <c:v>0.65000000000000036</c:v>
                </c:pt>
                <c:pt idx="29">
                  <c:v>0.67500000000000027</c:v>
                </c:pt>
                <c:pt idx="30">
                  <c:v>0.70000000000000029</c:v>
                </c:pt>
                <c:pt idx="31">
                  <c:v>0.72500000000000064</c:v>
                </c:pt>
                <c:pt idx="32">
                  <c:v>0.75000000000000044</c:v>
                </c:pt>
                <c:pt idx="33">
                  <c:v>0.77500000000000036</c:v>
                </c:pt>
                <c:pt idx="34">
                  <c:v>0.80000000000000049</c:v>
                </c:pt>
                <c:pt idx="35">
                  <c:v>0.8250000000000004</c:v>
                </c:pt>
                <c:pt idx="36">
                  <c:v>0.85000000000000075</c:v>
                </c:pt>
                <c:pt idx="37">
                  <c:v>0.87500000000000067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F7-49C1-BFA5-356D9FAEE564}"/>
            </c:ext>
          </c:extLst>
        </c:ser>
        <c:ser>
          <c:idx val="1"/>
          <c:order val="1"/>
          <c:tx>
            <c:v>Portafolio_Minimo_Riesgo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8F7-49C1-BFA5-356D9FAEE564}"/>
              </c:ext>
            </c:extLst>
          </c:dPt>
          <c:xVal>
            <c:numRef>
              <c:f>Portafolio!$BE$95</c:f>
              <c:numCache>
                <c:formatCode>0.00%</c:formatCode>
                <c:ptCount val="1"/>
                <c:pt idx="0">
                  <c:v>8.9233170110689736E-2</c:v>
                </c:pt>
              </c:numCache>
            </c:numRef>
          </c:xVal>
          <c:yVal>
            <c:numRef>
              <c:f>Portafolio!$BF$95</c:f>
              <c:numCache>
                <c:formatCode>0.00%</c:formatCode>
                <c:ptCount val="1"/>
                <c:pt idx="0">
                  <c:v>0.33690541470377766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F7-49C1-BFA5-356D9FAEE564}"/>
            </c:ext>
          </c:extLst>
        </c:ser>
        <c:ser>
          <c:idx val="2"/>
          <c:order val="2"/>
          <c:tx>
            <c:v>Port max sharpe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Portafolio!$BE$97</c:f>
              <c:numCache>
                <c:formatCode>0.00%</c:formatCode>
                <c:ptCount val="1"/>
                <c:pt idx="0">
                  <c:v>9.3249945673759632E-2</c:v>
                </c:pt>
              </c:numCache>
            </c:numRef>
          </c:xVal>
          <c:yVal>
            <c:numRef>
              <c:f>Portafolio!$BF$97</c:f>
              <c:numCache>
                <c:formatCode>0.00%</c:formatCode>
                <c:ptCount val="1"/>
                <c:pt idx="0">
                  <c:v>0.37079064737906664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F7-49C1-BFA5-356D9FAEE564}"/>
            </c:ext>
          </c:extLst>
        </c:ser>
        <c:ser>
          <c:idx val="3"/>
          <c:order val="3"/>
          <c:tx>
            <c:v>Portafolio de Tangecia (Sharpe Ratio)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206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Portafolio!$BE$99</c:f>
              <c:numCache>
                <c:formatCode>0.00%</c:formatCode>
                <c:ptCount val="1"/>
                <c:pt idx="0">
                  <c:v>9.535859181393605E-2</c:v>
                </c:pt>
              </c:numCache>
            </c:numRef>
          </c:xVal>
          <c:yVal>
            <c:numRef>
              <c:f>Portafolio!$BF$99</c:f>
              <c:numCache>
                <c:formatCode>0.00%</c:formatCode>
                <c:ptCount val="1"/>
                <c:pt idx="0">
                  <c:v>0.37899110929126195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F7-49C1-BFA5-356D9FAEE564}"/>
            </c:ext>
          </c:extLst>
        </c:ser>
        <c:ser>
          <c:idx val="4"/>
          <c:order val="4"/>
          <c:tx>
            <c:v>Recta Tangente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Portafolio!$BH$102:$BH$139</c:f>
              <c:numCache>
                <c:formatCode>0.00%</c:formatCode>
                <c:ptCount val="38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</c:numCache>
            </c:numRef>
          </c:xVal>
          <c:yVal>
            <c:numRef>
              <c:f>Portafolio!$BI$102:$BI$139</c:f>
              <c:numCache>
                <c:formatCode>0.000%</c:formatCode>
                <c:ptCount val="38"/>
                <c:pt idx="0">
                  <c:v>9.9299999999999999E-2</c:v>
                </c:pt>
                <c:pt idx="1">
                  <c:v>0.17236231671113236</c:v>
                </c:pt>
                <c:pt idx="2">
                  <c:v>0.24542463342226473</c:v>
                </c:pt>
                <c:pt idx="3">
                  <c:v>0.31848695013339712</c:v>
                </c:pt>
                <c:pt idx="4">
                  <c:v>0.39154926684452945</c:v>
                </c:pt>
                <c:pt idx="5">
                  <c:v>0.46461158355566179</c:v>
                </c:pt>
                <c:pt idx="6">
                  <c:v>0.53767390026679407</c:v>
                </c:pt>
                <c:pt idx="7">
                  <c:v>0.61073621697792646</c:v>
                </c:pt>
                <c:pt idx="8">
                  <c:v>0.68379853368905885</c:v>
                </c:pt>
                <c:pt idx="9">
                  <c:v>0.75686085040019124</c:v>
                </c:pt>
                <c:pt idx="10">
                  <c:v>0.82992316711132341</c:v>
                </c:pt>
                <c:pt idx="11">
                  <c:v>0.9029854838224558</c:v>
                </c:pt>
                <c:pt idx="12">
                  <c:v>0.97604780053358819</c:v>
                </c:pt>
                <c:pt idx="13">
                  <c:v>1.0491101172447206</c:v>
                </c:pt>
                <c:pt idx="14">
                  <c:v>1.122172433955853</c:v>
                </c:pt>
                <c:pt idx="15">
                  <c:v>1.1952347506669854</c:v>
                </c:pt>
                <c:pt idx="16">
                  <c:v>1.268297067378118</c:v>
                </c:pt>
                <c:pt idx="17">
                  <c:v>1.3413593840892504</c:v>
                </c:pt>
                <c:pt idx="18">
                  <c:v>1.4144217008003828</c:v>
                </c:pt>
                <c:pt idx="19">
                  <c:v>1.4874840175115152</c:v>
                </c:pt>
                <c:pt idx="20">
                  <c:v>1.5605463342226473</c:v>
                </c:pt>
                <c:pt idx="21">
                  <c:v>1.6336086509337799</c:v>
                </c:pt>
                <c:pt idx="22">
                  <c:v>1.7066709676449123</c:v>
                </c:pt>
                <c:pt idx="23">
                  <c:v>1.7797332843560447</c:v>
                </c:pt>
                <c:pt idx="24">
                  <c:v>1.8527956010671771</c:v>
                </c:pt>
                <c:pt idx="25">
                  <c:v>1.9258579177783095</c:v>
                </c:pt>
                <c:pt idx="26">
                  <c:v>1.9989202344894419</c:v>
                </c:pt>
                <c:pt idx="27">
                  <c:v>2.0719825512005743</c:v>
                </c:pt>
                <c:pt idx="28">
                  <c:v>2.1450448679117069</c:v>
                </c:pt>
                <c:pt idx="29">
                  <c:v>2.2181071846228391</c:v>
                </c:pt>
                <c:pt idx="30">
                  <c:v>2.2911695013339717</c:v>
                </c:pt>
                <c:pt idx="31">
                  <c:v>2.3642318180451043</c:v>
                </c:pt>
                <c:pt idx="32">
                  <c:v>2.4372941347562365</c:v>
                </c:pt>
                <c:pt idx="33">
                  <c:v>2.5103564514673691</c:v>
                </c:pt>
                <c:pt idx="34">
                  <c:v>2.5834187681785012</c:v>
                </c:pt>
                <c:pt idx="35">
                  <c:v>2.6564810848896339</c:v>
                </c:pt>
                <c:pt idx="36">
                  <c:v>2.729543401600766</c:v>
                </c:pt>
                <c:pt idx="37">
                  <c:v>2.8026057183118986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F7-49C1-BFA5-356D9FAEE564}"/>
            </c:ext>
          </c:extLst>
        </c:ser>
        <c:ser>
          <c:idx val="5"/>
          <c:order val="5"/>
          <c:tx>
            <c:v>Tangente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Portafolio!$BH$102</c:f>
              <c:numCache>
                <c:formatCode>0.00%</c:formatCode>
                <c:ptCount val="1"/>
                <c:pt idx="0">
                  <c:v>0</c:v>
                </c:pt>
              </c:numCache>
            </c:numRef>
          </c:xVal>
          <c:yVal>
            <c:numRef>
              <c:f>Portafolio!$BI$102</c:f>
              <c:numCache>
                <c:formatCode>0.000%</c:formatCode>
                <c:ptCount val="1"/>
                <c:pt idx="0">
                  <c:v>9.9299999999999999E-2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F7-49C1-BFA5-356D9FAEE564}"/>
            </c:ext>
          </c:extLst>
        </c:ser>
        <c:ser>
          <c:idx val="6"/>
          <c:order val="6"/>
          <c:tx>
            <c:v>Portafolio de deuda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Portafolio!$AS$14</c:f>
              <c:numCache>
                <c:formatCode>0.00%</c:formatCode>
                <c:ptCount val="1"/>
                <c:pt idx="0">
                  <c:v>9.9299999999999999E-2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F7-49C1-BFA5-356D9FAEE564}"/>
            </c:ext>
          </c:extLst>
        </c:ser>
        <c:ser>
          <c:idx val="7"/>
          <c:order val="7"/>
          <c:tx>
            <c:v>Propuesta con 8.32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Portafolio!$BL$102</c:f>
              <c:numCache>
                <c:formatCode>0.00%</c:formatCode>
                <c:ptCount val="1"/>
                <c:pt idx="0">
                  <c:v>8.3199999999999996E-2</c:v>
                </c:pt>
              </c:numCache>
            </c:numRef>
          </c:xVal>
          <c:yVal>
            <c:numRef>
              <c:f>Portafolio!$BM$102</c:f>
              <c:numCache>
                <c:formatCode>0.000%</c:formatCode>
                <c:ptCount val="1"/>
                <c:pt idx="0">
                  <c:v>0.34245139001464847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F7-49C1-BFA5-356D9FAEE564}"/>
            </c:ext>
          </c:extLst>
        </c:ser>
        <c:ser>
          <c:idx val="8"/>
          <c:order val="8"/>
          <c:tx>
            <c:v>Propuesta 8.92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Portafolio!$BO$102</c:f>
              <c:numCache>
                <c:formatCode>0.00%</c:formatCode>
                <c:ptCount val="1"/>
                <c:pt idx="0">
                  <c:v>8.9233170110689736E-2</c:v>
                </c:pt>
              </c:numCache>
            </c:numRef>
          </c:xVal>
          <c:yVal>
            <c:numRef>
              <c:f>Portafolio!$BP$102</c:f>
              <c:numCache>
                <c:formatCode>0.00%</c:formatCode>
                <c:ptCount val="1"/>
                <c:pt idx="0">
                  <c:v>0.36008328543062251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F7-49C1-BFA5-356D9FAE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8351"/>
        <c:axId val="16264591"/>
      </c:scatterChart>
      <c:valAx>
        <c:axId val="16258351"/>
        <c:scaling>
          <c:orientation val="minMax"/>
          <c:max val="0.1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264591"/>
        <c:crosses val="autoZero"/>
        <c:crossBetween val="midCat"/>
      </c:valAx>
      <c:valAx>
        <c:axId val="16264591"/>
        <c:scaling>
          <c:orientation val="minMax"/>
          <c:max val="0.45"/>
          <c:min val="7.0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258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6858947809348099"/>
          <c:y val="0.1133977532537727"/>
          <c:w val="0.22759744526809697"/>
          <c:h val="0.73321829776112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287021</xdr:colOff>
      <xdr:row>75</xdr:row>
      <xdr:rowOff>151130</xdr:rowOff>
    </xdr:from>
    <xdr:to>
      <xdr:col>69</xdr:col>
      <xdr:colOff>243841</xdr:colOff>
      <xdr:row>97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F764578-1A26-8BAB-C986-79B43118D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d_User\Downloads\Portafolio%20con%2011%20acciones%20actualizacion%20Julio.xlsm" TargetMode="External"/><Relationship Id="rId1" Type="http://schemas.openxmlformats.org/officeDocument/2006/relationships/externalLinkPath" Target="/Users/End_User/Downloads/Portafolio%20con%2011%20acciones%20actualizacion%20Jul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WN"/>
      <sheetName val="603336"/>
      <sheetName val="IAU"/>
      <sheetName val="PGR"/>
      <sheetName val="COST"/>
      <sheetName val="DTEGn"/>
      <sheetName val="HEIG"/>
      <sheetName val="IAG"/>
      <sheetName val="MTXGn"/>
      <sheetName val="KOFUBL"/>
      <sheetName val="SIEGn"/>
      <sheetName val="Calculos"/>
      <sheetName val="Hoja1"/>
      <sheetName val="Calculos (2)"/>
      <sheetName val="BK"/>
      <sheetName val="Calculos (3)"/>
      <sheetName val="BRO"/>
      <sheetName val="Calculos (4)"/>
      <sheetName val="AJG"/>
      <sheetName val="Calculos (5)"/>
      <sheetName val="CME"/>
      <sheetName val="Calculos (6)"/>
      <sheetName val="IBE"/>
      <sheetName val="Calculos (7)"/>
      <sheetName val="ELE"/>
      <sheetName val="Calculos (8)"/>
      <sheetName val="RHM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">
          <cell r="B2">
            <v>0.30026231949682225</v>
          </cell>
        </row>
        <row r="3">
          <cell r="B3">
            <v>0.36935820727721097</v>
          </cell>
        </row>
        <row r="4">
          <cell r="B4">
            <v>0.29465107152379427</v>
          </cell>
        </row>
        <row r="5">
          <cell r="B5">
            <v>0.23839684950108822</v>
          </cell>
        </row>
        <row r="6">
          <cell r="B6">
            <v>0.28526229497604016</v>
          </cell>
        </row>
        <row r="7">
          <cell r="B7">
            <v>0.38429091484998446</v>
          </cell>
        </row>
        <row r="8">
          <cell r="B8">
            <v>0.50562164461855152</v>
          </cell>
        </row>
        <row r="9">
          <cell r="B9">
            <v>0.4099788571606775</v>
          </cell>
        </row>
        <row r="10">
          <cell r="B10">
            <v>0.32754829546955394</v>
          </cell>
        </row>
        <row r="11">
          <cell r="B11">
            <v>0.22473073457092713</v>
          </cell>
        </row>
        <row r="12">
          <cell r="B12">
            <v>0.10866498633459404</v>
          </cell>
        </row>
        <row r="15">
          <cell r="B15">
            <v>1</v>
          </cell>
          <cell r="C15">
            <v>-2.7793819547905999E-2</v>
          </cell>
          <cell r="D15">
            <v>8.2966236974221938E-2</v>
          </cell>
          <cell r="E15">
            <v>3.6076001704021803E-2</v>
          </cell>
          <cell r="F15">
            <v>4.7857005635039508E-2</v>
          </cell>
          <cell r="G15">
            <v>2.0055912070194E-3</v>
          </cell>
          <cell r="H15">
            <v>-3.4149661382204932E-2</v>
          </cell>
          <cell r="I15">
            <v>0.15582467973892472</v>
          </cell>
          <cell r="J15">
            <v>2.4441352290822976E-2</v>
          </cell>
          <cell r="K15">
            <v>7.7779708480849807E-2</v>
          </cell>
          <cell r="L15">
            <v>-6.836807625665918E-2</v>
          </cell>
        </row>
        <row r="16">
          <cell r="B16">
            <v>-2.7793819547905999E-2</v>
          </cell>
          <cell r="C16">
            <v>0.99999999999999989</v>
          </cell>
          <cell r="D16">
            <v>1.9086128441853551E-2</v>
          </cell>
          <cell r="E16">
            <v>4.4588021476634807E-2</v>
          </cell>
          <cell r="F16">
            <v>-1.1681285973806216E-2</v>
          </cell>
          <cell r="G16">
            <v>-4.5952862616753777E-2</v>
          </cell>
          <cell r="H16">
            <v>-7.9605757459188325E-2</v>
          </cell>
          <cell r="I16">
            <v>-2.3383242772118167E-2</v>
          </cell>
          <cell r="J16">
            <v>-7.7643428778397909E-3</v>
          </cell>
          <cell r="K16">
            <v>3.5242853629556634E-2</v>
          </cell>
          <cell r="L16">
            <v>-6.1229768599943335E-2</v>
          </cell>
        </row>
        <row r="17">
          <cell r="B17">
            <v>8.2966236974221938E-2</v>
          </cell>
          <cell r="C17">
            <v>1.9086128441853551E-2</v>
          </cell>
          <cell r="D17">
            <v>0.99999999999999989</v>
          </cell>
          <cell r="E17">
            <v>2.8186231704896116E-2</v>
          </cell>
          <cell r="F17">
            <v>0.16169016218206139</v>
          </cell>
          <cell r="G17">
            <v>-1.6209219563760133E-2</v>
          </cell>
          <cell r="H17">
            <v>-5.1262472205906517E-2</v>
          </cell>
          <cell r="I17">
            <v>5.242973377649679E-2</v>
          </cell>
          <cell r="J17">
            <v>-1.3706994246565336E-3</v>
          </cell>
          <cell r="K17">
            <v>0.19460439063892954</v>
          </cell>
          <cell r="L17">
            <v>-5.6463289631090402E-2</v>
          </cell>
        </row>
        <row r="18">
          <cell r="B18">
            <v>3.6076001704021803E-2</v>
          </cell>
          <cell r="C18">
            <v>4.4588021476634807E-2</v>
          </cell>
          <cell r="D18">
            <v>2.8186231704896116E-2</v>
          </cell>
          <cell r="E18">
            <v>1</v>
          </cell>
          <cell r="F18">
            <v>0.28487805932352211</v>
          </cell>
          <cell r="G18">
            <v>0.19641556359270998</v>
          </cell>
          <cell r="H18">
            <v>7.9942898787570202E-2</v>
          </cell>
          <cell r="I18">
            <v>0.12465414698036222</v>
          </cell>
          <cell r="J18">
            <v>0.13545091665768105</v>
          </cell>
          <cell r="K18">
            <v>0.12445772777926468</v>
          </cell>
          <cell r="L18">
            <v>8.0861389954189164E-2</v>
          </cell>
        </row>
        <row r="19">
          <cell r="B19">
            <v>4.7857005635039508E-2</v>
          </cell>
          <cell r="C19">
            <v>-1.1681285973806216E-2</v>
          </cell>
          <cell r="D19">
            <v>0.16169016218206139</v>
          </cell>
          <cell r="E19">
            <v>0.28487805932352211</v>
          </cell>
          <cell r="F19">
            <v>0.99999999999999989</v>
          </cell>
          <cell r="G19">
            <v>8.4979708790905023E-2</v>
          </cell>
          <cell r="H19">
            <v>0.15966024755817218</v>
          </cell>
          <cell r="I19">
            <v>0.14562693495305565</v>
          </cell>
          <cell r="J19">
            <v>0.25260596809143621</v>
          </cell>
          <cell r="K19">
            <v>0.11044345268437274</v>
          </cell>
          <cell r="L19">
            <v>0.13088540959637773</v>
          </cell>
        </row>
        <row r="20">
          <cell r="B20">
            <v>2.0055912070194E-3</v>
          </cell>
          <cell r="C20">
            <v>-4.5952862616753777E-2</v>
          </cell>
          <cell r="D20">
            <v>-1.6209219563760133E-2</v>
          </cell>
          <cell r="E20">
            <v>0.19641556359270998</v>
          </cell>
          <cell r="F20">
            <v>8.4979708790905023E-2</v>
          </cell>
          <cell r="G20">
            <v>1.0000000000000002</v>
          </cell>
          <cell r="H20">
            <v>-4.0122531735438741E-2</v>
          </cell>
          <cell r="I20">
            <v>5.5086325638184989E-2</v>
          </cell>
          <cell r="J20">
            <v>9.9728312769702121E-2</v>
          </cell>
          <cell r="K20">
            <v>-1.3993090652335232E-2</v>
          </cell>
          <cell r="L20">
            <v>4.4885256551703147E-2</v>
          </cell>
        </row>
        <row r="21">
          <cell r="B21">
            <v>-3.4149661382204932E-2</v>
          </cell>
          <cell r="C21">
            <v>-7.9605757459188325E-2</v>
          </cell>
          <cell r="D21">
            <v>-5.1262472205906517E-2</v>
          </cell>
          <cell r="E21">
            <v>7.9942898787570202E-2</v>
          </cell>
          <cell r="F21">
            <v>0.15966024755817218</v>
          </cell>
          <cell r="G21">
            <v>-4.0122531735438741E-2</v>
          </cell>
          <cell r="H21">
            <v>0.99999999999999989</v>
          </cell>
          <cell r="I21">
            <v>0.22238749717915038</v>
          </cell>
          <cell r="J21">
            <v>0.41751471443880883</v>
          </cell>
          <cell r="K21">
            <v>7.4265570523908683E-2</v>
          </cell>
          <cell r="L21">
            <v>0.69444748224679753</v>
          </cell>
        </row>
        <row r="22">
          <cell r="B22">
            <v>0.15582467973892472</v>
          </cell>
          <cell r="C22">
            <v>-2.3383242772118167E-2</v>
          </cell>
          <cell r="D22">
            <v>5.242973377649679E-2</v>
          </cell>
          <cell r="E22">
            <v>0.12465414698036222</v>
          </cell>
          <cell r="F22">
            <v>0.14562693495305565</v>
          </cell>
          <cell r="G22">
            <v>5.5086325638184989E-2</v>
          </cell>
          <cell r="H22">
            <v>0.22238749717915038</v>
          </cell>
          <cell r="I22">
            <v>1.0000000000000002</v>
          </cell>
          <cell r="J22">
            <v>0.3041500006284627</v>
          </cell>
          <cell r="K22">
            <v>1.2074377865512855E-2</v>
          </cell>
          <cell r="L22">
            <v>0.22355684741017079</v>
          </cell>
        </row>
        <row r="23">
          <cell r="B23">
            <v>2.4441352290822976E-2</v>
          </cell>
          <cell r="C23">
            <v>-7.7643428778397909E-3</v>
          </cell>
          <cell r="D23">
            <v>-1.3706994246565336E-3</v>
          </cell>
          <cell r="E23">
            <v>0.13545091665768105</v>
          </cell>
          <cell r="F23">
            <v>0.25260596809143621</v>
          </cell>
          <cell r="G23">
            <v>9.9728312769702121E-2</v>
          </cell>
          <cell r="H23">
            <v>0.41751471443880883</v>
          </cell>
          <cell r="I23">
            <v>0.3041500006284627</v>
          </cell>
          <cell r="J23">
            <v>0.99999999999999978</v>
          </cell>
          <cell r="K23">
            <v>6.0063963750300556E-2</v>
          </cell>
          <cell r="L23">
            <v>0.42883704771335185</v>
          </cell>
        </row>
        <row r="24">
          <cell r="B24">
            <v>7.7779708480849807E-2</v>
          </cell>
          <cell r="C24">
            <v>3.5242853629556634E-2</v>
          </cell>
          <cell r="D24">
            <v>0.19460439063892954</v>
          </cell>
          <cell r="E24">
            <v>0.12445772777926468</v>
          </cell>
          <cell r="F24">
            <v>0.11044345268437274</v>
          </cell>
          <cell r="G24">
            <v>-1.3993090652335232E-2</v>
          </cell>
          <cell r="H24">
            <v>7.4265570523908683E-2</v>
          </cell>
          <cell r="I24">
            <v>1.2074377865512855E-2</v>
          </cell>
          <cell r="J24">
            <v>6.0063963750300556E-2</v>
          </cell>
          <cell r="K24">
            <v>1.0000000000000002</v>
          </cell>
          <cell r="L24">
            <v>4.2258764196369564E-2</v>
          </cell>
        </row>
        <row r="25">
          <cell r="B25">
            <v>-6.836807625665918E-2</v>
          </cell>
          <cell r="C25">
            <v>-6.1229768599943335E-2</v>
          </cell>
          <cell r="D25">
            <v>-5.6463289631090402E-2</v>
          </cell>
          <cell r="E25">
            <v>8.0861389954189164E-2</v>
          </cell>
          <cell r="F25">
            <v>0.13088540959637773</v>
          </cell>
          <cell r="G25">
            <v>4.4885256551703147E-2</v>
          </cell>
          <cell r="H25">
            <v>0.69444748224679753</v>
          </cell>
          <cell r="I25">
            <v>0.22355684741017079</v>
          </cell>
          <cell r="J25">
            <v>0.42883704771335185</v>
          </cell>
          <cell r="K25">
            <v>4.2258764196369564E-2</v>
          </cell>
          <cell r="L25">
            <v>0.99999999999999989</v>
          </cell>
        </row>
        <row r="28">
          <cell r="B28">
            <v>0.10152460575477006</v>
          </cell>
          <cell r="C28">
            <v>-5.1755005576718466E-3</v>
          </cell>
          <cell r="D28">
            <v>4.1103792637361995E-3</v>
          </cell>
          <cell r="E28">
            <v>2.7790253569047072E-3</v>
          </cell>
          <cell r="F28">
            <v>3.163131887950955E-3</v>
          </cell>
          <cell r="G28">
            <v>1.1495652303165884E-4</v>
          </cell>
          <cell r="H28">
            <v>-3.6344819337072913E-3</v>
          </cell>
          <cell r="I28">
            <v>1.3835076803411834E-2</v>
          </cell>
          <cell r="J28">
            <v>2.1736503882226776E-3</v>
          </cell>
          <cell r="K28">
            <v>6.1440518076701566E-3</v>
          </cell>
          <cell r="L28">
            <v>-6.6099941742718965E-3</v>
          </cell>
        </row>
        <row r="29">
          <cell r="B29">
            <v>-5.1755005576718466E-3</v>
          </cell>
          <cell r="C29">
            <v>0.34153635621187395</v>
          </cell>
          <cell r="D29">
            <v>1.7343276977851367E-3</v>
          </cell>
          <cell r="E29">
            <v>6.2997762792225756E-3</v>
          </cell>
          <cell r="F29">
            <v>-1.4161043253395796E-3</v>
          </cell>
          <cell r="G29">
            <v>-4.8309950006640082E-3</v>
          </cell>
          <cell r="H29">
            <v>-1.5539369953655974E-2</v>
          </cell>
          <cell r="I29">
            <v>-3.8078767633454042E-3</v>
          </cell>
          <cell r="J29">
            <v>-1.2664906343203468E-3</v>
          </cell>
          <cell r="K29">
            <v>5.1061367148811871E-3</v>
          </cell>
          <cell r="L29">
            <v>-1.0857832795864308E-2</v>
          </cell>
        </row>
        <row r="30">
          <cell r="B30">
            <v>4.1103792637361995E-3</v>
          </cell>
          <cell r="C30">
            <v>1.7343276977851367E-3</v>
          </cell>
          <cell r="D30">
            <v>2.4176292143990707E-2</v>
          </cell>
          <cell r="E30">
            <v>1.0595472291295108E-3</v>
          </cell>
          <cell r="F30">
            <v>5.2151231330952201E-3</v>
          </cell>
          <cell r="G30">
            <v>-4.5338014758743302E-4</v>
          </cell>
          <cell r="H30">
            <v>-2.6623481775689415E-3</v>
          </cell>
          <cell r="I30">
            <v>2.2716016505926503E-3</v>
          </cell>
          <cell r="J30">
            <v>-5.9486153075141144E-5</v>
          </cell>
          <cell r="K30">
            <v>7.5015392197640297E-3</v>
          </cell>
          <cell r="L30">
            <v>-2.6639316987723395E-3</v>
          </cell>
        </row>
        <row r="31">
          <cell r="B31">
            <v>2.7790253569047072E-3</v>
          </cell>
          <cell r="C31">
            <v>6.2997762792225756E-3</v>
          </cell>
          <cell r="D31">
            <v>1.0595472291295108E-3</v>
          </cell>
          <cell r="E31">
            <v>5.8448976375185258E-2</v>
          </cell>
          <cell r="F31">
            <v>1.4286754426149328E-2</v>
          </cell>
          <cell r="G31">
            <v>8.5422032225073146E-3</v>
          </cell>
          <cell r="H31">
            <v>6.4556325658456882E-3</v>
          </cell>
          <cell r="I31">
            <v>5.4008392878917635E-3</v>
          </cell>
          <cell r="J31">
            <v>5.878352188326056E-3</v>
          </cell>
          <cell r="K31">
            <v>4.7975511912838774E-3</v>
          </cell>
          <cell r="L31">
            <v>3.8150313471488717E-3</v>
          </cell>
        </row>
        <row r="32">
          <cell r="B32">
            <v>3.163131887950955E-3</v>
          </cell>
          <cell r="C32">
            <v>-1.4161043253395796E-3</v>
          </cell>
          <cell r="D32">
            <v>5.2151231330952201E-3</v>
          </cell>
          <cell r="E32">
            <v>1.4286754426149328E-2</v>
          </cell>
          <cell r="F32">
            <v>4.3030089116474511E-2</v>
          </cell>
          <cell r="G32">
            <v>3.1710778799835357E-3</v>
          </cell>
          <cell r="H32">
            <v>1.1062502400296242E-2</v>
          </cell>
          <cell r="I32">
            <v>8.4175849360394548E-3</v>
          </cell>
          <cell r="J32">
            <v>1.4625426382042277E-2</v>
          </cell>
          <cell r="K32">
            <v>5.6797471202457211E-3</v>
          </cell>
          <cell r="L32">
            <v>8.2383344735205612E-3</v>
          </cell>
        </row>
        <row r="33">
          <cell r="B33">
            <v>1.1495652303165884E-4</v>
          </cell>
          <cell r="C33">
            <v>-4.8309950006640082E-3</v>
          </cell>
          <cell r="D33">
            <v>-4.5338014758743302E-4</v>
          </cell>
          <cell r="E33">
            <v>8.5422032225073146E-3</v>
          </cell>
          <cell r="F33">
            <v>3.1710778799835357E-3</v>
          </cell>
          <cell r="G33">
            <v>3.2360192308748467E-2</v>
          </cell>
          <cell r="H33">
            <v>-2.4108174871683846E-3</v>
          </cell>
          <cell r="I33">
            <v>2.761270973331184E-3</v>
          </cell>
          <cell r="J33">
            <v>5.007290926259996E-3</v>
          </cell>
          <cell r="K33">
            <v>-6.2405389297093869E-4</v>
          </cell>
          <cell r="L33">
            <v>2.450029534766742E-3</v>
          </cell>
        </row>
        <row r="34">
          <cell r="B34">
            <v>-3.6344819337072913E-3</v>
          </cell>
          <cell r="C34">
            <v>-1.5539369953655974E-2</v>
          </cell>
          <cell r="D34">
            <v>-2.6623481775689415E-3</v>
          </cell>
          <cell r="E34">
            <v>6.4556325658456882E-3</v>
          </cell>
          <cell r="F34">
            <v>1.1062502400296242E-2</v>
          </cell>
          <cell r="G34">
            <v>-2.4108174871683846E-3</v>
          </cell>
          <cell r="H34">
            <v>0.1115683251906355</v>
          </cell>
          <cell r="I34">
            <v>2.0698577491443618E-2</v>
          </cell>
          <cell r="J34">
            <v>3.892432132954237E-2</v>
          </cell>
          <cell r="K34">
            <v>6.1497984226948008E-3</v>
          </cell>
          <cell r="L34">
            <v>7.0383672776842127E-2</v>
          </cell>
        </row>
        <row r="35">
          <cell r="B35">
            <v>1.3835076803411834E-2</v>
          </cell>
          <cell r="C35">
            <v>-3.8078767633454042E-3</v>
          </cell>
          <cell r="D35">
            <v>2.2716016505926503E-3</v>
          </cell>
          <cell r="E35">
            <v>5.4008392878917635E-3</v>
          </cell>
          <cell r="F35">
            <v>8.4175849360394548E-3</v>
          </cell>
          <cell r="G35">
            <v>2.761270973331184E-3</v>
          </cell>
          <cell r="H35">
            <v>2.0698577491443618E-2</v>
          </cell>
          <cell r="I35">
            <v>7.7646047124820039E-2</v>
          </cell>
          <cell r="J35">
            <v>2.3655182535409325E-2</v>
          </cell>
          <cell r="K35">
            <v>8.3411770693965644E-4</v>
          </cell>
          <cell r="L35">
            <v>1.8902085059588153E-2</v>
          </cell>
        </row>
        <row r="36">
          <cell r="B36">
            <v>2.1736503882226776E-3</v>
          </cell>
          <cell r="C36">
            <v>-1.2664906343203468E-3</v>
          </cell>
          <cell r="D36">
            <v>-5.9486153075141144E-5</v>
          </cell>
          <cell r="E36">
            <v>5.878352188326056E-3</v>
          </cell>
          <cell r="F36">
            <v>1.4625426382042277E-2</v>
          </cell>
          <cell r="G36">
            <v>5.007290926259996E-3</v>
          </cell>
          <cell r="H36">
            <v>3.892432132954237E-2</v>
          </cell>
          <cell r="I36">
            <v>2.3655182535409325E-2</v>
          </cell>
          <cell r="J36">
            <v>7.7903615319862063E-2</v>
          </cell>
          <cell r="K36">
            <v>4.1561929117988937E-3</v>
          </cell>
          <cell r="L36">
            <v>3.6318940005879166E-2</v>
          </cell>
        </row>
        <row r="37">
          <cell r="B37">
            <v>6.1440518076701566E-3</v>
          </cell>
          <cell r="C37">
            <v>5.1061367148811871E-3</v>
          </cell>
          <cell r="D37">
            <v>7.5015392197640297E-3</v>
          </cell>
          <cell r="E37">
            <v>4.7975511912838774E-3</v>
          </cell>
          <cell r="F37">
            <v>5.6797471202457211E-3</v>
          </cell>
          <cell r="G37">
            <v>-6.2405389297093869E-4</v>
          </cell>
          <cell r="H37">
            <v>6.1497984226948008E-3</v>
          </cell>
          <cell r="I37">
            <v>8.3411770693965644E-4</v>
          </cell>
          <cell r="J37">
            <v>4.1561929117988937E-3</v>
          </cell>
          <cell r="K37">
            <v>6.1461874901366231E-2</v>
          </cell>
          <cell r="L37">
            <v>3.1789357885456766E-3</v>
          </cell>
        </row>
        <row r="38">
          <cell r="B38">
            <v>-6.6099941742718965E-3</v>
          </cell>
          <cell r="C38">
            <v>-1.0857832795864308E-2</v>
          </cell>
          <cell r="D38">
            <v>-2.6639316987723395E-3</v>
          </cell>
          <cell r="E38">
            <v>3.8150313471488717E-3</v>
          </cell>
          <cell r="F38">
            <v>8.2383344735205612E-3</v>
          </cell>
          <cell r="G38">
            <v>2.450029534766742E-3</v>
          </cell>
          <cell r="H38">
            <v>7.0383672776842127E-2</v>
          </cell>
          <cell r="I38">
            <v>1.8902085059588153E-2</v>
          </cell>
          <cell r="J38">
            <v>3.6318940005879166E-2</v>
          </cell>
          <cell r="K38">
            <v>3.1789357885456766E-3</v>
          </cell>
          <cell r="L38">
            <v>9.207126751662971E-2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7">
          <cell r="Q17">
            <v>8.3230960165060028E-2</v>
          </cell>
        </row>
      </sheetData>
      <sheetData sheetId="24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39AEE-6ACB-4F7C-873F-0DAD12AAFB45}">
  <sheetPr codeName="Hoja10">
    <tabColor theme="7" tint="0.39997558519241921"/>
  </sheetPr>
  <dimension ref="A1:L253"/>
  <sheetViews>
    <sheetView workbookViewId="0">
      <selection activeCell="H4" sqref="H4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45387</v>
      </c>
      <c r="B2">
        <v>157.32</v>
      </c>
      <c r="C2">
        <v>159</v>
      </c>
      <c r="D2">
        <v>159.66</v>
      </c>
      <c r="E2">
        <v>156.58000000000001</v>
      </c>
      <c r="F2" t="s">
        <v>1917</v>
      </c>
      <c r="G2" s="8">
        <v>-1.43E-2</v>
      </c>
      <c r="H2" s="3" t="s">
        <v>11</v>
      </c>
      <c r="J2" t="s">
        <v>12</v>
      </c>
      <c r="K2" s="4">
        <f>AVERAGE(H3:H253)</f>
        <v>8.9178862924971084E-4</v>
      </c>
      <c r="L2" s="5">
        <f>_xlfn.STDEV.S(H3:H253)</f>
        <v>1.5617180570566363E-2</v>
      </c>
    </row>
    <row r="3" spans="1:12" x14ac:dyDescent="0.3">
      <c r="A3" s="7">
        <v>45390</v>
      </c>
      <c r="B3">
        <v>156.94</v>
      </c>
      <c r="C3">
        <v>156.05000000000001</v>
      </c>
      <c r="D3">
        <v>158.49</v>
      </c>
      <c r="E3">
        <v>155.65</v>
      </c>
      <c r="F3" t="s">
        <v>1916</v>
      </c>
      <c r="G3" s="8">
        <v>-2.3999999999999998E-3</v>
      </c>
      <c r="H3" s="3">
        <f>(B3/B2)-1</f>
        <v>-2.4154589371980784E-3</v>
      </c>
      <c r="J3" t="s">
        <v>14</v>
      </c>
      <c r="K3" s="6">
        <f>K2*252</f>
        <v>0.22473073457092713</v>
      </c>
      <c r="L3" s="6">
        <f>L2*SQRT(252)</f>
        <v>0.24791505581825043</v>
      </c>
    </row>
    <row r="4" spans="1:12" x14ac:dyDescent="0.3">
      <c r="A4" s="7">
        <v>45391</v>
      </c>
      <c r="B4">
        <v>155.22999999999999</v>
      </c>
      <c r="C4">
        <v>156.29</v>
      </c>
      <c r="D4">
        <v>157.93</v>
      </c>
      <c r="E4">
        <v>154.66999999999999</v>
      </c>
      <c r="F4" t="s">
        <v>1915</v>
      </c>
      <c r="G4" s="8">
        <v>-1.09E-2</v>
      </c>
      <c r="H4" s="3">
        <f t="shared" ref="H4:H67" si="0">(B4/B3)-1</f>
        <v>-1.0895883777239712E-2</v>
      </c>
    </row>
    <row r="5" spans="1:12" x14ac:dyDescent="0.3">
      <c r="A5" s="7">
        <v>45392</v>
      </c>
      <c r="B5">
        <v>154.13999999999999</v>
      </c>
      <c r="C5">
        <v>155.24</v>
      </c>
      <c r="D5">
        <v>155.24</v>
      </c>
      <c r="E5">
        <v>152.41999999999999</v>
      </c>
      <c r="F5" t="s">
        <v>1914</v>
      </c>
      <c r="G5" s="8">
        <v>-7.0000000000000001E-3</v>
      </c>
      <c r="H5" s="3">
        <f t="shared" si="0"/>
        <v>-7.0218385621336754E-3</v>
      </c>
    </row>
    <row r="6" spans="1:12" x14ac:dyDescent="0.3">
      <c r="A6" s="7">
        <v>45393</v>
      </c>
      <c r="B6">
        <v>156.66</v>
      </c>
      <c r="C6">
        <v>154.78</v>
      </c>
      <c r="D6">
        <v>156.91999999999999</v>
      </c>
      <c r="E6">
        <v>152.88</v>
      </c>
      <c r="F6" t="s">
        <v>1913</v>
      </c>
      <c r="G6" s="8">
        <v>1.6299999999999999E-2</v>
      </c>
      <c r="H6" s="3">
        <f t="shared" si="0"/>
        <v>1.6348773841961872E-2</v>
      </c>
    </row>
    <row r="7" spans="1:12" x14ac:dyDescent="0.3">
      <c r="A7" s="7">
        <v>45394</v>
      </c>
      <c r="B7">
        <v>162.58000000000001</v>
      </c>
      <c r="C7">
        <v>157.25</v>
      </c>
      <c r="D7">
        <v>163.53</v>
      </c>
      <c r="E7">
        <v>157.12</v>
      </c>
      <c r="F7" t="s">
        <v>1912</v>
      </c>
      <c r="G7" s="8">
        <v>3.78E-2</v>
      </c>
      <c r="H7" s="3">
        <f t="shared" si="0"/>
        <v>3.7788842078386509E-2</v>
      </c>
    </row>
    <row r="8" spans="1:12" x14ac:dyDescent="0.3">
      <c r="A8" s="7">
        <v>45397</v>
      </c>
      <c r="B8">
        <v>158.96</v>
      </c>
      <c r="C8">
        <v>163</v>
      </c>
      <c r="D8">
        <v>163</v>
      </c>
      <c r="E8">
        <v>158.47999999999999</v>
      </c>
      <c r="F8" t="s">
        <v>1911</v>
      </c>
      <c r="G8" s="8">
        <v>-2.23E-2</v>
      </c>
      <c r="H8" s="3">
        <f t="shared" si="0"/>
        <v>-2.226596137286263E-2</v>
      </c>
    </row>
    <row r="9" spans="1:12" x14ac:dyDescent="0.3">
      <c r="A9" s="7">
        <v>45398</v>
      </c>
      <c r="B9">
        <v>158.38999999999999</v>
      </c>
      <c r="C9">
        <v>158.94</v>
      </c>
      <c r="D9">
        <v>159.04</v>
      </c>
      <c r="E9">
        <v>156.65</v>
      </c>
      <c r="F9" t="s">
        <v>1910</v>
      </c>
      <c r="G9" s="8">
        <v>-3.5999999999999999E-3</v>
      </c>
      <c r="H9" s="3">
        <f t="shared" si="0"/>
        <v>-3.5858077503775343E-3</v>
      </c>
    </row>
    <row r="10" spans="1:12" x14ac:dyDescent="0.3">
      <c r="A10" s="7">
        <v>45399</v>
      </c>
      <c r="B10">
        <v>155.66</v>
      </c>
      <c r="C10">
        <v>159</v>
      </c>
      <c r="D10">
        <v>159</v>
      </c>
      <c r="E10">
        <v>155.18</v>
      </c>
      <c r="F10" t="s">
        <v>1909</v>
      </c>
      <c r="G10" s="8">
        <v>-1.72E-2</v>
      </c>
      <c r="H10" s="3">
        <f t="shared" si="0"/>
        <v>-1.723593661215983E-2</v>
      </c>
    </row>
    <row r="11" spans="1:12" x14ac:dyDescent="0.3">
      <c r="A11" s="7">
        <v>45400</v>
      </c>
      <c r="B11">
        <v>159.27000000000001</v>
      </c>
      <c r="C11">
        <v>155.69</v>
      </c>
      <c r="D11">
        <v>159.65</v>
      </c>
      <c r="E11">
        <v>155.69</v>
      </c>
      <c r="F11" t="s">
        <v>1908</v>
      </c>
      <c r="G11" s="8">
        <v>2.3199999999999998E-2</v>
      </c>
      <c r="H11" s="3">
        <f t="shared" si="0"/>
        <v>2.319157137350647E-2</v>
      </c>
    </row>
    <row r="12" spans="1:12" x14ac:dyDescent="0.3">
      <c r="A12" s="7">
        <v>45401</v>
      </c>
      <c r="B12">
        <v>159.91999999999999</v>
      </c>
      <c r="C12">
        <v>161.38</v>
      </c>
      <c r="D12">
        <v>162.19999999999999</v>
      </c>
      <c r="E12">
        <v>159.34</v>
      </c>
      <c r="F12" t="s">
        <v>1907</v>
      </c>
      <c r="G12" s="8">
        <v>4.1000000000000003E-3</v>
      </c>
      <c r="H12" s="3">
        <f t="shared" si="0"/>
        <v>4.0811201105039885E-3</v>
      </c>
    </row>
    <row r="13" spans="1:12" x14ac:dyDescent="0.3">
      <c r="A13" s="7">
        <v>45404</v>
      </c>
      <c r="B13">
        <v>162.9</v>
      </c>
      <c r="C13">
        <v>160.29</v>
      </c>
      <c r="D13">
        <v>163.63999999999999</v>
      </c>
      <c r="E13">
        <v>159.37</v>
      </c>
      <c r="F13" t="s">
        <v>1906</v>
      </c>
      <c r="G13" s="8">
        <v>1.8599999999999998E-2</v>
      </c>
      <c r="H13" s="3">
        <f t="shared" si="0"/>
        <v>1.8634317158579439E-2</v>
      </c>
    </row>
    <row r="14" spans="1:12" x14ac:dyDescent="0.3">
      <c r="A14" s="7">
        <v>45405</v>
      </c>
      <c r="B14">
        <v>160.25</v>
      </c>
      <c r="C14">
        <v>162.57</v>
      </c>
      <c r="D14">
        <v>162.75</v>
      </c>
      <c r="E14">
        <v>158.94999999999999</v>
      </c>
      <c r="F14" t="s">
        <v>1905</v>
      </c>
      <c r="G14" s="8">
        <v>-1.6299999999999999E-2</v>
      </c>
      <c r="H14" s="3">
        <f t="shared" si="0"/>
        <v>-1.6267648864333961E-2</v>
      </c>
    </row>
    <row r="15" spans="1:12" x14ac:dyDescent="0.3">
      <c r="A15" s="7">
        <v>45406</v>
      </c>
      <c r="B15">
        <v>163.33000000000001</v>
      </c>
      <c r="C15">
        <v>160.66</v>
      </c>
      <c r="D15">
        <v>166</v>
      </c>
      <c r="E15">
        <v>159.82</v>
      </c>
      <c r="F15" t="s">
        <v>1904</v>
      </c>
      <c r="G15" s="8">
        <v>1.9199999999999998E-2</v>
      </c>
      <c r="H15" s="3">
        <f t="shared" si="0"/>
        <v>1.9219968798751985E-2</v>
      </c>
    </row>
    <row r="16" spans="1:12" x14ac:dyDescent="0.3">
      <c r="A16" s="7">
        <v>45407</v>
      </c>
      <c r="B16">
        <v>170.01</v>
      </c>
      <c r="C16">
        <v>167</v>
      </c>
      <c r="D16">
        <v>170.93</v>
      </c>
      <c r="E16">
        <v>163.5</v>
      </c>
      <c r="F16" t="s">
        <v>1903</v>
      </c>
      <c r="G16" s="8">
        <v>4.0899999999999999E-2</v>
      </c>
      <c r="H16" s="3">
        <f t="shared" si="0"/>
        <v>4.0898793852935711E-2</v>
      </c>
    </row>
    <row r="17" spans="1:8" x14ac:dyDescent="0.3">
      <c r="A17" s="7">
        <v>45408</v>
      </c>
      <c r="B17">
        <v>171.17</v>
      </c>
      <c r="C17">
        <v>170.87</v>
      </c>
      <c r="D17">
        <v>172.02</v>
      </c>
      <c r="E17">
        <v>169.3</v>
      </c>
      <c r="F17" t="s">
        <v>1902</v>
      </c>
      <c r="G17" s="8">
        <v>6.7999999999999996E-3</v>
      </c>
      <c r="H17" s="3">
        <f t="shared" si="0"/>
        <v>6.8231280512911496E-3</v>
      </c>
    </row>
    <row r="18" spans="1:8" x14ac:dyDescent="0.3">
      <c r="A18" s="7">
        <v>45411</v>
      </c>
      <c r="B18">
        <v>171.4</v>
      </c>
      <c r="C18">
        <v>171.74</v>
      </c>
      <c r="D18">
        <v>172.07</v>
      </c>
      <c r="E18">
        <v>169.47</v>
      </c>
      <c r="F18" t="s">
        <v>1901</v>
      </c>
      <c r="G18" s="8">
        <v>1.2999999999999999E-3</v>
      </c>
      <c r="H18" s="3">
        <f t="shared" si="0"/>
        <v>1.3436934042181381E-3</v>
      </c>
    </row>
    <row r="19" spans="1:8" x14ac:dyDescent="0.3">
      <c r="A19" s="7">
        <v>45412</v>
      </c>
      <c r="B19">
        <v>169.95</v>
      </c>
      <c r="C19">
        <v>171.28</v>
      </c>
      <c r="D19">
        <v>171.99</v>
      </c>
      <c r="E19">
        <v>169.49</v>
      </c>
      <c r="F19" t="s">
        <v>1900</v>
      </c>
      <c r="G19" s="8">
        <v>-8.5000000000000006E-3</v>
      </c>
      <c r="H19" s="3">
        <f t="shared" si="0"/>
        <v>-8.4597432905485492E-3</v>
      </c>
    </row>
    <row r="20" spans="1:8" x14ac:dyDescent="0.3">
      <c r="A20" s="7">
        <v>45414</v>
      </c>
      <c r="B20">
        <v>166.38</v>
      </c>
      <c r="C20">
        <v>167.75</v>
      </c>
      <c r="D20">
        <v>167.75</v>
      </c>
      <c r="E20">
        <v>164.94</v>
      </c>
      <c r="F20" t="s">
        <v>277</v>
      </c>
      <c r="G20" s="8">
        <v>-2.1000000000000001E-2</v>
      </c>
      <c r="H20" s="3">
        <f t="shared" si="0"/>
        <v>-2.1006178287731658E-2</v>
      </c>
    </row>
    <row r="21" spans="1:8" x14ac:dyDescent="0.3">
      <c r="A21" s="7">
        <v>45415</v>
      </c>
      <c r="B21">
        <v>166.98</v>
      </c>
      <c r="C21">
        <v>165.95</v>
      </c>
      <c r="D21">
        <v>168.57</v>
      </c>
      <c r="E21">
        <v>165.36</v>
      </c>
      <c r="F21" t="s">
        <v>1899</v>
      </c>
      <c r="G21" s="8">
        <v>3.5999999999999999E-3</v>
      </c>
      <c r="H21" s="3">
        <f t="shared" si="0"/>
        <v>3.6062026685899085E-3</v>
      </c>
    </row>
    <row r="22" spans="1:8" x14ac:dyDescent="0.3">
      <c r="A22" s="7">
        <v>45418</v>
      </c>
      <c r="B22">
        <v>163.49</v>
      </c>
      <c r="C22">
        <v>167.11</v>
      </c>
      <c r="D22">
        <v>167.27</v>
      </c>
      <c r="E22">
        <v>162.82</v>
      </c>
      <c r="F22" t="s">
        <v>1898</v>
      </c>
      <c r="G22" s="8">
        <v>-2.0899999999999998E-2</v>
      </c>
      <c r="H22" s="3">
        <f t="shared" si="0"/>
        <v>-2.0900706671457492E-2</v>
      </c>
    </row>
    <row r="23" spans="1:8" x14ac:dyDescent="0.3">
      <c r="A23" s="7">
        <v>45419</v>
      </c>
      <c r="B23">
        <v>167.79</v>
      </c>
      <c r="C23">
        <v>163.78</v>
      </c>
      <c r="D23">
        <v>168.46</v>
      </c>
      <c r="E23">
        <v>163.27000000000001</v>
      </c>
      <c r="F23" t="s">
        <v>1897</v>
      </c>
      <c r="G23" s="8">
        <v>2.63E-2</v>
      </c>
      <c r="H23" s="3">
        <f t="shared" si="0"/>
        <v>2.6301302831977402E-2</v>
      </c>
    </row>
    <row r="24" spans="1:8" x14ac:dyDescent="0.3">
      <c r="A24" s="7">
        <v>45420</v>
      </c>
      <c r="B24">
        <v>168.3</v>
      </c>
      <c r="C24">
        <v>167.79</v>
      </c>
      <c r="D24">
        <v>169.4</v>
      </c>
      <c r="E24">
        <v>167.01</v>
      </c>
      <c r="F24" t="s">
        <v>1896</v>
      </c>
      <c r="G24" s="8">
        <v>3.0000000000000001E-3</v>
      </c>
      <c r="H24" s="3">
        <f t="shared" si="0"/>
        <v>3.0395136778116338E-3</v>
      </c>
    </row>
    <row r="25" spans="1:8" x14ac:dyDescent="0.3">
      <c r="A25" s="7">
        <v>45421</v>
      </c>
      <c r="B25">
        <v>169.61</v>
      </c>
      <c r="C25">
        <v>168.51</v>
      </c>
      <c r="D25">
        <v>171</v>
      </c>
      <c r="E25">
        <v>168.51</v>
      </c>
      <c r="F25" t="s">
        <v>1895</v>
      </c>
      <c r="G25" s="8">
        <v>7.7999999999999996E-3</v>
      </c>
      <c r="H25" s="3">
        <f t="shared" si="0"/>
        <v>7.7837195484253829E-3</v>
      </c>
    </row>
    <row r="26" spans="1:8" x14ac:dyDescent="0.3">
      <c r="A26" s="7">
        <v>45422</v>
      </c>
      <c r="B26">
        <v>168.25</v>
      </c>
      <c r="C26">
        <v>169.17</v>
      </c>
      <c r="D26">
        <v>169.95</v>
      </c>
      <c r="E26">
        <v>167.56</v>
      </c>
      <c r="F26" t="s">
        <v>1894</v>
      </c>
      <c r="G26" s="8">
        <v>-8.0000000000000002E-3</v>
      </c>
      <c r="H26" s="3">
        <f t="shared" si="0"/>
        <v>-8.0183951417959198E-3</v>
      </c>
    </row>
    <row r="27" spans="1:8" x14ac:dyDescent="0.3">
      <c r="A27" s="7">
        <v>45425</v>
      </c>
      <c r="B27">
        <v>169.56</v>
      </c>
      <c r="C27">
        <v>168.15</v>
      </c>
      <c r="D27">
        <v>170.8</v>
      </c>
      <c r="E27">
        <v>167.93</v>
      </c>
      <c r="F27" t="s">
        <v>1893</v>
      </c>
      <c r="G27" s="8">
        <v>7.7999999999999996E-3</v>
      </c>
      <c r="H27" s="3">
        <f t="shared" si="0"/>
        <v>7.7860326894503284E-3</v>
      </c>
    </row>
    <row r="28" spans="1:8" x14ac:dyDescent="0.3">
      <c r="A28" s="7">
        <v>45426</v>
      </c>
      <c r="B28">
        <v>169.09</v>
      </c>
      <c r="C28">
        <v>169.79</v>
      </c>
      <c r="D28">
        <v>170.32</v>
      </c>
      <c r="E28">
        <v>168.51</v>
      </c>
      <c r="F28" t="s">
        <v>1892</v>
      </c>
      <c r="G28" s="8">
        <v>-2.8E-3</v>
      </c>
      <c r="H28" s="3">
        <f t="shared" si="0"/>
        <v>-2.7718801604151855E-3</v>
      </c>
    </row>
    <row r="29" spans="1:8" x14ac:dyDescent="0.3">
      <c r="A29" s="7">
        <v>45427</v>
      </c>
      <c r="B29">
        <v>167.94</v>
      </c>
      <c r="C29">
        <v>169</v>
      </c>
      <c r="D29">
        <v>170.84</v>
      </c>
      <c r="E29">
        <v>167.22</v>
      </c>
      <c r="F29" t="s">
        <v>1891</v>
      </c>
      <c r="G29" s="8">
        <v>-6.7999999999999996E-3</v>
      </c>
      <c r="H29" s="3">
        <f t="shared" si="0"/>
        <v>-6.8011118339346144E-3</v>
      </c>
    </row>
    <row r="30" spans="1:8" x14ac:dyDescent="0.3">
      <c r="A30" s="7">
        <v>45428</v>
      </c>
      <c r="B30">
        <v>163.76</v>
      </c>
      <c r="C30">
        <v>166.6</v>
      </c>
      <c r="D30">
        <v>166.6</v>
      </c>
      <c r="E30">
        <v>160.74</v>
      </c>
      <c r="F30" t="s">
        <v>1890</v>
      </c>
      <c r="G30" s="8">
        <v>-2.4899999999999999E-2</v>
      </c>
      <c r="H30" s="3">
        <f t="shared" si="0"/>
        <v>-2.4889841610098884E-2</v>
      </c>
    </row>
    <row r="31" spans="1:8" x14ac:dyDescent="0.3">
      <c r="A31" s="7">
        <v>45429</v>
      </c>
      <c r="B31">
        <v>162.32</v>
      </c>
      <c r="C31">
        <v>163.71</v>
      </c>
      <c r="D31">
        <v>163.84</v>
      </c>
      <c r="E31">
        <v>161.81</v>
      </c>
      <c r="F31" t="s">
        <v>1889</v>
      </c>
      <c r="G31" s="8">
        <v>-8.8000000000000005E-3</v>
      </c>
      <c r="H31" s="3">
        <f t="shared" si="0"/>
        <v>-8.7933561309232466E-3</v>
      </c>
    </row>
    <row r="32" spans="1:8" x14ac:dyDescent="0.3">
      <c r="A32" s="7">
        <v>45432</v>
      </c>
      <c r="B32">
        <v>161.6</v>
      </c>
      <c r="C32">
        <v>162.32</v>
      </c>
      <c r="D32">
        <v>162.32</v>
      </c>
      <c r="E32">
        <v>160.34</v>
      </c>
      <c r="F32" t="s">
        <v>1888</v>
      </c>
      <c r="G32" s="8">
        <v>-4.4000000000000003E-3</v>
      </c>
      <c r="H32" s="3">
        <f t="shared" si="0"/>
        <v>-4.4356826022671214E-3</v>
      </c>
    </row>
    <row r="33" spans="1:8" x14ac:dyDescent="0.3">
      <c r="A33" s="7">
        <v>45433</v>
      </c>
      <c r="B33">
        <v>161.51</v>
      </c>
      <c r="C33">
        <v>161.59</v>
      </c>
      <c r="D33">
        <v>161.93</v>
      </c>
      <c r="E33">
        <v>159.05000000000001</v>
      </c>
      <c r="F33" t="s">
        <v>1887</v>
      </c>
      <c r="G33" s="8">
        <v>-5.9999999999999995E-4</v>
      </c>
      <c r="H33" s="3">
        <f t="shared" si="0"/>
        <v>-5.5693069306927967E-4</v>
      </c>
    </row>
    <row r="34" spans="1:8" x14ac:dyDescent="0.3">
      <c r="A34" s="7">
        <v>45434</v>
      </c>
      <c r="B34">
        <v>159.22999999999999</v>
      </c>
      <c r="C34">
        <v>161.53</v>
      </c>
      <c r="D34">
        <v>161.53</v>
      </c>
      <c r="E34">
        <v>157.47999999999999</v>
      </c>
      <c r="F34" t="s">
        <v>1886</v>
      </c>
      <c r="G34" s="8">
        <v>-1.41E-2</v>
      </c>
      <c r="H34" s="3">
        <f t="shared" si="0"/>
        <v>-1.4116772955234946E-2</v>
      </c>
    </row>
    <row r="35" spans="1:8" x14ac:dyDescent="0.3">
      <c r="A35" s="7">
        <v>45435</v>
      </c>
      <c r="B35">
        <v>160.96</v>
      </c>
      <c r="C35">
        <v>158.19999999999999</v>
      </c>
      <c r="D35">
        <v>161.19999999999999</v>
      </c>
      <c r="E35">
        <v>158.11000000000001</v>
      </c>
      <c r="F35" t="s">
        <v>1885</v>
      </c>
      <c r="G35" s="8">
        <v>1.09E-2</v>
      </c>
      <c r="H35" s="3">
        <f t="shared" si="0"/>
        <v>1.0864786786409786E-2</v>
      </c>
    </row>
    <row r="36" spans="1:8" x14ac:dyDescent="0.3">
      <c r="A36" s="7">
        <v>45436</v>
      </c>
      <c r="B36">
        <v>158.22999999999999</v>
      </c>
      <c r="C36">
        <v>161.22999999999999</v>
      </c>
      <c r="D36">
        <v>161.24</v>
      </c>
      <c r="E36">
        <v>158</v>
      </c>
      <c r="F36" t="s">
        <v>1884</v>
      </c>
      <c r="G36" s="8">
        <v>-1.7000000000000001E-2</v>
      </c>
      <c r="H36" s="3">
        <f t="shared" si="0"/>
        <v>-1.6960735586481257E-2</v>
      </c>
    </row>
    <row r="37" spans="1:8" x14ac:dyDescent="0.3">
      <c r="A37" s="7">
        <v>45439</v>
      </c>
      <c r="B37">
        <v>155.68</v>
      </c>
      <c r="C37">
        <v>157.47999999999999</v>
      </c>
      <c r="D37">
        <v>158.05000000000001</v>
      </c>
      <c r="E37">
        <v>153.47</v>
      </c>
      <c r="F37" t="s">
        <v>1883</v>
      </c>
      <c r="G37" s="8">
        <v>-1.61E-2</v>
      </c>
      <c r="H37" s="3">
        <f t="shared" si="0"/>
        <v>-1.6115780825380677E-2</v>
      </c>
    </row>
    <row r="38" spans="1:8" x14ac:dyDescent="0.3">
      <c r="A38" s="7">
        <v>45440</v>
      </c>
      <c r="B38">
        <v>158.32</v>
      </c>
      <c r="C38">
        <v>156.9</v>
      </c>
      <c r="D38">
        <v>159.47</v>
      </c>
      <c r="E38">
        <v>156.85</v>
      </c>
      <c r="F38" t="s">
        <v>1882</v>
      </c>
      <c r="G38" s="8">
        <v>1.7000000000000001E-2</v>
      </c>
      <c r="H38" s="3">
        <f t="shared" si="0"/>
        <v>1.695786228160312E-2</v>
      </c>
    </row>
    <row r="39" spans="1:8" x14ac:dyDescent="0.3">
      <c r="A39" s="7">
        <v>45441</v>
      </c>
      <c r="B39">
        <v>160.66999999999999</v>
      </c>
      <c r="C39">
        <v>158.19999999999999</v>
      </c>
      <c r="D39">
        <v>162.33000000000001</v>
      </c>
      <c r="E39">
        <v>157.34</v>
      </c>
      <c r="F39" t="s">
        <v>1881</v>
      </c>
      <c r="G39" s="8">
        <v>1.4800000000000001E-2</v>
      </c>
      <c r="H39" s="3">
        <f t="shared" si="0"/>
        <v>1.484335522991409E-2</v>
      </c>
    </row>
    <row r="40" spans="1:8" x14ac:dyDescent="0.3">
      <c r="A40" s="7">
        <v>45442</v>
      </c>
      <c r="B40">
        <v>160.71</v>
      </c>
      <c r="C40">
        <v>160.53</v>
      </c>
      <c r="D40">
        <v>161.83000000000001</v>
      </c>
      <c r="E40">
        <v>158.6</v>
      </c>
      <c r="F40" t="s">
        <v>1880</v>
      </c>
      <c r="G40" s="8">
        <v>2.0000000000000001E-4</v>
      </c>
      <c r="H40" s="3">
        <f t="shared" si="0"/>
        <v>2.4895749050868332E-4</v>
      </c>
    </row>
    <row r="41" spans="1:8" x14ac:dyDescent="0.3">
      <c r="A41" s="7">
        <v>45443</v>
      </c>
      <c r="B41">
        <v>158.31</v>
      </c>
      <c r="C41">
        <v>160.38</v>
      </c>
      <c r="D41">
        <v>160.88</v>
      </c>
      <c r="E41">
        <v>157.35</v>
      </c>
      <c r="F41" t="s">
        <v>445</v>
      </c>
      <c r="G41" s="8">
        <v>-1.49E-2</v>
      </c>
      <c r="H41" s="3">
        <f t="shared" si="0"/>
        <v>-1.4933731566175168E-2</v>
      </c>
    </row>
    <row r="42" spans="1:8" x14ac:dyDescent="0.3">
      <c r="A42" s="7">
        <v>45446</v>
      </c>
      <c r="B42">
        <v>156.47</v>
      </c>
      <c r="C42">
        <v>158.6</v>
      </c>
      <c r="D42">
        <v>162.30000000000001</v>
      </c>
      <c r="E42">
        <v>155.66</v>
      </c>
      <c r="F42" t="s">
        <v>261</v>
      </c>
      <c r="G42" s="8">
        <v>-1.1599999999999999E-2</v>
      </c>
      <c r="H42" s="3">
        <f t="shared" si="0"/>
        <v>-1.1622765460173046E-2</v>
      </c>
    </row>
    <row r="43" spans="1:8" x14ac:dyDescent="0.3">
      <c r="A43" s="7">
        <v>45447</v>
      </c>
      <c r="B43">
        <v>161.52000000000001</v>
      </c>
      <c r="C43">
        <v>157.84</v>
      </c>
      <c r="D43">
        <v>162</v>
      </c>
      <c r="E43">
        <v>155.63999999999999</v>
      </c>
      <c r="F43" t="s">
        <v>73</v>
      </c>
      <c r="G43" s="8">
        <v>3.2300000000000002E-2</v>
      </c>
      <c r="H43" s="3">
        <f t="shared" si="0"/>
        <v>3.227455742314822E-2</v>
      </c>
    </row>
    <row r="44" spans="1:8" x14ac:dyDescent="0.3">
      <c r="A44" s="7">
        <v>45448</v>
      </c>
      <c r="B44">
        <v>163.16</v>
      </c>
      <c r="C44">
        <v>161.52000000000001</v>
      </c>
      <c r="D44">
        <v>164.3</v>
      </c>
      <c r="E44">
        <v>159.26</v>
      </c>
      <c r="F44" t="s">
        <v>1879</v>
      </c>
      <c r="G44" s="8">
        <v>1.0200000000000001E-2</v>
      </c>
      <c r="H44" s="3">
        <f t="shared" si="0"/>
        <v>1.0153541357107443E-2</v>
      </c>
    </row>
    <row r="45" spans="1:8" x14ac:dyDescent="0.3">
      <c r="A45" s="7">
        <v>45449</v>
      </c>
      <c r="B45">
        <v>165.58</v>
      </c>
      <c r="C45">
        <v>163.37</v>
      </c>
      <c r="D45">
        <v>167.44</v>
      </c>
      <c r="E45">
        <v>163.27000000000001</v>
      </c>
      <c r="F45" t="s">
        <v>1878</v>
      </c>
      <c r="G45" s="8">
        <v>1.4800000000000001E-2</v>
      </c>
      <c r="H45" s="3">
        <f t="shared" si="0"/>
        <v>1.4832066683010625E-2</v>
      </c>
    </row>
    <row r="46" spans="1:8" x14ac:dyDescent="0.3">
      <c r="A46" s="7">
        <v>45450</v>
      </c>
      <c r="B46">
        <v>165.3</v>
      </c>
      <c r="C46">
        <v>164.98</v>
      </c>
      <c r="D46">
        <v>167.37</v>
      </c>
      <c r="E46">
        <v>164.19</v>
      </c>
      <c r="F46" t="s">
        <v>1877</v>
      </c>
      <c r="G46" s="8">
        <v>-1.6999999999999999E-3</v>
      </c>
      <c r="H46" s="3">
        <f t="shared" si="0"/>
        <v>-1.6910254861698393E-3</v>
      </c>
    </row>
    <row r="47" spans="1:8" x14ac:dyDescent="0.3">
      <c r="A47" s="7">
        <v>45453</v>
      </c>
      <c r="B47">
        <v>161.5</v>
      </c>
      <c r="C47">
        <v>166.68</v>
      </c>
      <c r="D47">
        <v>167.28</v>
      </c>
      <c r="E47">
        <v>161.22999999999999</v>
      </c>
      <c r="F47" t="s">
        <v>1876</v>
      </c>
      <c r="G47" s="8">
        <v>-2.3E-2</v>
      </c>
      <c r="H47" s="3">
        <f t="shared" si="0"/>
        <v>-2.298850574712652E-2</v>
      </c>
    </row>
    <row r="48" spans="1:8" x14ac:dyDescent="0.3">
      <c r="A48" s="7">
        <v>45454</v>
      </c>
      <c r="B48">
        <v>162.24</v>
      </c>
      <c r="C48">
        <v>160.74</v>
      </c>
      <c r="D48">
        <v>163.66</v>
      </c>
      <c r="E48">
        <v>160.41999999999999</v>
      </c>
      <c r="F48" t="s">
        <v>1875</v>
      </c>
      <c r="G48" s="8">
        <v>4.5999999999999999E-3</v>
      </c>
      <c r="H48" s="3">
        <f t="shared" si="0"/>
        <v>4.5820433436531971E-3</v>
      </c>
    </row>
    <row r="49" spans="1:8" x14ac:dyDescent="0.3">
      <c r="A49" s="7">
        <v>45455</v>
      </c>
      <c r="B49">
        <v>161.94</v>
      </c>
      <c r="C49">
        <v>163.85</v>
      </c>
      <c r="D49">
        <v>165.83</v>
      </c>
      <c r="E49">
        <v>161.26</v>
      </c>
      <c r="F49" t="s">
        <v>1874</v>
      </c>
      <c r="G49" s="8">
        <v>-1.8E-3</v>
      </c>
      <c r="H49" s="3">
        <f t="shared" si="0"/>
        <v>-1.8491124260355818E-3</v>
      </c>
    </row>
    <row r="50" spans="1:8" x14ac:dyDescent="0.3">
      <c r="A50" s="7">
        <v>45456</v>
      </c>
      <c r="B50">
        <v>158.44</v>
      </c>
      <c r="C50">
        <v>161.12</v>
      </c>
      <c r="D50">
        <v>161.66999999999999</v>
      </c>
      <c r="E50">
        <v>157.91999999999999</v>
      </c>
      <c r="F50" t="s">
        <v>1873</v>
      </c>
      <c r="G50" s="8">
        <v>-2.1600000000000001E-2</v>
      </c>
      <c r="H50" s="3">
        <f t="shared" si="0"/>
        <v>-2.161294306533279E-2</v>
      </c>
    </row>
    <row r="51" spans="1:8" x14ac:dyDescent="0.3">
      <c r="A51" s="7">
        <v>45457</v>
      </c>
      <c r="B51">
        <v>156.68</v>
      </c>
      <c r="C51">
        <v>158.66999999999999</v>
      </c>
      <c r="D51">
        <v>159.16999999999999</v>
      </c>
      <c r="E51">
        <v>155.22</v>
      </c>
      <c r="F51" t="s">
        <v>1872</v>
      </c>
      <c r="G51" s="8">
        <v>-1.11E-2</v>
      </c>
      <c r="H51" s="3">
        <f t="shared" si="0"/>
        <v>-1.1108305983337452E-2</v>
      </c>
    </row>
    <row r="52" spans="1:8" x14ac:dyDescent="0.3">
      <c r="A52" s="7">
        <v>45460</v>
      </c>
      <c r="B52">
        <v>156.63999999999999</v>
      </c>
      <c r="C52">
        <v>157.5</v>
      </c>
      <c r="D52">
        <v>157.54</v>
      </c>
      <c r="E52">
        <v>155</v>
      </c>
      <c r="F52" t="s">
        <v>1871</v>
      </c>
      <c r="G52" s="8">
        <v>-2.9999999999999997E-4</v>
      </c>
      <c r="H52" s="3">
        <f t="shared" si="0"/>
        <v>-2.5529742149621448E-4</v>
      </c>
    </row>
    <row r="53" spans="1:8" x14ac:dyDescent="0.3">
      <c r="A53" s="7">
        <v>45461</v>
      </c>
      <c r="B53">
        <v>157.30000000000001</v>
      </c>
      <c r="C53">
        <v>157.19</v>
      </c>
      <c r="D53">
        <v>159.19</v>
      </c>
      <c r="E53">
        <v>155.68</v>
      </c>
      <c r="F53" t="s">
        <v>1870</v>
      </c>
      <c r="G53" s="8">
        <v>4.1999999999999997E-3</v>
      </c>
      <c r="H53" s="3">
        <f t="shared" si="0"/>
        <v>4.2134831460676203E-3</v>
      </c>
    </row>
    <row r="54" spans="1:8" x14ac:dyDescent="0.3">
      <c r="A54" s="7">
        <v>45462</v>
      </c>
      <c r="B54">
        <v>157.63999999999999</v>
      </c>
      <c r="C54">
        <v>157.81</v>
      </c>
      <c r="D54">
        <v>160.6</v>
      </c>
      <c r="E54">
        <v>156.66999999999999</v>
      </c>
      <c r="F54" t="s">
        <v>1869</v>
      </c>
      <c r="G54" s="8">
        <v>2.2000000000000001E-3</v>
      </c>
      <c r="H54" s="3">
        <f t="shared" si="0"/>
        <v>2.1614748887475166E-3</v>
      </c>
    </row>
    <row r="55" spans="1:8" x14ac:dyDescent="0.3">
      <c r="A55" s="7">
        <v>45463</v>
      </c>
      <c r="B55">
        <v>155.12</v>
      </c>
      <c r="C55">
        <v>157.5</v>
      </c>
      <c r="D55">
        <v>157.94</v>
      </c>
      <c r="E55">
        <v>153.88</v>
      </c>
      <c r="F55" t="s">
        <v>1868</v>
      </c>
      <c r="G55" s="8">
        <v>-1.6E-2</v>
      </c>
      <c r="H55" s="3">
        <f t="shared" si="0"/>
        <v>-1.5985790408525657E-2</v>
      </c>
    </row>
    <row r="56" spans="1:8" x14ac:dyDescent="0.3">
      <c r="A56" s="7">
        <v>45464</v>
      </c>
      <c r="B56">
        <v>150.77000000000001</v>
      </c>
      <c r="C56">
        <v>155.12</v>
      </c>
      <c r="D56">
        <v>155.34</v>
      </c>
      <c r="E56">
        <v>149.77000000000001</v>
      </c>
      <c r="F56" t="s">
        <v>1867</v>
      </c>
      <c r="G56" s="8">
        <v>-2.8000000000000001E-2</v>
      </c>
      <c r="H56" s="3">
        <f t="shared" si="0"/>
        <v>-2.8042805569881368E-2</v>
      </c>
    </row>
    <row r="57" spans="1:8" x14ac:dyDescent="0.3">
      <c r="A57" s="7">
        <v>45467</v>
      </c>
      <c r="B57">
        <v>151.9</v>
      </c>
      <c r="C57">
        <v>151.24</v>
      </c>
      <c r="D57">
        <v>154.84</v>
      </c>
      <c r="E57">
        <v>150.54</v>
      </c>
      <c r="F57" t="s">
        <v>1866</v>
      </c>
      <c r="G57" s="8">
        <v>7.4999999999999997E-3</v>
      </c>
      <c r="H57" s="3">
        <f t="shared" si="0"/>
        <v>7.4948597201034417E-3</v>
      </c>
    </row>
    <row r="58" spans="1:8" x14ac:dyDescent="0.3">
      <c r="A58" s="7">
        <v>45468</v>
      </c>
      <c r="B58">
        <v>154.03</v>
      </c>
      <c r="C58">
        <v>151.21</v>
      </c>
      <c r="D58">
        <v>154.57</v>
      </c>
      <c r="E58">
        <v>149.75</v>
      </c>
      <c r="F58" t="s">
        <v>1865</v>
      </c>
      <c r="G58" s="8">
        <v>1.4E-2</v>
      </c>
      <c r="H58" s="3">
        <f t="shared" si="0"/>
        <v>1.4022383146807149E-2</v>
      </c>
    </row>
    <row r="59" spans="1:8" x14ac:dyDescent="0.3">
      <c r="A59" s="7">
        <v>45469</v>
      </c>
      <c r="B59">
        <v>153.18</v>
      </c>
      <c r="C59">
        <v>154.44999999999999</v>
      </c>
      <c r="D59">
        <v>157.21</v>
      </c>
      <c r="E59">
        <v>152.74</v>
      </c>
      <c r="F59" t="s">
        <v>1071</v>
      </c>
      <c r="G59" s="8">
        <v>-5.4999999999999997E-3</v>
      </c>
      <c r="H59" s="3">
        <f t="shared" si="0"/>
        <v>-5.5184055054209313E-3</v>
      </c>
    </row>
    <row r="60" spans="1:8" x14ac:dyDescent="0.3">
      <c r="A60" s="7">
        <v>45470</v>
      </c>
      <c r="B60">
        <v>155.97999999999999</v>
      </c>
      <c r="C60">
        <v>154.26</v>
      </c>
      <c r="D60">
        <v>156.63999999999999</v>
      </c>
      <c r="E60">
        <v>154.16999999999999</v>
      </c>
      <c r="F60" t="s">
        <v>1864</v>
      </c>
      <c r="G60" s="8">
        <v>1.83E-2</v>
      </c>
      <c r="H60" s="3">
        <f t="shared" si="0"/>
        <v>1.8279148713931104E-2</v>
      </c>
    </row>
    <row r="61" spans="1:8" x14ac:dyDescent="0.3">
      <c r="A61" s="7">
        <v>45471</v>
      </c>
      <c r="B61">
        <v>156.87</v>
      </c>
      <c r="C61">
        <v>156.18</v>
      </c>
      <c r="D61">
        <v>157.36000000000001</v>
      </c>
      <c r="E61">
        <v>153.38</v>
      </c>
      <c r="F61" t="s">
        <v>129</v>
      </c>
      <c r="G61" s="8">
        <v>5.7000000000000002E-3</v>
      </c>
      <c r="H61" s="3">
        <f t="shared" si="0"/>
        <v>5.7058597256058885E-3</v>
      </c>
    </row>
    <row r="62" spans="1:8" x14ac:dyDescent="0.3">
      <c r="A62" s="7">
        <v>45474</v>
      </c>
      <c r="B62">
        <v>152.78</v>
      </c>
      <c r="C62">
        <v>155.32</v>
      </c>
      <c r="D62">
        <v>156.94999999999999</v>
      </c>
      <c r="E62">
        <v>151.77000000000001</v>
      </c>
      <c r="F62" t="s">
        <v>1863</v>
      </c>
      <c r="G62" s="8">
        <v>-2.6100000000000002E-2</v>
      </c>
      <c r="H62" s="3">
        <f t="shared" si="0"/>
        <v>-2.6072544144833287E-2</v>
      </c>
    </row>
    <row r="63" spans="1:8" x14ac:dyDescent="0.3">
      <c r="A63" s="7">
        <v>45475</v>
      </c>
      <c r="B63">
        <v>148.03</v>
      </c>
      <c r="C63">
        <v>152.25</v>
      </c>
      <c r="D63">
        <v>152.77000000000001</v>
      </c>
      <c r="E63">
        <v>147.72999999999999</v>
      </c>
      <c r="F63" t="s">
        <v>127</v>
      </c>
      <c r="G63" s="8">
        <v>-3.1099999999999999E-2</v>
      </c>
      <c r="H63" s="3">
        <f t="shared" si="0"/>
        <v>-3.1090456866081917E-2</v>
      </c>
    </row>
    <row r="64" spans="1:8" x14ac:dyDescent="0.3">
      <c r="A64" s="7">
        <v>45476</v>
      </c>
      <c r="B64">
        <v>151.63</v>
      </c>
      <c r="C64">
        <v>148.11000000000001</v>
      </c>
      <c r="D64">
        <v>153.29</v>
      </c>
      <c r="E64">
        <v>147.87</v>
      </c>
      <c r="F64" t="s">
        <v>1862</v>
      </c>
      <c r="G64" s="8">
        <v>2.4299999999999999E-2</v>
      </c>
      <c r="H64" s="3">
        <f t="shared" si="0"/>
        <v>2.4319394717287057E-2</v>
      </c>
    </row>
    <row r="65" spans="1:8" x14ac:dyDescent="0.3">
      <c r="A65" s="7">
        <v>45477</v>
      </c>
      <c r="B65">
        <v>153.66</v>
      </c>
      <c r="C65">
        <v>151.72999999999999</v>
      </c>
      <c r="D65">
        <v>154</v>
      </c>
      <c r="E65">
        <v>151.72999999999999</v>
      </c>
      <c r="F65" t="s">
        <v>1861</v>
      </c>
      <c r="G65" s="8">
        <v>1.34E-2</v>
      </c>
      <c r="H65" s="3">
        <f t="shared" si="0"/>
        <v>1.3387852008177825E-2</v>
      </c>
    </row>
    <row r="66" spans="1:8" x14ac:dyDescent="0.3">
      <c r="A66" s="7">
        <v>45478</v>
      </c>
      <c r="B66">
        <v>148.93</v>
      </c>
      <c r="C66">
        <v>152.94999999999999</v>
      </c>
      <c r="D66">
        <v>152.94999999999999</v>
      </c>
      <c r="E66">
        <v>147.38</v>
      </c>
      <c r="F66" t="s">
        <v>1860</v>
      </c>
      <c r="G66" s="8">
        <v>-3.0800000000000001E-2</v>
      </c>
      <c r="H66" s="3">
        <f t="shared" si="0"/>
        <v>-3.0782246518287093E-2</v>
      </c>
    </row>
    <row r="67" spans="1:8" x14ac:dyDescent="0.3">
      <c r="A67" s="7">
        <v>45481</v>
      </c>
      <c r="B67">
        <v>151.01</v>
      </c>
      <c r="C67">
        <v>149.01</v>
      </c>
      <c r="D67">
        <v>151.63</v>
      </c>
      <c r="E67">
        <v>147.88</v>
      </c>
      <c r="F67" t="s">
        <v>1859</v>
      </c>
      <c r="G67" s="8">
        <v>1.4E-2</v>
      </c>
      <c r="H67" s="3">
        <f t="shared" si="0"/>
        <v>1.3966292889276755E-2</v>
      </c>
    </row>
    <row r="68" spans="1:8" x14ac:dyDescent="0.3">
      <c r="A68" s="7">
        <v>45482</v>
      </c>
      <c r="B68">
        <v>149.32</v>
      </c>
      <c r="C68">
        <v>151.72999999999999</v>
      </c>
      <c r="D68">
        <v>151.72999999999999</v>
      </c>
      <c r="E68">
        <v>148.88</v>
      </c>
      <c r="F68" t="s">
        <v>1858</v>
      </c>
      <c r="G68" s="8">
        <v>-1.12E-2</v>
      </c>
      <c r="H68" s="3">
        <f t="shared" ref="H68:H131" si="1">(B68/B67)-1</f>
        <v>-1.1191311833653406E-2</v>
      </c>
    </row>
    <row r="69" spans="1:8" x14ac:dyDescent="0.3">
      <c r="A69" s="7">
        <v>45483</v>
      </c>
      <c r="B69">
        <v>152.16999999999999</v>
      </c>
      <c r="C69">
        <v>149.33000000000001</v>
      </c>
      <c r="D69">
        <v>152.52000000000001</v>
      </c>
      <c r="E69">
        <v>147.9</v>
      </c>
      <c r="F69" t="s">
        <v>1857</v>
      </c>
      <c r="G69" s="8">
        <v>1.9099999999999999E-2</v>
      </c>
      <c r="H69" s="3">
        <f t="shared" si="1"/>
        <v>1.9086525582641345E-2</v>
      </c>
    </row>
    <row r="70" spans="1:8" x14ac:dyDescent="0.3">
      <c r="A70" s="7">
        <v>45484</v>
      </c>
      <c r="B70">
        <v>153.22999999999999</v>
      </c>
      <c r="C70">
        <v>151.07</v>
      </c>
      <c r="D70">
        <v>153.5</v>
      </c>
      <c r="E70">
        <v>151.07</v>
      </c>
      <c r="F70" t="s">
        <v>1856</v>
      </c>
      <c r="G70" s="8">
        <v>7.0000000000000001E-3</v>
      </c>
      <c r="H70" s="3">
        <f t="shared" si="1"/>
        <v>6.9658934086875846E-3</v>
      </c>
    </row>
    <row r="71" spans="1:8" x14ac:dyDescent="0.3">
      <c r="A71" s="7">
        <v>45485</v>
      </c>
      <c r="B71">
        <v>157.59</v>
      </c>
      <c r="C71">
        <v>152.47</v>
      </c>
      <c r="D71">
        <v>158.13</v>
      </c>
      <c r="E71">
        <v>152.47</v>
      </c>
      <c r="F71" t="s">
        <v>1855</v>
      </c>
      <c r="G71" s="8">
        <v>2.8500000000000001E-2</v>
      </c>
      <c r="H71" s="3">
        <f t="shared" si="1"/>
        <v>2.8453958102199417E-2</v>
      </c>
    </row>
    <row r="72" spans="1:8" x14ac:dyDescent="0.3">
      <c r="A72" s="7">
        <v>45488</v>
      </c>
      <c r="B72">
        <v>153.33000000000001</v>
      </c>
      <c r="C72">
        <v>155.47</v>
      </c>
      <c r="D72">
        <v>156.13</v>
      </c>
      <c r="E72">
        <v>152.84</v>
      </c>
      <c r="F72" t="s">
        <v>1854</v>
      </c>
      <c r="G72" s="8">
        <v>-2.7E-2</v>
      </c>
      <c r="H72" s="3">
        <f t="shared" si="1"/>
        <v>-2.7032172092137818E-2</v>
      </c>
    </row>
    <row r="73" spans="1:8" x14ac:dyDescent="0.3">
      <c r="A73" s="7">
        <v>45489</v>
      </c>
      <c r="B73">
        <v>155.36000000000001</v>
      </c>
      <c r="C73">
        <v>152.57</v>
      </c>
      <c r="D73">
        <v>156.72</v>
      </c>
      <c r="E73">
        <v>152.57</v>
      </c>
      <c r="F73" t="s">
        <v>1853</v>
      </c>
      <c r="G73" s="8">
        <v>1.32E-2</v>
      </c>
      <c r="H73" s="3">
        <f t="shared" si="1"/>
        <v>1.3239418248222723E-2</v>
      </c>
    </row>
    <row r="74" spans="1:8" x14ac:dyDescent="0.3">
      <c r="A74" s="7">
        <v>45490</v>
      </c>
      <c r="B74">
        <v>155.86000000000001</v>
      </c>
      <c r="C74">
        <v>154.66999999999999</v>
      </c>
      <c r="D74">
        <v>156.43</v>
      </c>
      <c r="E74">
        <v>153.49</v>
      </c>
      <c r="F74" t="s">
        <v>1852</v>
      </c>
      <c r="G74" s="8">
        <v>3.2000000000000002E-3</v>
      </c>
      <c r="H74" s="3">
        <f t="shared" si="1"/>
        <v>3.2183316168898912E-3</v>
      </c>
    </row>
    <row r="75" spans="1:8" x14ac:dyDescent="0.3">
      <c r="A75" s="7">
        <v>45491</v>
      </c>
      <c r="B75">
        <v>154.68</v>
      </c>
      <c r="C75">
        <v>155.31</v>
      </c>
      <c r="D75">
        <v>156.77000000000001</v>
      </c>
      <c r="E75">
        <v>154.26</v>
      </c>
      <c r="F75" t="s">
        <v>1851</v>
      </c>
      <c r="G75" s="8">
        <v>-7.6E-3</v>
      </c>
      <c r="H75" s="3">
        <f t="shared" si="1"/>
        <v>-7.5708969588091923E-3</v>
      </c>
    </row>
    <row r="76" spans="1:8" x14ac:dyDescent="0.3">
      <c r="A76" s="7">
        <v>45492</v>
      </c>
      <c r="B76">
        <v>160.22</v>
      </c>
      <c r="C76">
        <v>154.38</v>
      </c>
      <c r="D76">
        <v>160.66999999999999</v>
      </c>
      <c r="E76">
        <v>151.80000000000001</v>
      </c>
      <c r="F76" t="s">
        <v>1850</v>
      </c>
      <c r="G76" s="8">
        <v>3.5799999999999998E-2</v>
      </c>
      <c r="H76" s="3">
        <f t="shared" si="1"/>
        <v>3.5815877941556717E-2</v>
      </c>
    </row>
    <row r="77" spans="1:8" x14ac:dyDescent="0.3">
      <c r="A77" s="7">
        <v>45495</v>
      </c>
      <c r="B77">
        <v>165.6</v>
      </c>
      <c r="C77">
        <v>159.29</v>
      </c>
      <c r="D77">
        <v>165.99</v>
      </c>
      <c r="E77">
        <v>159.29</v>
      </c>
      <c r="F77" t="s">
        <v>1849</v>
      </c>
      <c r="G77" s="8">
        <v>3.3599999999999998E-2</v>
      </c>
      <c r="H77" s="3">
        <f t="shared" si="1"/>
        <v>3.3578829109973674E-2</v>
      </c>
    </row>
    <row r="78" spans="1:8" x14ac:dyDescent="0.3">
      <c r="A78" s="7">
        <v>45496</v>
      </c>
      <c r="B78">
        <v>160.03</v>
      </c>
      <c r="C78">
        <v>166.65</v>
      </c>
      <c r="D78">
        <v>166.65</v>
      </c>
      <c r="E78">
        <v>159.58000000000001</v>
      </c>
      <c r="F78" t="s">
        <v>1848</v>
      </c>
      <c r="G78" s="8">
        <v>-3.3599999999999998E-2</v>
      </c>
      <c r="H78" s="3">
        <f t="shared" si="1"/>
        <v>-3.363526570048303E-2</v>
      </c>
    </row>
    <row r="79" spans="1:8" x14ac:dyDescent="0.3">
      <c r="A79" s="7">
        <v>45497</v>
      </c>
      <c r="B79">
        <v>157.5</v>
      </c>
      <c r="C79">
        <v>162.05000000000001</v>
      </c>
      <c r="D79">
        <v>163.61000000000001</v>
      </c>
      <c r="E79">
        <v>156.54</v>
      </c>
      <c r="F79" t="s">
        <v>229</v>
      </c>
      <c r="G79" s="8">
        <v>-1.5800000000000002E-2</v>
      </c>
      <c r="H79" s="3">
        <f t="shared" si="1"/>
        <v>-1.5809535712054013E-2</v>
      </c>
    </row>
    <row r="80" spans="1:8" x14ac:dyDescent="0.3">
      <c r="A80" s="7">
        <v>45498</v>
      </c>
      <c r="B80">
        <v>156.78</v>
      </c>
      <c r="C80">
        <v>156.71</v>
      </c>
      <c r="D80">
        <v>158.15</v>
      </c>
      <c r="E80">
        <v>154.93</v>
      </c>
      <c r="F80" t="s">
        <v>1847</v>
      </c>
      <c r="G80" s="8">
        <v>-4.5999999999999999E-3</v>
      </c>
      <c r="H80" s="3">
        <f t="shared" si="1"/>
        <v>-4.5714285714285596E-3</v>
      </c>
    </row>
    <row r="81" spans="1:8" x14ac:dyDescent="0.3">
      <c r="A81" s="7">
        <v>45499</v>
      </c>
      <c r="B81">
        <v>162.53</v>
      </c>
      <c r="C81">
        <v>157.38</v>
      </c>
      <c r="D81">
        <v>162.80000000000001</v>
      </c>
      <c r="E81">
        <v>155.72999999999999</v>
      </c>
      <c r="F81" t="s">
        <v>1846</v>
      </c>
      <c r="G81" s="8">
        <v>3.6700000000000003E-2</v>
      </c>
      <c r="H81" s="3">
        <f t="shared" si="1"/>
        <v>3.6675596377088837E-2</v>
      </c>
    </row>
    <row r="82" spans="1:8" x14ac:dyDescent="0.3">
      <c r="A82" s="7">
        <v>45502</v>
      </c>
      <c r="B82">
        <v>163.27000000000001</v>
      </c>
      <c r="C82">
        <v>161.75</v>
      </c>
      <c r="D82">
        <v>164.18</v>
      </c>
      <c r="E82">
        <v>161.75</v>
      </c>
      <c r="F82" t="s">
        <v>1845</v>
      </c>
      <c r="G82" s="8">
        <v>4.5999999999999999E-3</v>
      </c>
      <c r="H82" s="3">
        <f t="shared" si="1"/>
        <v>4.5530055989664309E-3</v>
      </c>
    </row>
    <row r="83" spans="1:8" x14ac:dyDescent="0.3">
      <c r="A83" s="7">
        <v>45503</v>
      </c>
      <c r="B83">
        <v>165.96</v>
      </c>
      <c r="C83">
        <v>164</v>
      </c>
      <c r="D83">
        <v>168.81</v>
      </c>
      <c r="E83">
        <v>163.26</v>
      </c>
      <c r="F83" t="s">
        <v>1844</v>
      </c>
      <c r="G83" s="8">
        <v>1.6500000000000001E-2</v>
      </c>
      <c r="H83" s="3">
        <f t="shared" si="1"/>
        <v>1.6475776321430713E-2</v>
      </c>
    </row>
    <row r="84" spans="1:8" x14ac:dyDescent="0.3">
      <c r="A84" s="7">
        <v>45504</v>
      </c>
      <c r="B84">
        <v>169.06</v>
      </c>
      <c r="C84">
        <v>167.15</v>
      </c>
      <c r="D84">
        <v>172.63</v>
      </c>
      <c r="E84">
        <v>167.15</v>
      </c>
      <c r="F84" t="s">
        <v>1843</v>
      </c>
      <c r="G84" s="8">
        <v>1.8700000000000001E-2</v>
      </c>
      <c r="H84" s="3">
        <f t="shared" si="1"/>
        <v>1.8679199807182467E-2</v>
      </c>
    </row>
    <row r="85" spans="1:8" x14ac:dyDescent="0.3">
      <c r="A85" s="7">
        <v>45505</v>
      </c>
      <c r="B85">
        <v>165.44</v>
      </c>
      <c r="C85">
        <v>169.32</v>
      </c>
      <c r="D85">
        <v>170.72</v>
      </c>
      <c r="E85">
        <v>164.61</v>
      </c>
      <c r="F85" t="s">
        <v>1842</v>
      </c>
      <c r="G85" s="8">
        <v>-2.1399999999999999E-2</v>
      </c>
      <c r="H85" s="3">
        <f t="shared" si="1"/>
        <v>-2.1412516266414272E-2</v>
      </c>
    </row>
    <row r="86" spans="1:8" x14ac:dyDescent="0.3">
      <c r="A86" s="7">
        <v>45506</v>
      </c>
      <c r="B86">
        <v>167.61</v>
      </c>
      <c r="C86">
        <v>166.63</v>
      </c>
      <c r="D86">
        <v>167.9</v>
      </c>
      <c r="E86">
        <v>164.35</v>
      </c>
      <c r="F86" t="s">
        <v>1841</v>
      </c>
      <c r="G86" s="8">
        <v>1.3100000000000001E-2</v>
      </c>
      <c r="H86" s="3">
        <f t="shared" si="1"/>
        <v>1.3116537717601684E-2</v>
      </c>
    </row>
    <row r="87" spans="1:8" x14ac:dyDescent="0.3">
      <c r="A87" s="7">
        <v>45509</v>
      </c>
      <c r="B87">
        <v>165.12</v>
      </c>
      <c r="C87">
        <v>167.26</v>
      </c>
      <c r="D87">
        <v>168.18</v>
      </c>
      <c r="E87">
        <v>163.53</v>
      </c>
      <c r="F87" t="s">
        <v>1840</v>
      </c>
      <c r="G87" s="8">
        <v>-1.49E-2</v>
      </c>
      <c r="H87" s="3">
        <f t="shared" si="1"/>
        <v>-1.4855915518167229E-2</v>
      </c>
    </row>
    <row r="88" spans="1:8" x14ac:dyDescent="0.3">
      <c r="A88" s="7">
        <v>45510</v>
      </c>
      <c r="B88">
        <v>166.39</v>
      </c>
      <c r="C88">
        <v>166.95</v>
      </c>
      <c r="D88">
        <v>166.95</v>
      </c>
      <c r="E88">
        <v>164.53</v>
      </c>
      <c r="F88" t="s">
        <v>1839</v>
      </c>
      <c r="G88" s="8">
        <v>7.7000000000000002E-3</v>
      </c>
      <c r="H88" s="3">
        <f t="shared" si="1"/>
        <v>7.6913759689920536E-3</v>
      </c>
    </row>
    <row r="89" spans="1:8" x14ac:dyDescent="0.3">
      <c r="A89" s="7">
        <v>45511</v>
      </c>
      <c r="B89">
        <v>166.52</v>
      </c>
      <c r="C89">
        <v>166.7</v>
      </c>
      <c r="D89">
        <v>167.96</v>
      </c>
      <c r="E89">
        <v>165.96</v>
      </c>
      <c r="F89" t="s">
        <v>1838</v>
      </c>
      <c r="G89" s="8">
        <v>8.0000000000000004E-4</v>
      </c>
      <c r="H89" s="3">
        <f t="shared" si="1"/>
        <v>7.8129695294193446E-4</v>
      </c>
    </row>
    <row r="90" spans="1:8" x14ac:dyDescent="0.3">
      <c r="A90" s="7">
        <v>45512</v>
      </c>
      <c r="B90">
        <v>163.81</v>
      </c>
      <c r="C90">
        <v>166.22</v>
      </c>
      <c r="D90">
        <v>166.22</v>
      </c>
      <c r="E90">
        <v>163.47</v>
      </c>
      <c r="F90" t="s">
        <v>1837</v>
      </c>
      <c r="G90" s="8">
        <v>-1.6299999999999999E-2</v>
      </c>
      <c r="H90" s="3">
        <f t="shared" si="1"/>
        <v>-1.627432140283458E-2</v>
      </c>
    </row>
    <row r="91" spans="1:8" x14ac:dyDescent="0.3">
      <c r="A91" s="7">
        <v>45513</v>
      </c>
      <c r="B91">
        <v>166.37</v>
      </c>
      <c r="C91">
        <v>165.9</v>
      </c>
      <c r="D91">
        <v>167.12</v>
      </c>
      <c r="E91">
        <v>161.94</v>
      </c>
      <c r="F91" t="s">
        <v>1836</v>
      </c>
      <c r="G91" s="8">
        <v>1.5599999999999999E-2</v>
      </c>
      <c r="H91" s="3">
        <f t="shared" si="1"/>
        <v>1.562786154691409E-2</v>
      </c>
    </row>
    <row r="92" spans="1:8" x14ac:dyDescent="0.3">
      <c r="A92" s="7">
        <v>45516</v>
      </c>
      <c r="B92">
        <v>165.68</v>
      </c>
      <c r="C92">
        <v>166</v>
      </c>
      <c r="D92">
        <v>166.87</v>
      </c>
      <c r="E92">
        <v>165.06</v>
      </c>
      <c r="F92" t="s">
        <v>1835</v>
      </c>
      <c r="G92" s="8">
        <v>-4.1000000000000003E-3</v>
      </c>
      <c r="H92" s="3">
        <f t="shared" si="1"/>
        <v>-4.1473823405662191E-3</v>
      </c>
    </row>
    <row r="93" spans="1:8" x14ac:dyDescent="0.3">
      <c r="A93" s="7">
        <v>45517</v>
      </c>
      <c r="B93">
        <v>168.05</v>
      </c>
      <c r="C93">
        <v>167.25</v>
      </c>
      <c r="D93">
        <v>170.3</v>
      </c>
      <c r="E93">
        <v>167.25</v>
      </c>
      <c r="F93" t="s">
        <v>1834</v>
      </c>
      <c r="G93" s="8">
        <v>1.43E-2</v>
      </c>
      <c r="H93" s="3">
        <f t="shared" si="1"/>
        <v>1.4304683727667911E-2</v>
      </c>
    </row>
    <row r="94" spans="1:8" x14ac:dyDescent="0.3">
      <c r="A94" s="7">
        <v>45518</v>
      </c>
      <c r="B94">
        <v>168.31</v>
      </c>
      <c r="C94">
        <v>166.79</v>
      </c>
      <c r="D94">
        <v>169.28</v>
      </c>
      <c r="E94">
        <v>166.37</v>
      </c>
      <c r="F94" t="s">
        <v>1833</v>
      </c>
      <c r="G94" s="8">
        <v>1.5E-3</v>
      </c>
      <c r="H94" s="3">
        <f t="shared" si="1"/>
        <v>1.5471585837547597E-3</v>
      </c>
    </row>
    <row r="95" spans="1:8" x14ac:dyDescent="0.3">
      <c r="A95" s="7">
        <v>45519</v>
      </c>
      <c r="B95">
        <v>169.32</v>
      </c>
      <c r="C95">
        <v>168.8</v>
      </c>
      <c r="D95">
        <v>170.73</v>
      </c>
      <c r="E95">
        <v>168.24</v>
      </c>
      <c r="F95" t="s">
        <v>1832</v>
      </c>
      <c r="G95" s="8">
        <v>6.0000000000000001E-3</v>
      </c>
      <c r="H95" s="3">
        <f t="shared" si="1"/>
        <v>6.000831798466999E-3</v>
      </c>
    </row>
    <row r="96" spans="1:8" x14ac:dyDescent="0.3">
      <c r="A96" s="7">
        <v>45520</v>
      </c>
      <c r="B96">
        <v>166.63</v>
      </c>
      <c r="C96">
        <v>168.4</v>
      </c>
      <c r="D96">
        <v>169.4</v>
      </c>
      <c r="E96">
        <v>165.78</v>
      </c>
      <c r="F96" t="s">
        <v>1831</v>
      </c>
      <c r="G96" s="8">
        <v>-1.5900000000000001E-2</v>
      </c>
      <c r="H96" s="3">
        <f t="shared" si="1"/>
        <v>-1.5887077722655296E-2</v>
      </c>
    </row>
    <row r="97" spans="1:8" x14ac:dyDescent="0.3">
      <c r="A97" s="7">
        <v>45523</v>
      </c>
      <c r="B97">
        <v>167.37</v>
      </c>
      <c r="C97">
        <v>167.26</v>
      </c>
      <c r="D97">
        <v>169.4</v>
      </c>
      <c r="E97">
        <v>167.04</v>
      </c>
      <c r="F97" t="s">
        <v>1830</v>
      </c>
      <c r="G97" s="8">
        <v>4.4000000000000003E-3</v>
      </c>
      <c r="H97" s="3">
        <f t="shared" si="1"/>
        <v>4.4409770149433925E-3</v>
      </c>
    </row>
    <row r="98" spans="1:8" x14ac:dyDescent="0.3">
      <c r="A98" s="7">
        <v>45524</v>
      </c>
      <c r="B98">
        <v>169.51</v>
      </c>
      <c r="C98">
        <v>167.75</v>
      </c>
      <c r="D98">
        <v>170.95</v>
      </c>
      <c r="E98">
        <v>167.75</v>
      </c>
      <c r="F98" t="s">
        <v>1829</v>
      </c>
      <c r="G98" s="8">
        <v>1.2800000000000001E-2</v>
      </c>
      <c r="H98" s="3">
        <f t="shared" si="1"/>
        <v>1.2786042898966343E-2</v>
      </c>
    </row>
    <row r="99" spans="1:8" x14ac:dyDescent="0.3">
      <c r="A99" s="7">
        <v>45525</v>
      </c>
      <c r="B99">
        <v>170.35</v>
      </c>
      <c r="C99">
        <v>169.96</v>
      </c>
      <c r="D99">
        <v>172.55</v>
      </c>
      <c r="E99">
        <v>168.82</v>
      </c>
      <c r="F99" t="s">
        <v>1828</v>
      </c>
      <c r="G99" s="8">
        <v>5.0000000000000001E-3</v>
      </c>
      <c r="H99" s="3">
        <f t="shared" si="1"/>
        <v>4.9554598548757767E-3</v>
      </c>
    </row>
    <row r="100" spans="1:8" x14ac:dyDescent="0.3">
      <c r="A100" s="7">
        <v>45526</v>
      </c>
      <c r="B100">
        <v>170.83</v>
      </c>
      <c r="C100">
        <v>170.63</v>
      </c>
      <c r="D100">
        <v>172.5</v>
      </c>
      <c r="E100">
        <v>170.45</v>
      </c>
      <c r="F100" t="s">
        <v>1827</v>
      </c>
      <c r="G100" s="8">
        <v>2.8E-3</v>
      </c>
      <c r="H100" s="3">
        <f t="shared" si="1"/>
        <v>2.8177282066335074E-3</v>
      </c>
    </row>
    <row r="101" spans="1:8" x14ac:dyDescent="0.3">
      <c r="A101" s="7">
        <v>45527</v>
      </c>
      <c r="B101">
        <v>169.7</v>
      </c>
      <c r="C101">
        <v>171.31</v>
      </c>
      <c r="D101">
        <v>172.45</v>
      </c>
      <c r="E101">
        <v>169.33</v>
      </c>
      <c r="F101" t="s">
        <v>1826</v>
      </c>
      <c r="G101" s="8">
        <v>-6.6E-3</v>
      </c>
      <c r="H101" s="3">
        <f t="shared" si="1"/>
        <v>-6.6147632148921831E-3</v>
      </c>
    </row>
    <row r="102" spans="1:8" x14ac:dyDescent="0.3">
      <c r="A102" s="7">
        <v>45530</v>
      </c>
      <c r="B102">
        <v>169.31</v>
      </c>
      <c r="C102">
        <v>169.7</v>
      </c>
      <c r="D102">
        <v>171.68</v>
      </c>
      <c r="E102">
        <v>168.32</v>
      </c>
      <c r="F102" t="s">
        <v>1825</v>
      </c>
      <c r="G102" s="8">
        <v>-2.3E-3</v>
      </c>
      <c r="H102" s="3">
        <f t="shared" si="1"/>
        <v>-2.2981732469061766E-3</v>
      </c>
    </row>
    <row r="103" spans="1:8" x14ac:dyDescent="0.3">
      <c r="A103" s="7">
        <v>45531</v>
      </c>
      <c r="B103">
        <v>170.7</v>
      </c>
      <c r="C103">
        <v>168.62</v>
      </c>
      <c r="D103">
        <v>172.27</v>
      </c>
      <c r="E103">
        <v>168.62</v>
      </c>
      <c r="F103" t="s">
        <v>1824</v>
      </c>
      <c r="G103" s="8">
        <v>8.2000000000000007E-3</v>
      </c>
      <c r="H103" s="3">
        <f t="shared" si="1"/>
        <v>8.2097926879687311E-3</v>
      </c>
    </row>
    <row r="104" spans="1:8" x14ac:dyDescent="0.3">
      <c r="A104" s="7">
        <v>45532</v>
      </c>
      <c r="B104">
        <v>170.7</v>
      </c>
      <c r="C104">
        <v>169.84</v>
      </c>
      <c r="D104">
        <v>171.87</v>
      </c>
      <c r="E104">
        <v>168.62</v>
      </c>
      <c r="F104" t="s">
        <v>1823</v>
      </c>
      <c r="G104" s="8">
        <v>0</v>
      </c>
      <c r="H104" s="3">
        <f t="shared" si="1"/>
        <v>0</v>
      </c>
    </row>
    <row r="105" spans="1:8" x14ac:dyDescent="0.3">
      <c r="A105" s="7">
        <v>45533</v>
      </c>
      <c r="B105">
        <v>168.6</v>
      </c>
      <c r="C105">
        <v>166.44</v>
      </c>
      <c r="D105">
        <v>172.49</v>
      </c>
      <c r="E105">
        <v>166.44</v>
      </c>
      <c r="F105" t="s">
        <v>1822</v>
      </c>
      <c r="G105" s="8">
        <v>-1.23E-2</v>
      </c>
      <c r="H105" s="3">
        <f t="shared" si="1"/>
        <v>-1.2302284710017597E-2</v>
      </c>
    </row>
    <row r="106" spans="1:8" x14ac:dyDescent="0.3">
      <c r="A106" s="7">
        <v>45534</v>
      </c>
      <c r="B106">
        <v>165.45</v>
      </c>
      <c r="C106">
        <v>168.2</v>
      </c>
      <c r="D106">
        <v>168.2</v>
      </c>
      <c r="E106">
        <v>164.74</v>
      </c>
      <c r="F106" t="s">
        <v>174</v>
      </c>
      <c r="G106" s="8">
        <v>-1.8700000000000001E-2</v>
      </c>
      <c r="H106" s="3">
        <f t="shared" si="1"/>
        <v>-1.8683274021352392E-2</v>
      </c>
    </row>
    <row r="107" spans="1:8" x14ac:dyDescent="0.3">
      <c r="A107" s="7">
        <v>45537</v>
      </c>
      <c r="B107">
        <v>166.3</v>
      </c>
      <c r="C107">
        <v>166.48</v>
      </c>
      <c r="D107">
        <v>168.51</v>
      </c>
      <c r="E107">
        <v>166.01</v>
      </c>
      <c r="F107" t="s">
        <v>1821</v>
      </c>
      <c r="G107" s="8">
        <v>5.1000000000000004E-3</v>
      </c>
      <c r="H107" s="3">
        <f t="shared" si="1"/>
        <v>5.1375037775764909E-3</v>
      </c>
    </row>
    <row r="108" spans="1:8" x14ac:dyDescent="0.3">
      <c r="A108" s="7">
        <v>45538</v>
      </c>
      <c r="B108">
        <v>170.44</v>
      </c>
      <c r="C108">
        <v>167.14</v>
      </c>
      <c r="D108">
        <v>172.21</v>
      </c>
      <c r="E108">
        <v>165.32</v>
      </c>
      <c r="F108" t="s">
        <v>1820</v>
      </c>
      <c r="G108" s="8">
        <v>2.4899999999999999E-2</v>
      </c>
      <c r="H108" s="3">
        <f t="shared" si="1"/>
        <v>2.4894768490679509E-2</v>
      </c>
    </row>
    <row r="109" spans="1:8" x14ac:dyDescent="0.3">
      <c r="A109" s="7">
        <v>45539</v>
      </c>
      <c r="B109">
        <v>173.42</v>
      </c>
      <c r="C109">
        <v>172.49</v>
      </c>
      <c r="D109">
        <v>174.02</v>
      </c>
      <c r="E109">
        <v>170.65</v>
      </c>
      <c r="F109" t="s">
        <v>1819</v>
      </c>
      <c r="G109" s="8">
        <v>1.7500000000000002E-2</v>
      </c>
      <c r="H109" s="3">
        <f t="shared" si="1"/>
        <v>1.7484158648204629E-2</v>
      </c>
    </row>
    <row r="110" spans="1:8" x14ac:dyDescent="0.3">
      <c r="A110" s="7">
        <v>45540</v>
      </c>
      <c r="B110">
        <v>172.42</v>
      </c>
      <c r="C110">
        <v>173.86</v>
      </c>
      <c r="D110">
        <v>177.04</v>
      </c>
      <c r="E110">
        <v>171.92</v>
      </c>
      <c r="F110" t="s">
        <v>273</v>
      </c>
      <c r="G110" s="8">
        <v>-5.7999999999999996E-3</v>
      </c>
      <c r="H110" s="3">
        <f t="shared" si="1"/>
        <v>-5.7663475954330412E-3</v>
      </c>
    </row>
    <row r="111" spans="1:8" x14ac:dyDescent="0.3">
      <c r="A111" s="7">
        <v>45541</v>
      </c>
      <c r="B111">
        <v>171.31</v>
      </c>
      <c r="C111">
        <v>172.37</v>
      </c>
      <c r="D111">
        <v>173.76</v>
      </c>
      <c r="E111">
        <v>170.23</v>
      </c>
      <c r="F111" t="s">
        <v>1818</v>
      </c>
      <c r="G111" s="8">
        <v>-6.4000000000000003E-3</v>
      </c>
      <c r="H111" s="3">
        <f t="shared" si="1"/>
        <v>-6.4377682403432557E-3</v>
      </c>
    </row>
    <row r="112" spans="1:8" x14ac:dyDescent="0.3">
      <c r="A112" s="7">
        <v>45544</v>
      </c>
      <c r="B112">
        <v>169.39</v>
      </c>
      <c r="C112">
        <v>171.61</v>
      </c>
      <c r="D112">
        <v>172.88</v>
      </c>
      <c r="E112">
        <v>168.96</v>
      </c>
      <c r="F112" t="s">
        <v>1817</v>
      </c>
      <c r="G112" s="8">
        <v>-1.12E-2</v>
      </c>
      <c r="H112" s="3">
        <f t="shared" si="1"/>
        <v>-1.1207752028486451E-2</v>
      </c>
    </row>
    <row r="113" spans="1:8" x14ac:dyDescent="0.3">
      <c r="A113" s="7">
        <v>45545</v>
      </c>
      <c r="B113">
        <v>167.9</v>
      </c>
      <c r="C113">
        <v>170.78</v>
      </c>
      <c r="D113">
        <v>170.78</v>
      </c>
      <c r="E113">
        <v>167.15</v>
      </c>
      <c r="F113" t="s">
        <v>1816</v>
      </c>
      <c r="G113" s="8">
        <v>-8.8000000000000005E-3</v>
      </c>
      <c r="H113" s="3">
        <f t="shared" si="1"/>
        <v>-8.7962689651099879E-3</v>
      </c>
    </row>
    <row r="114" spans="1:8" x14ac:dyDescent="0.3">
      <c r="A114" s="7">
        <v>45546</v>
      </c>
      <c r="B114">
        <v>167.87</v>
      </c>
      <c r="C114">
        <v>166.76</v>
      </c>
      <c r="D114">
        <v>168.81</v>
      </c>
      <c r="E114">
        <v>166.02</v>
      </c>
      <c r="F114" t="s">
        <v>1815</v>
      </c>
      <c r="G114" s="8">
        <v>-2.0000000000000001E-4</v>
      </c>
      <c r="H114" s="3">
        <f t="shared" si="1"/>
        <v>-1.7867778439550897E-4</v>
      </c>
    </row>
    <row r="115" spans="1:8" x14ac:dyDescent="0.3">
      <c r="A115" s="7">
        <v>45547</v>
      </c>
      <c r="B115">
        <v>166.44</v>
      </c>
      <c r="C115">
        <v>166.01</v>
      </c>
      <c r="D115">
        <v>168.5</v>
      </c>
      <c r="E115">
        <v>165.55</v>
      </c>
      <c r="F115" t="s">
        <v>1814</v>
      </c>
      <c r="G115" s="8">
        <v>-8.5000000000000006E-3</v>
      </c>
      <c r="H115" s="3">
        <f t="shared" si="1"/>
        <v>-8.5184964555906628E-3</v>
      </c>
    </row>
    <row r="116" spans="1:8" x14ac:dyDescent="0.3">
      <c r="A116" s="7">
        <v>45548</v>
      </c>
      <c r="B116">
        <v>167.53</v>
      </c>
      <c r="C116">
        <v>167.76</v>
      </c>
      <c r="D116">
        <v>168.21</v>
      </c>
      <c r="E116">
        <v>166.61</v>
      </c>
      <c r="F116" t="s">
        <v>749</v>
      </c>
      <c r="G116" s="8">
        <v>6.4999999999999997E-3</v>
      </c>
      <c r="H116" s="3">
        <f t="shared" si="1"/>
        <v>6.5489065128574442E-3</v>
      </c>
    </row>
    <row r="117" spans="1:8" x14ac:dyDescent="0.3">
      <c r="A117" s="7">
        <v>45552</v>
      </c>
      <c r="B117">
        <v>173.63</v>
      </c>
      <c r="C117">
        <v>169.6</v>
      </c>
      <c r="D117">
        <v>175.89</v>
      </c>
      <c r="E117">
        <v>169.6</v>
      </c>
      <c r="F117" t="s">
        <v>1813</v>
      </c>
      <c r="G117" s="8">
        <v>3.6400000000000002E-2</v>
      </c>
      <c r="H117" s="3">
        <f t="shared" si="1"/>
        <v>3.641138900495422E-2</v>
      </c>
    </row>
    <row r="118" spans="1:8" x14ac:dyDescent="0.3">
      <c r="A118" s="7">
        <v>45553</v>
      </c>
      <c r="B118">
        <v>175.27</v>
      </c>
      <c r="C118">
        <v>174.05</v>
      </c>
      <c r="D118">
        <v>176.35</v>
      </c>
      <c r="E118">
        <v>171.74</v>
      </c>
      <c r="F118" t="s">
        <v>1812</v>
      </c>
      <c r="G118" s="8">
        <v>9.4000000000000004E-3</v>
      </c>
      <c r="H118" s="3">
        <f t="shared" si="1"/>
        <v>9.4453723434890779E-3</v>
      </c>
    </row>
    <row r="119" spans="1:8" x14ac:dyDescent="0.3">
      <c r="A119" s="7">
        <v>45554</v>
      </c>
      <c r="B119">
        <v>176.8</v>
      </c>
      <c r="C119">
        <v>175.27</v>
      </c>
      <c r="D119">
        <v>177.35</v>
      </c>
      <c r="E119">
        <v>175.07</v>
      </c>
      <c r="F119" t="s">
        <v>1811</v>
      </c>
      <c r="G119" s="8">
        <v>8.6999999999999994E-3</v>
      </c>
      <c r="H119" s="3">
        <f t="shared" si="1"/>
        <v>8.7293889427739746E-3</v>
      </c>
    </row>
    <row r="120" spans="1:8" x14ac:dyDescent="0.3">
      <c r="A120" s="7">
        <v>45555</v>
      </c>
      <c r="B120">
        <v>175.57</v>
      </c>
      <c r="C120">
        <v>176.26</v>
      </c>
      <c r="D120">
        <v>177.27</v>
      </c>
      <c r="E120">
        <v>174</v>
      </c>
      <c r="F120" t="s">
        <v>1810</v>
      </c>
      <c r="G120" s="8">
        <v>-7.0000000000000001E-3</v>
      </c>
      <c r="H120" s="3">
        <f t="shared" si="1"/>
        <v>-6.9570135746607198E-3</v>
      </c>
    </row>
    <row r="121" spans="1:8" x14ac:dyDescent="0.3">
      <c r="A121" s="7">
        <v>45558</v>
      </c>
      <c r="B121">
        <v>174.85</v>
      </c>
      <c r="C121">
        <v>174.74</v>
      </c>
      <c r="D121">
        <v>176.41</v>
      </c>
      <c r="E121">
        <v>172.24</v>
      </c>
      <c r="F121" t="s">
        <v>1809</v>
      </c>
      <c r="G121" s="8">
        <v>-4.1000000000000003E-3</v>
      </c>
      <c r="H121" s="3">
        <f t="shared" si="1"/>
        <v>-4.1009284046249483E-3</v>
      </c>
    </row>
    <row r="122" spans="1:8" x14ac:dyDescent="0.3">
      <c r="A122" s="7">
        <v>45559</v>
      </c>
      <c r="B122">
        <v>177.98</v>
      </c>
      <c r="C122">
        <v>175.59</v>
      </c>
      <c r="D122">
        <v>178.61</v>
      </c>
      <c r="E122">
        <v>175.42</v>
      </c>
      <c r="F122" t="s">
        <v>1808</v>
      </c>
      <c r="G122" s="8">
        <v>1.7899999999999999E-2</v>
      </c>
      <c r="H122" s="3">
        <f t="shared" si="1"/>
        <v>1.7901058049756946E-2</v>
      </c>
    </row>
    <row r="123" spans="1:8" x14ac:dyDescent="0.3">
      <c r="A123" s="7">
        <v>45560</v>
      </c>
      <c r="B123">
        <v>177.65</v>
      </c>
      <c r="C123">
        <v>178.97</v>
      </c>
      <c r="D123">
        <v>180.99</v>
      </c>
      <c r="E123">
        <v>176.19</v>
      </c>
      <c r="F123" t="s">
        <v>83</v>
      </c>
      <c r="G123" s="8">
        <v>-1.9E-3</v>
      </c>
      <c r="H123" s="3">
        <f t="shared" si="1"/>
        <v>-1.8541409147094789E-3</v>
      </c>
    </row>
    <row r="124" spans="1:8" x14ac:dyDescent="0.3">
      <c r="A124" s="7">
        <v>45561</v>
      </c>
      <c r="B124">
        <v>180.08</v>
      </c>
      <c r="C124">
        <v>179.83</v>
      </c>
      <c r="D124">
        <v>181.03</v>
      </c>
      <c r="E124">
        <v>177.71</v>
      </c>
      <c r="F124" t="s">
        <v>172</v>
      </c>
      <c r="G124" s="8">
        <v>1.37E-2</v>
      </c>
      <c r="H124" s="3">
        <f t="shared" si="1"/>
        <v>1.3678581480439211E-2</v>
      </c>
    </row>
    <row r="125" spans="1:8" x14ac:dyDescent="0.3">
      <c r="A125" s="7">
        <v>45562</v>
      </c>
      <c r="B125">
        <v>177.76</v>
      </c>
      <c r="C125">
        <v>180.49</v>
      </c>
      <c r="D125">
        <v>181.49</v>
      </c>
      <c r="E125">
        <v>177.28</v>
      </c>
      <c r="F125" t="s">
        <v>1807</v>
      </c>
      <c r="G125" s="8">
        <v>-1.29E-2</v>
      </c>
      <c r="H125" s="3">
        <f t="shared" si="1"/>
        <v>-1.2883163038649559E-2</v>
      </c>
    </row>
    <row r="126" spans="1:8" x14ac:dyDescent="0.3">
      <c r="A126" s="7">
        <v>45565</v>
      </c>
      <c r="B126">
        <v>174.3</v>
      </c>
      <c r="C126">
        <v>177.17</v>
      </c>
      <c r="D126">
        <v>177.39</v>
      </c>
      <c r="E126">
        <v>173.51</v>
      </c>
      <c r="F126" t="s">
        <v>1806</v>
      </c>
      <c r="G126" s="8">
        <v>-1.95E-2</v>
      </c>
      <c r="H126" s="3">
        <f t="shared" si="1"/>
        <v>-1.9464446444644401E-2</v>
      </c>
    </row>
    <row r="127" spans="1:8" x14ac:dyDescent="0.3">
      <c r="A127" s="7">
        <v>45567</v>
      </c>
      <c r="B127">
        <v>173.26</v>
      </c>
      <c r="C127">
        <v>173.03</v>
      </c>
      <c r="D127">
        <v>174.45</v>
      </c>
      <c r="E127">
        <v>171.76</v>
      </c>
      <c r="F127" t="s">
        <v>1805</v>
      </c>
      <c r="G127" s="8">
        <v>-6.0000000000000001E-3</v>
      </c>
      <c r="H127" s="3">
        <f t="shared" si="1"/>
        <v>-5.9667240390133269E-3</v>
      </c>
    </row>
    <row r="128" spans="1:8" x14ac:dyDescent="0.3">
      <c r="A128" s="7">
        <v>45568</v>
      </c>
      <c r="B128">
        <v>170.13</v>
      </c>
      <c r="C128">
        <v>171.52</v>
      </c>
      <c r="D128">
        <v>172.89</v>
      </c>
      <c r="E128">
        <v>169.01</v>
      </c>
      <c r="F128" t="s">
        <v>1804</v>
      </c>
      <c r="G128" s="8">
        <v>-1.8100000000000002E-2</v>
      </c>
      <c r="H128" s="3">
        <f t="shared" si="1"/>
        <v>-1.8065335334179866E-2</v>
      </c>
    </row>
    <row r="129" spans="1:8" x14ac:dyDescent="0.3">
      <c r="A129" s="7">
        <v>45569</v>
      </c>
      <c r="B129">
        <v>170.25</v>
      </c>
      <c r="C129">
        <v>169.27</v>
      </c>
      <c r="D129">
        <v>171.14</v>
      </c>
      <c r="E129">
        <v>169.01</v>
      </c>
      <c r="F129" t="s">
        <v>1803</v>
      </c>
      <c r="G129" s="8">
        <v>6.9999999999999999E-4</v>
      </c>
      <c r="H129" s="3">
        <f t="shared" si="1"/>
        <v>7.0534297302060622E-4</v>
      </c>
    </row>
    <row r="130" spans="1:8" x14ac:dyDescent="0.3">
      <c r="A130" s="7">
        <v>45572</v>
      </c>
      <c r="B130">
        <v>168.61</v>
      </c>
      <c r="C130">
        <v>171.32</v>
      </c>
      <c r="D130">
        <v>173.3</v>
      </c>
      <c r="E130">
        <v>167.89</v>
      </c>
      <c r="F130" t="s">
        <v>1802</v>
      </c>
      <c r="G130" s="8">
        <v>-9.5999999999999992E-3</v>
      </c>
      <c r="H130" s="3">
        <f t="shared" si="1"/>
        <v>-9.6328928046989226E-3</v>
      </c>
    </row>
    <row r="131" spans="1:8" x14ac:dyDescent="0.3">
      <c r="A131" s="7">
        <v>45573</v>
      </c>
      <c r="B131">
        <v>168.32</v>
      </c>
      <c r="C131">
        <v>169.04</v>
      </c>
      <c r="D131">
        <v>169.04</v>
      </c>
      <c r="E131">
        <v>165.25</v>
      </c>
      <c r="F131" t="s">
        <v>1074</v>
      </c>
      <c r="G131" s="8">
        <v>-1.6999999999999999E-3</v>
      </c>
      <c r="H131" s="3">
        <f t="shared" si="1"/>
        <v>-1.7199454362138988E-3</v>
      </c>
    </row>
    <row r="132" spans="1:8" x14ac:dyDescent="0.3">
      <c r="A132" s="7">
        <v>45574</v>
      </c>
      <c r="B132">
        <v>168.79</v>
      </c>
      <c r="C132">
        <v>169.05</v>
      </c>
      <c r="D132">
        <v>170.25</v>
      </c>
      <c r="E132">
        <v>167.3</v>
      </c>
      <c r="F132" t="s">
        <v>1801</v>
      </c>
      <c r="G132" s="8">
        <v>2.8E-3</v>
      </c>
      <c r="H132" s="3">
        <f t="shared" ref="H132:H195" si="2">(B132/B131)-1</f>
        <v>2.7923003802281521E-3</v>
      </c>
    </row>
    <row r="133" spans="1:8" x14ac:dyDescent="0.3">
      <c r="A133" s="7">
        <v>45575</v>
      </c>
      <c r="B133">
        <v>172.4</v>
      </c>
      <c r="C133">
        <v>169.21</v>
      </c>
      <c r="D133">
        <v>173.32</v>
      </c>
      <c r="E133">
        <v>168.7</v>
      </c>
      <c r="F133" t="s">
        <v>1800</v>
      </c>
      <c r="G133" s="8">
        <v>2.1399999999999999E-2</v>
      </c>
      <c r="H133" s="3">
        <f t="shared" si="2"/>
        <v>2.1387522957521332E-2</v>
      </c>
    </row>
    <row r="134" spans="1:8" x14ac:dyDescent="0.3">
      <c r="A134" s="7">
        <v>45576</v>
      </c>
      <c r="B134">
        <v>170.73</v>
      </c>
      <c r="C134">
        <v>170.95</v>
      </c>
      <c r="D134">
        <v>172.5</v>
      </c>
      <c r="E134">
        <v>169.76</v>
      </c>
      <c r="F134" t="s">
        <v>1799</v>
      </c>
      <c r="G134" s="8">
        <v>-9.7000000000000003E-3</v>
      </c>
      <c r="H134" s="3">
        <f t="shared" si="2"/>
        <v>-9.6867749419954352E-3</v>
      </c>
    </row>
    <row r="135" spans="1:8" x14ac:dyDescent="0.3">
      <c r="A135" s="7">
        <v>45579</v>
      </c>
      <c r="B135">
        <v>168.5</v>
      </c>
      <c r="C135">
        <v>169.62</v>
      </c>
      <c r="D135">
        <v>169.62</v>
      </c>
      <c r="E135">
        <v>165.7</v>
      </c>
      <c r="F135" t="s">
        <v>1798</v>
      </c>
      <c r="G135" s="8">
        <v>-1.3100000000000001E-2</v>
      </c>
      <c r="H135" s="3">
        <f t="shared" si="2"/>
        <v>-1.3061559187020344E-2</v>
      </c>
    </row>
    <row r="136" spans="1:8" x14ac:dyDescent="0.3">
      <c r="A136" s="7">
        <v>45580</v>
      </c>
      <c r="B136">
        <v>171.8</v>
      </c>
      <c r="C136">
        <v>169.33</v>
      </c>
      <c r="D136">
        <v>172.31</v>
      </c>
      <c r="E136">
        <v>168.01</v>
      </c>
      <c r="F136" t="s">
        <v>1797</v>
      </c>
      <c r="G136" s="8">
        <v>1.9599999999999999E-2</v>
      </c>
      <c r="H136" s="3">
        <f t="shared" si="2"/>
        <v>1.9584569732937762E-2</v>
      </c>
    </row>
    <row r="137" spans="1:8" x14ac:dyDescent="0.3">
      <c r="A137" s="7">
        <v>45581</v>
      </c>
      <c r="B137">
        <v>174.28</v>
      </c>
      <c r="C137">
        <v>172.85</v>
      </c>
      <c r="D137">
        <v>175.46</v>
      </c>
      <c r="E137">
        <v>172.45</v>
      </c>
      <c r="F137" t="s">
        <v>1796</v>
      </c>
      <c r="G137" s="8">
        <v>1.44E-2</v>
      </c>
      <c r="H137" s="3">
        <f t="shared" si="2"/>
        <v>1.4435389988358471E-2</v>
      </c>
    </row>
    <row r="138" spans="1:8" x14ac:dyDescent="0.3">
      <c r="A138" s="7">
        <v>45582</v>
      </c>
      <c r="B138">
        <v>172.67</v>
      </c>
      <c r="C138">
        <v>174.06</v>
      </c>
      <c r="D138">
        <v>174.06</v>
      </c>
      <c r="E138">
        <v>170.53</v>
      </c>
      <c r="F138" t="s">
        <v>1795</v>
      </c>
      <c r="G138" s="8">
        <v>-9.1999999999999998E-3</v>
      </c>
      <c r="H138" s="3">
        <f t="shared" si="2"/>
        <v>-9.2380078035346758E-3</v>
      </c>
    </row>
    <row r="139" spans="1:8" x14ac:dyDescent="0.3">
      <c r="A139" s="7">
        <v>45583</v>
      </c>
      <c r="B139">
        <v>173.15</v>
      </c>
      <c r="C139">
        <v>171.39</v>
      </c>
      <c r="D139">
        <v>173.67</v>
      </c>
      <c r="E139">
        <v>170</v>
      </c>
      <c r="F139" t="s">
        <v>1794</v>
      </c>
      <c r="G139" s="8">
        <v>2.8E-3</v>
      </c>
      <c r="H139" s="3">
        <f t="shared" si="2"/>
        <v>2.7798691144960141E-3</v>
      </c>
    </row>
    <row r="140" spans="1:8" x14ac:dyDescent="0.3">
      <c r="A140" s="7">
        <v>45586</v>
      </c>
      <c r="B140">
        <v>172.09</v>
      </c>
      <c r="C140">
        <v>172.38</v>
      </c>
      <c r="D140">
        <v>173.49</v>
      </c>
      <c r="E140">
        <v>170.95</v>
      </c>
      <c r="F140" t="s">
        <v>1793</v>
      </c>
      <c r="G140" s="8">
        <v>-6.1000000000000004E-3</v>
      </c>
      <c r="H140" s="3">
        <f t="shared" si="2"/>
        <v>-6.1218596592550467E-3</v>
      </c>
    </row>
    <row r="141" spans="1:8" x14ac:dyDescent="0.3">
      <c r="A141" s="7">
        <v>45587</v>
      </c>
      <c r="B141">
        <v>168.92</v>
      </c>
      <c r="C141">
        <v>170.1</v>
      </c>
      <c r="D141">
        <v>171.37</v>
      </c>
      <c r="E141">
        <v>167.55</v>
      </c>
      <c r="F141" t="s">
        <v>1792</v>
      </c>
      <c r="G141" s="8">
        <v>-1.84E-2</v>
      </c>
      <c r="H141" s="3">
        <f t="shared" si="2"/>
        <v>-1.842059387529793E-2</v>
      </c>
    </row>
    <row r="142" spans="1:8" x14ac:dyDescent="0.3">
      <c r="A142" s="7">
        <v>45588</v>
      </c>
      <c r="B142">
        <v>168.99</v>
      </c>
      <c r="C142">
        <v>167.88</v>
      </c>
      <c r="D142">
        <v>170.44</v>
      </c>
      <c r="E142">
        <v>167.7</v>
      </c>
      <c r="F142" t="s">
        <v>1791</v>
      </c>
      <c r="G142" s="8">
        <v>4.0000000000000002E-4</v>
      </c>
      <c r="H142" s="3">
        <f t="shared" si="2"/>
        <v>4.1439734785719828E-4</v>
      </c>
    </row>
    <row r="143" spans="1:8" x14ac:dyDescent="0.3">
      <c r="A143" s="7">
        <v>45589</v>
      </c>
      <c r="B143">
        <v>168.49</v>
      </c>
      <c r="C143">
        <v>169.8</v>
      </c>
      <c r="D143">
        <v>170.18</v>
      </c>
      <c r="E143">
        <v>167.82</v>
      </c>
      <c r="F143" t="s">
        <v>1790</v>
      </c>
      <c r="G143" s="8">
        <v>-3.0000000000000001E-3</v>
      </c>
      <c r="H143" s="3">
        <f t="shared" si="2"/>
        <v>-2.9587549559145776E-3</v>
      </c>
    </row>
    <row r="144" spans="1:8" x14ac:dyDescent="0.3">
      <c r="A144" s="7">
        <v>45590</v>
      </c>
      <c r="B144">
        <v>172.57</v>
      </c>
      <c r="C144">
        <v>170.5</v>
      </c>
      <c r="D144">
        <v>175.31</v>
      </c>
      <c r="E144">
        <v>168.5</v>
      </c>
      <c r="F144" t="s">
        <v>1789</v>
      </c>
      <c r="G144" s="8">
        <v>2.4199999999999999E-2</v>
      </c>
      <c r="H144" s="3">
        <f t="shared" si="2"/>
        <v>2.4215086948780273E-2</v>
      </c>
    </row>
    <row r="145" spans="1:8" x14ac:dyDescent="0.3">
      <c r="A145" s="7">
        <v>45593</v>
      </c>
      <c r="B145">
        <v>169.9</v>
      </c>
      <c r="C145">
        <v>174.27</v>
      </c>
      <c r="D145">
        <v>174.49</v>
      </c>
      <c r="E145">
        <v>169.61</v>
      </c>
      <c r="F145" t="s">
        <v>1788</v>
      </c>
      <c r="G145" s="8">
        <v>-1.55E-2</v>
      </c>
      <c r="H145" s="3">
        <f t="shared" si="2"/>
        <v>-1.5471982383960081E-2</v>
      </c>
    </row>
    <row r="146" spans="1:8" x14ac:dyDescent="0.3">
      <c r="A146" s="7">
        <v>45594</v>
      </c>
      <c r="B146">
        <v>169.94</v>
      </c>
      <c r="C146">
        <v>172.47</v>
      </c>
      <c r="D146">
        <v>174.67</v>
      </c>
      <c r="E146">
        <v>169.3</v>
      </c>
      <c r="F146" t="s">
        <v>1787</v>
      </c>
      <c r="G146" s="8">
        <v>2.0000000000000001E-4</v>
      </c>
      <c r="H146" s="3">
        <f t="shared" si="2"/>
        <v>2.3543260741609728E-4</v>
      </c>
    </row>
    <row r="147" spans="1:8" x14ac:dyDescent="0.3">
      <c r="A147" s="7">
        <v>45595</v>
      </c>
      <c r="B147">
        <v>171.21</v>
      </c>
      <c r="C147">
        <v>170.05</v>
      </c>
      <c r="D147">
        <v>175.13</v>
      </c>
      <c r="E147">
        <v>170.05</v>
      </c>
      <c r="F147" t="s">
        <v>1786</v>
      </c>
      <c r="G147" s="8">
        <v>7.4999999999999997E-3</v>
      </c>
      <c r="H147" s="3">
        <f t="shared" si="2"/>
        <v>7.4732258444156763E-3</v>
      </c>
    </row>
    <row r="148" spans="1:8" x14ac:dyDescent="0.3">
      <c r="A148" s="7">
        <v>45596</v>
      </c>
      <c r="B148">
        <v>166.52</v>
      </c>
      <c r="C148">
        <v>172.58</v>
      </c>
      <c r="D148">
        <v>172.58</v>
      </c>
      <c r="E148">
        <v>165.58</v>
      </c>
      <c r="F148" t="s">
        <v>1785</v>
      </c>
      <c r="G148" s="8">
        <v>-2.7400000000000001E-2</v>
      </c>
      <c r="H148" s="3">
        <f t="shared" si="2"/>
        <v>-2.739325973950113E-2</v>
      </c>
    </row>
    <row r="149" spans="1:8" x14ac:dyDescent="0.3">
      <c r="A149" s="7">
        <v>45597</v>
      </c>
      <c r="B149">
        <v>165.51</v>
      </c>
      <c r="C149">
        <v>167.22</v>
      </c>
      <c r="D149">
        <v>167.51</v>
      </c>
      <c r="E149">
        <v>165.04</v>
      </c>
      <c r="F149" t="s">
        <v>1784</v>
      </c>
      <c r="G149" s="8">
        <v>-6.1000000000000004E-3</v>
      </c>
      <c r="H149" s="3">
        <f t="shared" si="2"/>
        <v>-6.0653374969974472E-3</v>
      </c>
    </row>
    <row r="150" spans="1:8" x14ac:dyDescent="0.3">
      <c r="A150" s="7">
        <v>45600</v>
      </c>
      <c r="B150">
        <v>162.27000000000001</v>
      </c>
      <c r="C150">
        <v>164.94</v>
      </c>
      <c r="D150">
        <v>166.8</v>
      </c>
      <c r="E150">
        <v>161.76</v>
      </c>
      <c r="F150" t="s">
        <v>1783</v>
      </c>
      <c r="G150" s="8">
        <v>-1.9599999999999999E-2</v>
      </c>
      <c r="H150" s="3">
        <f t="shared" si="2"/>
        <v>-1.9575856443719286E-2</v>
      </c>
    </row>
    <row r="151" spans="1:8" x14ac:dyDescent="0.3">
      <c r="A151" s="7">
        <v>45601</v>
      </c>
      <c r="B151">
        <v>163.84</v>
      </c>
      <c r="C151">
        <v>163.03</v>
      </c>
      <c r="D151">
        <v>165.09</v>
      </c>
      <c r="E151">
        <v>159.59</v>
      </c>
      <c r="F151" t="s">
        <v>1782</v>
      </c>
      <c r="G151" s="8">
        <v>9.7000000000000003E-3</v>
      </c>
      <c r="H151" s="3">
        <f t="shared" si="2"/>
        <v>9.675232636963127E-3</v>
      </c>
    </row>
    <row r="152" spans="1:8" x14ac:dyDescent="0.3">
      <c r="A152" s="7">
        <v>45602</v>
      </c>
      <c r="B152">
        <v>165.87</v>
      </c>
      <c r="C152">
        <v>165.48</v>
      </c>
      <c r="D152">
        <v>166.32</v>
      </c>
      <c r="E152">
        <v>161.62</v>
      </c>
      <c r="F152" t="s">
        <v>1781</v>
      </c>
      <c r="G152" s="8">
        <v>1.24E-2</v>
      </c>
      <c r="H152" s="3">
        <f t="shared" si="2"/>
        <v>1.239013671875E-2</v>
      </c>
    </row>
    <row r="153" spans="1:8" x14ac:dyDescent="0.3">
      <c r="A153" s="7">
        <v>45603</v>
      </c>
      <c r="B153">
        <v>164.91</v>
      </c>
      <c r="C153">
        <v>165.46</v>
      </c>
      <c r="D153">
        <v>167.48</v>
      </c>
      <c r="E153">
        <v>163.46</v>
      </c>
      <c r="F153" t="s">
        <v>1780</v>
      </c>
      <c r="G153" s="8">
        <v>-5.7999999999999996E-3</v>
      </c>
      <c r="H153" s="3">
        <f t="shared" si="2"/>
        <v>-5.7876650388859474E-3</v>
      </c>
    </row>
    <row r="154" spans="1:8" x14ac:dyDescent="0.3">
      <c r="A154" s="7">
        <v>45604</v>
      </c>
      <c r="B154">
        <v>166.68</v>
      </c>
      <c r="C154">
        <v>161.82</v>
      </c>
      <c r="D154">
        <v>167.42</v>
      </c>
      <c r="E154">
        <v>161.82</v>
      </c>
      <c r="F154" t="s">
        <v>1779</v>
      </c>
      <c r="G154" s="8">
        <v>1.0699999999999999E-2</v>
      </c>
      <c r="H154" s="3">
        <f t="shared" si="2"/>
        <v>1.0733127160269307E-2</v>
      </c>
    </row>
    <row r="155" spans="1:8" x14ac:dyDescent="0.3">
      <c r="A155" s="7">
        <v>45607</v>
      </c>
      <c r="B155">
        <v>166.58</v>
      </c>
      <c r="C155">
        <v>167.09</v>
      </c>
      <c r="D155">
        <v>169.07</v>
      </c>
      <c r="E155">
        <v>166.4</v>
      </c>
      <c r="F155" t="s">
        <v>1778</v>
      </c>
      <c r="G155" s="8">
        <v>-5.9999999999999995E-4</v>
      </c>
      <c r="H155" s="3">
        <f t="shared" si="2"/>
        <v>-5.9995200383966552E-4</v>
      </c>
    </row>
    <row r="156" spans="1:8" x14ac:dyDescent="0.3">
      <c r="A156" s="7">
        <v>45608</v>
      </c>
      <c r="B156">
        <v>165.58</v>
      </c>
      <c r="C156">
        <v>165.79</v>
      </c>
      <c r="D156">
        <v>166.95</v>
      </c>
      <c r="E156">
        <v>160.01</v>
      </c>
      <c r="F156" t="s">
        <v>1777</v>
      </c>
      <c r="G156" s="8">
        <v>-6.0000000000000001E-3</v>
      </c>
      <c r="H156" s="3">
        <f t="shared" si="2"/>
        <v>-6.0031216232441231E-3</v>
      </c>
    </row>
    <row r="157" spans="1:8" x14ac:dyDescent="0.3">
      <c r="A157" s="7">
        <v>45609</v>
      </c>
      <c r="B157">
        <v>160.88999999999999</v>
      </c>
      <c r="C157">
        <v>164.75</v>
      </c>
      <c r="D157">
        <v>165.57</v>
      </c>
      <c r="E157">
        <v>160.53</v>
      </c>
      <c r="F157" t="s">
        <v>1776</v>
      </c>
      <c r="G157" s="8">
        <v>-2.8299999999999999E-2</v>
      </c>
      <c r="H157" s="3">
        <f t="shared" si="2"/>
        <v>-2.8324676893344725E-2</v>
      </c>
    </row>
    <row r="158" spans="1:8" x14ac:dyDescent="0.3">
      <c r="A158" s="7">
        <v>45610</v>
      </c>
      <c r="B158">
        <v>158.11000000000001</v>
      </c>
      <c r="C158">
        <v>161</v>
      </c>
      <c r="D158">
        <v>162.11000000000001</v>
      </c>
      <c r="E158">
        <v>157.57</v>
      </c>
      <c r="F158" t="s">
        <v>1775</v>
      </c>
      <c r="G158" s="8">
        <v>-1.7299999999999999E-2</v>
      </c>
      <c r="H158" s="3">
        <f t="shared" si="2"/>
        <v>-1.7278886195537191E-2</v>
      </c>
    </row>
    <row r="159" spans="1:8" x14ac:dyDescent="0.3">
      <c r="A159" s="7">
        <v>45611</v>
      </c>
      <c r="B159">
        <v>158.41</v>
      </c>
      <c r="C159">
        <v>158.29</v>
      </c>
      <c r="D159">
        <v>160.19999999999999</v>
      </c>
      <c r="E159">
        <v>157.57</v>
      </c>
      <c r="F159" t="s">
        <v>1774</v>
      </c>
      <c r="G159" s="8">
        <v>1.9E-3</v>
      </c>
      <c r="H159" s="3">
        <f t="shared" si="2"/>
        <v>1.8974131933462424E-3</v>
      </c>
    </row>
    <row r="160" spans="1:8" x14ac:dyDescent="0.3">
      <c r="A160" s="7">
        <v>45615</v>
      </c>
      <c r="B160">
        <v>157.88999999999999</v>
      </c>
      <c r="C160">
        <v>158.01</v>
      </c>
      <c r="D160">
        <v>160.30000000000001</v>
      </c>
      <c r="E160">
        <v>157.56</v>
      </c>
      <c r="F160" t="s">
        <v>1773</v>
      </c>
      <c r="G160" s="8">
        <v>-3.3E-3</v>
      </c>
      <c r="H160" s="3">
        <f t="shared" si="2"/>
        <v>-3.282621046651113E-3</v>
      </c>
    </row>
    <row r="161" spans="1:8" x14ac:dyDescent="0.3">
      <c r="A161" s="7">
        <v>45616</v>
      </c>
      <c r="B161">
        <v>158.76</v>
      </c>
      <c r="C161">
        <v>157.63999999999999</v>
      </c>
      <c r="D161">
        <v>159.85</v>
      </c>
      <c r="E161">
        <v>157.63999999999999</v>
      </c>
      <c r="F161" t="s">
        <v>1772</v>
      </c>
      <c r="G161" s="8">
        <v>5.4999999999999997E-3</v>
      </c>
      <c r="H161" s="3">
        <f t="shared" si="2"/>
        <v>5.5101653049591803E-3</v>
      </c>
    </row>
    <row r="162" spans="1:8" x14ac:dyDescent="0.3">
      <c r="A162" s="7">
        <v>45617</v>
      </c>
      <c r="B162">
        <v>158.69</v>
      </c>
      <c r="C162">
        <v>159</v>
      </c>
      <c r="D162">
        <v>160.83000000000001</v>
      </c>
      <c r="E162">
        <v>158.03</v>
      </c>
      <c r="F162" t="s">
        <v>1771</v>
      </c>
      <c r="G162" s="8">
        <v>-4.0000000000000002E-4</v>
      </c>
      <c r="H162" s="3">
        <f t="shared" si="2"/>
        <v>-4.4091710758376035E-4</v>
      </c>
    </row>
    <row r="163" spans="1:8" x14ac:dyDescent="0.3">
      <c r="A163" s="7">
        <v>45618</v>
      </c>
      <c r="B163">
        <v>162.18</v>
      </c>
      <c r="C163">
        <v>159.01</v>
      </c>
      <c r="D163">
        <v>162.47999999999999</v>
      </c>
      <c r="E163">
        <v>159.01</v>
      </c>
      <c r="F163" t="s">
        <v>1770</v>
      </c>
      <c r="G163" s="8">
        <v>2.1999999999999999E-2</v>
      </c>
      <c r="H163" s="3">
        <f t="shared" si="2"/>
        <v>2.1992564118722191E-2</v>
      </c>
    </row>
    <row r="164" spans="1:8" x14ac:dyDescent="0.3">
      <c r="A164" s="7">
        <v>45621</v>
      </c>
      <c r="B164">
        <v>162.62</v>
      </c>
      <c r="C164">
        <v>161.41</v>
      </c>
      <c r="D164">
        <v>164.43</v>
      </c>
      <c r="E164">
        <v>161.41</v>
      </c>
      <c r="F164" t="s">
        <v>175</v>
      </c>
      <c r="G164" s="8">
        <v>2.7000000000000001E-3</v>
      </c>
      <c r="H164" s="3">
        <f t="shared" si="2"/>
        <v>2.7130348994943709E-3</v>
      </c>
    </row>
    <row r="165" spans="1:8" x14ac:dyDescent="0.3">
      <c r="A165" s="7">
        <v>45622</v>
      </c>
      <c r="B165">
        <v>163.49</v>
      </c>
      <c r="C165">
        <v>162.66999999999999</v>
      </c>
      <c r="D165">
        <v>165.5</v>
      </c>
      <c r="E165">
        <v>162.11000000000001</v>
      </c>
      <c r="F165" t="s">
        <v>1769</v>
      </c>
      <c r="G165" s="8">
        <v>5.3E-3</v>
      </c>
      <c r="H165" s="3">
        <f t="shared" si="2"/>
        <v>5.3498954618127481E-3</v>
      </c>
    </row>
    <row r="166" spans="1:8" x14ac:dyDescent="0.3">
      <c r="A166" s="7">
        <v>45623</v>
      </c>
      <c r="B166">
        <v>163.63999999999999</v>
      </c>
      <c r="C166">
        <v>164.3</v>
      </c>
      <c r="D166">
        <v>164.86</v>
      </c>
      <c r="E166">
        <v>162.12</v>
      </c>
      <c r="F166" t="s">
        <v>1768</v>
      </c>
      <c r="G166" s="8">
        <v>8.9999999999999998E-4</v>
      </c>
      <c r="H166" s="3">
        <f t="shared" si="2"/>
        <v>9.1748730809215751E-4</v>
      </c>
    </row>
    <row r="167" spans="1:8" x14ac:dyDescent="0.3">
      <c r="A167" s="7">
        <v>45624</v>
      </c>
      <c r="B167">
        <v>161</v>
      </c>
      <c r="C167">
        <v>163.49</v>
      </c>
      <c r="D167">
        <v>166.09</v>
      </c>
      <c r="E167">
        <v>159.09</v>
      </c>
      <c r="F167" t="s">
        <v>1767</v>
      </c>
      <c r="G167" s="8">
        <v>-1.61E-2</v>
      </c>
      <c r="H167" s="3">
        <f t="shared" si="2"/>
        <v>-1.6132974822781643E-2</v>
      </c>
    </row>
    <row r="168" spans="1:8" x14ac:dyDescent="0.3">
      <c r="A168" s="7">
        <v>45625</v>
      </c>
      <c r="B168">
        <v>161.06</v>
      </c>
      <c r="C168">
        <v>161.16999999999999</v>
      </c>
      <c r="D168">
        <v>163.24</v>
      </c>
      <c r="E168">
        <v>160.35</v>
      </c>
      <c r="F168" t="s">
        <v>1766</v>
      </c>
      <c r="G168" s="8">
        <v>4.0000000000000002E-4</v>
      </c>
      <c r="H168" s="3">
        <f t="shared" si="2"/>
        <v>3.7267080745340131E-4</v>
      </c>
    </row>
    <row r="169" spans="1:8" x14ac:dyDescent="0.3">
      <c r="A169" s="7">
        <v>45628</v>
      </c>
      <c r="B169">
        <v>164.71</v>
      </c>
      <c r="C169">
        <v>162.35</v>
      </c>
      <c r="D169">
        <v>166.62</v>
      </c>
      <c r="E169">
        <v>162.35</v>
      </c>
      <c r="F169" t="s">
        <v>1765</v>
      </c>
      <c r="G169" s="8">
        <v>2.2700000000000001E-2</v>
      </c>
      <c r="H169" s="3">
        <f t="shared" si="2"/>
        <v>2.2662361852725743E-2</v>
      </c>
    </row>
    <row r="170" spans="1:8" x14ac:dyDescent="0.3">
      <c r="A170" s="7">
        <v>45629</v>
      </c>
      <c r="B170">
        <v>165.85</v>
      </c>
      <c r="C170">
        <v>163.9</v>
      </c>
      <c r="D170">
        <v>166.14</v>
      </c>
      <c r="E170">
        <v>161.94</v>
      </c>
      <c r="F170" t="s">
        <v>1764</v>
      </c>
      <c r="G170" s="8">
        <v>6.8999999999999999E-3</v>
      </c>
      <c r="H170" s="3">
        <f t="shared" si="2"/>
        <v>6.9212555400399722E-3</v>
      </c>
    </row>
    <row r="171" spans="1:8" x14ac:dyDescent="0.3">
      <c r="A171" s="7">
        <v>45630</v>
      </c>
      <c r="B171">
        <v>167.12</v>
      </c>
      <c r="C171">
        <v>165.19</v>
      </c>
      <c r="D171">
        <v>169.11</v>
      </c>
      <c r="E171">
        <v>165.19</v>
      </c>
      <c r="F171" t="s">
        <v>1763</v>
      </c>
      <c r="G171" s="8">
        <v>7.7000000000000002E-3</v>
      </c>
      <c r="H171" s="3">
        <f t="shared" si="2"/>
        <v>7.6575218570997805E-3</v>
      </c>
    </row>
    <row r="172" spans="1:8" x14ac:dyDescent="0.3">
      <c r="A172" s="7">
        <v>45631</v>
      </c>
      <c r="B172">
        <v>168.24</v>
      </c>
      <c r="C172">
        <v>167.61</v>
      </c>
      <c r="D172">
        <v>169.28</v>
      </c>
      <c r="E172">
        <v>165.45</v>
      </c>
      <c r="F172" t="s">
        <v>168</v>
      </c>
      <c r="G172" s="8">
        <v>6.7000000000000002E-3</v>
      </c>
      <c r="H172" s="3">
        <f t="shared" si="2"/>
        <v>6.7017711823840198E-3</v>
      </c>
    </row>
    <row r="173" spans="1:8" x14ac:dyDescent="0.3">
      <c r="A173" s="7">
        <v>45632</v>
      </c>
      <c r="B173">
        <v>165.71</v>
      </c>
      <c r="C173">
        <v>166.92</v>
      </c>
      <c r="D173">
        <v>168.33</v>
      </c>
      <c r="E173">
        <v>165.28</v>
      </c>
      <c r="F173" t="s">
        <v>1762</v>
      </c>
      <c r="G173" s="8">
        <v>-1.4999999999999999E-2</v>
      </c>
      <c r="H173" s="3">
        <f t="shared" si="2"/>
        <v>-1.5038040893960991E-2</v>
      </c>
    </row>
    <row r="174" spans="1:8" x14ac:dyDescent="0.3">
      <c r="A174" s="7">
        <v>45635</v>
      </c>
      <c r="B174">
        <v>167</v>
      </c>
      <c r="C174">
        <v>166.53</v>
      </c>
      <c r="D174">
        <v>168.44</v>
      </c>
      <c r="E174">
        <v>165.89</v>
      </c>
      <c r="F174" t="s">
        <v>988</v>
      </c>
      <c r="G174" s="8">
        <v>7.7999999999999996E-3</v>
      </c>
      <c r="H174" s="3">
        <f t="shared" si="2"/>
        <v>7.7846840866573341E-3</v>
      </c>
    </row>
    <row r="175" spans="1:8" x14ac:dyDescent="0.3">
      <c r="A175" s="7">
        <v>45636</v>
      </c>
      <c r="B175">
        <v>164.29</v>
      </c>
      <c r="C175">
        <v>167.19</v>
      </c>
      <c r="D175">
        <v>167.19</v>
      </c>
      <c r="E175">
        <v>163.58000000000001</v>
      </c>
      <c r="F175" t="s">
        <v>1761</v>
      </c>
      <c r="G175" s="8">
        <v>-1.6199999999999999E-2</v>
      </c>
      <c r="H175" s="3">
        <f t="shared" si="2"/>
        <v>-1.6227544910179637E-2</v>
      </c>
    </row>
    <row r="176" spans="1:8" x14ac:dyDescent="0.3">
      <c r="A176" s="7">
        <v>45637</v>
      </c>
      <c r="B176">
        <v>163.63999999999999</v>
      </c>
      <c r="C176">
        <v>162.97999999999999</v>
      </c>
      <c r="D176">
        <v>165.58</v>
      </c>
      <c r="E176">
        <v>162.97999999999999</v>
      </c>
      <c r="F176" t="s">
        <v>1760</v>
      </c>
      <c r="G176" s="8">
        <v>-4.0000000000000001E-3</v>
      </c>
      <c r="H176" s="3">
        <f t="shared" si="2"/>
        <v>-3.9564185282123798E-3</v>
      </c>
    </row>
    <row r="177" spans="1:8" x14ac:dyDescent="0.3">
      <c r="A177" s="7">
        <v>45639</v>
      </c>
      <c r="B177">
        <v>163.38999999999999</v>
      </c>
      <c r="C177">
        <v>163.27000000000001</v>
      </c>
      <c r="D177">
        <v>166.47</v>
      </c>
      <c r="E177">
        <v>162.34</v>
      </c>
      <c r="F177" t="s">
        <v>1759</v>
      </c>
      <c r="G177" s="8">
        <v>-1.5E-3</v>
      </c>
      <c r="H177" s="3">
        <f t="shared" si="2"/>
        <v>-1.5277438279149846E-3</v>
      </c>
    </row>
    <row r="178" spans="1:8" x14ac:dyDescent="0.3">
      <c r="A178" s="7">
        <v>45642</v>
      </c>
      <c r="B178">
        <v>163.11000000000001</v>
      </c>
      <c r="C178">
        <v>163.38999999999999</v>
      </c>
      <c r="D178">
        <v>165.35</v>
      </c>
      <c r="E178">
        <v>162.49</v>
      </c>
      <c r="F178" t="s">
        <v>1758</v>
      </c>
      <c r="G178" s="8">
        <v>-1.6999999999999999E-3</v>
      </c>
      <c r="H178" s="3">
        <f t="shared" si="2"/>
        <v>-1.7136911683699463E-3</v>
      </c>
    </row>
    <row r="179" spans="1:8" x14ac:dyDescent="0.3">
      <c r="A179" s="7">
        <v>45643</v>
      </c>
      <c r="B179">
        <v>165.5</v>
      </c>
      <c r="C179">
        <v>163.92</v>
      </c>
      <c r="D179">
        <v>166.72</v>
      </c>
      <c r="E179">
        <v>163.09</v>
      </c>
      <c r="F179" t="s">
        <v>1757</v>
      </c>
      <c r="G179" s="8">
        <v>1.47E-2</v>
      </c>
      <c r="H179" s="3">
        <f t="shared" si="2"/>
        <v>1.4652688369811706E-2</v>
      </c>
    </row>
    <row r="180" spans="1:8" x14ac:dyDescent="0.3">
      <c r="A180" s="7">
        <v>45644</v>
      </c>
      <c r="B180">
        <v>160.80000000000001</v>
      </c>
      <c r="C180">
        <v>164.02</v>
      </c>
      <c r="D180">
        <v>164.64</v>
      </c>
      <c r="E180">
        <v>160.30000000000001</v>
      </c>
      <c r="F180" t="s">
        <v>1756</v>
      </c>
      <c r="G180" s="8">
        <v>-2.8400000000000002E-2</v>
      </c>
      <c r="H180" s="3">
        <f t="shared" si="2"/>
        <v>-2.8398791540785395E-2</v>
      </c>
    </row>
    <row r="181" spans="1:8" x14ac:dyDescent="0.3">
      <c r="A181" s="7">
        <v>45645</v>
      </c>
      <c r="B181">
        <v>159.9</v>
      </c>
      <c r="C181">
        <v>160.52000000000001</v>
      </c>
      <c r="D181">
        <v>164.29</v>
      </c>
      <c r="E181">
        <v>159.54</v>
      </c>
      <c r="F181" t="s">
        <v>1755</v>
      </c>
      <c r="G181" s="8">
        <v>-5.5999999999999999E-3</v>
      </c>
      <c r="H181" s="3">
        <f t="shared" si="2"/>
        <v>-5.5970149253731227E-3</v>
      </c>
    </row>
    <row r="182" spans="1:8" x14ac:dyDescent="0.3">
      <c r="A182" s="7">
        <v>45646</v>
      </c>
      <c r="B182">
        <v>159.41</v>
      </c>
      <c r="C182">
        <v>160.01</v>
      </c>
      <c r="D182">
        <v>160.91</v>
      </c>
      <c r="E182">
        <v>158.84</v>
      </c>
      <c r="F182" t="s">
        <v>220</v>
      </c>
      <c r="G182" s="8">
        <v>-3.0999999999999999E-3</v>
      </c>
      <c r="H182" s="3">
        <f t="shared" si="2"/>
        <v>-3.0644152595372676E-3</v>
      </c>
    </row>
    <row r="183" spans="1:8" x14ac:dyDescent="0.3">
      <c r="A183" s="7">
        <v>45649</v>
      </c>
      <c r="B183">
        <v>159.22</v>
      </c>
      <c r="C183">
        <v>160.21</v>
      </c>
      <c r="D183">
        <v>160.66999999999999</v>
      </c>
      <c r="E183">
        <v>158.47999999999999</v>
      </c>
      <c r="F183" t="s">
        <v>1754</v>
      </c>
      <c r="G183" s="8">
        <v>-1.1999999999999999E-3</v>
      </c>
      <c r="H183" s="3">
        <f t="shared" si="2"/>
        <v>-1.1918951132300348E-3</v>
      </c>
    </row>
    <row r="184" spans="1:8" x14ac:dyDescent="0.3">
      <c r="A184" s="7">
        <v>45650</v>
      </c>
      <c r="B184">
        <v>158.41</v>
      </c>
      <c r="C184">
        <v>159.53</v>
      </c>
      <c r="D184">
        <v>162.97999999999999</v>
      </c>
      <c r="E184">
        <v>158.25</v>
      </c>
      <c r="F184" t="s">
        <v>1753</v>
      </c>
      <c r="G184" s="8">
        <v>-5.1000000000000004E-3</v>
      </c>
      <c r="H184" s="3">
        <f t="shared" si="2"/>
        <v>-5.0873005903780966E-3</v>
      </c>
    </row>
    <row r="185" spans="1:8" x14ac:dyDescent="0.3">
      <c r="A185" s="7">
        <v>45652</v>
      </c>
      <c r="B185">
        <v>158.93</v>
      </c>
      <c r="C185">
        <v>158.08000000000001</v>
      </c>
      <c r="D185">
        <v>159.5</v>
      </c>
      <c r="E185">
        <v>157.69</v>
      </c>
      <c r="F185" t="s">
        <v>1752</v>
      </c>
      <c r="G185" s="8">
        <v>3.3E-3</v>
      </c>
      <c r="H185" s="3">
        <f t="shared" si="2"/>
        <v>3.282621046651224E-3</v>
      </c>
    </row>
    <row r="186" spans="1:8" x14ac:dyDescent="0.3">
      <c r="A186" s="7">
        <v>45653</v>
      </c>
      <c r="B186">
        <v>159.55000000000001</v>
      </c>
      <c r="C186">
        <v>160.28</v>
      </c>
      <c r="D186">
        <v>160.69999999999999</v>
      </c>
      <c r="E186">
        <v>159.02000000000001</v>
      </c>
      <c r="F186" t="s">
        <v>1751</v>
      </c>
      <c r="G186" s="8">
        <v>3.8999999999999998E-3</v>
      </c>
      <c r="H186" s="3">
        <f t="shared" si="2"/>
        <v>3.9010885295414077E-3</v>
      </c>
    </row>
    <row r="187" spans="1:8" x14ac:dyDescent="0.3">
      <c r="A187" s="7">
        <v>45656</v>
      </c>
      <c r="B187">
        <v>160.18</v>
      </c>
      <c r="C187">
        <v>159.5</v>
      </c>
      <c r="D187">
        <v>160.78</v>
      </c>
      <c r="E187">
        <v>157.88</v>
      </c>
      <c r="F187" t="s">
        <v>1750</v>
      </c>
      <c r="G187" s="8">
        <v>3.8999999999999998E-3</v>
      </c>
      <c r="H187" s="3">
        <f t="shared" si="2"/>
        <v>3.9486054528361514E-3</v>
      </c>
    </row>
    <row r="188" spans="1:8" x14ac:dyDescent="0.3">
      <c r="A188" s="7">
        <v>45657</v>
      </c>
      <c r="B188">
        <v>161.99</v>
      </c>
      <c r="C188">
        <v>161.12</v>
      </c>
      <c r="D188">
        <v>162.79</v>
      </c>
      <c r="E188">
        <v>160.99</v>
      </c>
      <c r="F188" t="s">
        <v>1749</v>
      </c>
      <c r="G188" s="8">
        <v>1.1299999999999999E-2</v>
      </c>
      <c r="H188" s="3">
        <f t="shared" si="2"/>
        <v>1.1299787738793921E-2</v>
      </c>
    </row>
    <row r="189" spans="1:8" x14ac:dyDescent="0.3">
      <c r="A189" s="7">
        <v>45659</v>
      </c>
      <c r="B189">
        <v>159.93</v>
      </c>
      <c r="C189">
        <v>162.79</v>
      </c>
      <c r="D189">
        <v>163.76</v>
      </c>
      <c r="E189">
        <v>159.02000000000001</v>
      </c>
      <c r="F189" t="s">
        <v>1748</v>
      </c>
      <c r="G189" s="8">
        <v>-1.2699999999999999E-2</v>
      </c>
      <c r="H189" s="3">
        <f t="shared" si="2"/>
        <v>-1.2716834372492158E-2</v>
      </c>
    </row>
    <row r="190" spans="1:8" x14ac:dyDescent="0.3">
      <c r="A190" s="7">
        <v>45660</v>
      </c>
      <c r="B190">
        <v>157.13999999999999</v>
      </c>
      <c r="C190">
        <v>161</v>
      </c>
      <c r="D190">
        <v>161</v>
      </c>
      <c r="E190">
        <v>156.76</v>
      </c>
      <c r="F190" t="s">
        <v>1747</v>
      </c>
      <c r="G190" s="8">
        <v>-1.7399999999999999E-2</v>
      </c>
      <c r="H190" s="3">
        <f t="shared" si="2"/>
        <v>-1.7445132245357486E-2</v>
      </c>
    </row>
    <row r="191" spans="1:8" x14ac:dyDescent="0.3">
      <c r="A191" s="7">
        <v>45663</v>
      </c>
      <c r="B191">
        <v>154.81</v>
      </c>
      <c r="C191">
        <v>156.75</v>
      </c>
      <c r="D191">
        <v>158.75</v>
      </c>
      <c r="E191">
        <v>154</v>
      </c>
      <c r="F191" t="s">
        <v>1746</v>
      </c>
      <c r="G191" s="8">
        <v>-1.4800000000000001E-2</v>
      </c>
      <c r="H191" s="3">
        <f t="shared" si="2"/>
        <v>-1.4827542318951115E-2</v>
      </c>
    </row>
    <row r="192" spans="1:8" x14ac:dyDescent="0.3">
      <c r="A192" s="7">
        <v>45664</v>
      </c>
      <c r="B192">
        <v>154.91999999999999</v>
      </c>
      <c r="C192">
        <v>155.31</v>
      </c>
      <c r="D192">
        <v>157.91999999999999</v>
      </c>
      <c r="E192">
        <v>154.56</v>
      </c>
      <c r="F192" t="s">
        <v>1745</v>
      </c>
      <c r="G192" s="8">
        <v>6.9999999999999999E-4</v>
      </c>
      <c r="H192" s="3">
        <f t="shared" si="2"/>
        <v>7.1054841418494163E-4</v>
      </c>
    </row>
    <row r="193" spans="1:8" x14ac:dyDescent="0.3">
      <c r="A193" s="7">
        <v>45665</v>
      </c>
      <c r="B193">
        <v>154.72999999999999</v>
      </c>
      <c r="C193">
        <v>155.16999999999999</v>
      </c>
      <c r="D193">
        <v>155.4</v>
      </c>
      <c r="E193">
        <v>153.38</v>
      </c>
      <c r="F193" t="s">
        <v>104</v>
      </c>
      <c r="G193" s="8">
        <v>-1.1999999999999999E-3</v>
      </c>
      <c r="H193" s="3">
        <f t="shared" si="2"/>
        <v>-1.2264394526206868E-3</v>
      </c>
    </row>
    <row r="194" spans="1:8" x14ac:dyDescent="0.3">
      <c r="A194" s="7">
        <v>45666</v>
      </c>
      <c r="B194">
        <v>150.5</v>
      </c>
      <c r="C194">
        <v>155.28</v>
      </c>
      <c r="D194">
        <v>157.91999999999999</v>
      </c>
      <c r="E194">
        <v>149.44999999999999</v>
      </c>
      <c r="F194" t="s">
        <v>1744</v>
      </c>
      <c r="G194" s="8">
        <v>-2.7300000000000001E-2</v>
      </c>
      <c r="H194" s="3">
        <f t="shared" si="2"/>
        <v>-2.7337943514509133E-2</v>
      </c>
    </row>
    <row r="195" spans="1:8" x14ac:dyDescent="0.3">
      <c r="A195" s="7">
        <v>45667</v>
      </c>
      <c r="B195">
        <v>154.37</v>
      </c>
      <c r="C195">
        <v>153.97999999999999</v>
      </c>
      <c r="D195">
        <v>156.25</v>
      </c>
      <c r="E195">
        <v>150.5</v>
      </c>
      <c r="F195" t="s">
        <v>1743</v>
      </c>
      <c r="G195" s="8">
        <v>2.5700000000000001E-2</v>
      </c>
      <c r="H195" s="3">
        <f t="shared" si="2"/>
        <v>2.5714285714285801E-2</v>
      </c>
    </row>
    <row r="196" spans="1:8" x14ac:dyDescent="0.3">
      <c r="A196" s="7">
        <v>45670</v>
      </c>
      <c r="B196">
        <v>156.97</v>
      </c>
      <c r="C196">
        <v>154.46</v>
      </c>
      <c r="D196">
        <v>157.33000000000001</v>
      </c>
      <c r="E196">
        <v>154.46</v>
      </c>
      <c r="F196" t="s">
        <v>1742</v>
      </c>
      <c r="G196" s="8">
        <v>1.6799999999999999E-2</v>
      </c>
      <c r="H196" s="3">
        <f t="shared" ref="H196:H250" si="3">(B196/B195)-1</f>
        <v>1.6842650774114176E-2</v>
      </c>
    </row>
    <row r="197" spans="1:8" x14ac:dyDescent="0.3">
      <c r="A197" s="7">
        <v>45671</v>
      </c>
      <c r="B197">
        <v>156.97999999999999</v>
      </c>
      <c r="C197">
        <v>156.69</v>
      </c>
      <c r="D197">
        <v>158.38999999999999</v>
      </c>
      <c r="E197">
        <v>155.94999999999999</v>
      </c>
      <c r="F197" t="s">
        <v>1741</v>
      </c>
      <c r="G197" s="8">
        <v>1E-4</v>
      </c>
      <c r="H197" s="3">
        <f t="shared" si="3"/>
        <v>6.3706440721178481E-5</v>
      </c>
    </row>
    <row r="198" spans="1:8" x14ac:dyDescent="0.3">
      <c r="A198" s="7">
        <v>45672</v>
      </c>
      <c r="B198">
        <v>155.77000000000001</v>
      </c>
      <c r="C198">
        <v>157.84</v>
      </c>
      <c r="D198">
        <v>159.44</v>
      </c>
      <c r="E198">
        <v>155.41</v>
      </c>
      <c r="F198" t="s">
        <v>1740</v>
      </c>
      <c r="G198" s="8">
        <v>-7.7000000000000002E-3</v>
      </c>
      <c r="H198" s="3">
        <f t="shared" si="3"/>
        <v>-7.7079882787615128E-3</v>
      </c>
    </row>
    <row r="199" spans="1:8" x14ac:dyDescent="0.3">
      <c r="A199" s="7">
        <v>45673</v>
      </c>
      <c r="B199">
        <v>158.97</v>
      </c>
      <c r="C199">
        <v>156.35</v>
      </c>
      <c r="D199">
        <v>159.29</v>
      </c>
      <c r="E199">
        <v>155.86000000000001</v>
      </c>
      <c r="F199" t="s">
        <v>1739</v>
      </c>
      <c r="G199" s="8">
        <v>2.0500000000000001E-2</v>
      </c>
      <c r="H199" s="3">
        <f t="shared" si="3"/>
        <v>2.0543108429094126E-2</v>
      </c>
    </row>
    <row r="200" spans="1:8" x14ac:dyDescent="0.3">
      <c r="A200" s="7">
        <v>45674</v>
      </c>
      <c r="B200">
        <v>157.63</v>
      </c>
      <c r="C200">
        <v>159.76</v>
      </c>
      <c r="D200">
        <v>160.54</v>
      </c>
      <c r="E200">
        <v>157.31</v>
      </c>
      <c r="F200" t="s">
        <v>1738</v>
      </c>
      <c r="G200" s="8">
        <v>-8.3999999999999995E-3</v>
      </c>
      <c r="H200" s="3">
        <f t="shared" si="3"/>
        <v>-8.4292633830282959E-3</v>
      </c>
    </row>
    <row r="201" spans="1:8" x14ac:dyDescent="0.3">
      <c r="A201" s="7">
        <v>45677</v>
      </c>
      <c r="B201">
        <v>159.05000000000001</v>
      </c>
      <c r="C201">
        <v>159.16999999999999</v>
      </c>
      <c r="D201">
        <v>160.03</v>
      </c>
      <c r="E201">
        <v>158.43</v>
      </c>
      <c r="F201" t="s">
        <v>1737</v>
      </c>
      <c r="G201" s="8">
        <v>8.9999999999999993E-3</v>
      </c>
      <c r="H201" s="3">
        <f t="shared" si="3"/>
        <v>9.0084374801751022E-3</v>
      </c>
    </row>
    <row r="202" spans="1:8" x14ac:dyDescent="0.3">
      <c r="A202" s="7">
        <v>45678</v>
      </c>
      <c r="B202">
        <v>155.88</v>
      </c>
      <c r="C202">
        <v>159.66</v>
      </c>
      <c r="D202">
        <v>159.66</v>
      </c>
      <c r="E202">
        <v>155.26</v>
      </c>
      <c r="F202" t="s">
        <v>1736</v>
      </c>
      <c r="G202" s="8">
        <v>-1.9900000000000001E-2</v>
      </c>
      <c r="H202" s="3">
        <f t="shared" si="3"/>
        <v>-1.9930839358692332E-2</v>
      </c>
    </row>
    <row r="203" spans="1:8" x14ac:dyDescent="0.3">
      <c r="A203" s="7">
        <v>45679</v>
      </c>
      <c r="B203">
        <v>154.16999999999999</v>
      </c>
      <c r="C203">
        <v>155.75</v>
      </c>
      <c r="D203">
        <v>155.75</v>
      </c>
      <c r="E203">
        <v>149.16999999999999</v>
      </c>
      <c r="F203" t="s">
        <v>235</v>
      </c>
      <c r="G203" s="8">
        <v>-1.0999999999999999E-2</v>
      </c>
      <c r="H203" s="3">
        <f t="shared" si="3"/>
        <v>-1.0969976905311873E-2</v>
      </c>
    </row>
    <row r="204" spans="1:8" x14ac:dyDescent="0.3">
      <c r="A204" s="7">
        <v>45680</v>
      </c>
      <c r="B204">
        <v>153.01</v>
      </c>
      <c r="C204">
        <v>154.19999999999999</v>
      </c>
      <c r="D204">
        <v>155.28</v>
      </c>
      <c r="E204">
        <v>152.83000000000001</v>
      </c>
      <c r="F204" t="s">
        <v>281</v>
      </c>
      <c r="G204" s="8">
        <v>-7.4999999999999997E-3</v>
      </c>
      <c r="H204" s="3">
        <f t="shared" si="3"/>
        <v>-7.5241616397483391E-3</v>
      </c>
    </row>
    <row r="205" spans="1:8" x14ac:dyDescent="0.3">
      <c r="A205" s="7">
        <v>45681</v>
      </c>
      <c r="B205">
        <v>154.93</v>
      </c>
      <c r="C205">
        <v>152.32</v>
      </c>
      <c r="D205">
        <v>156.19999999999999</v>
      </c>
      <c r="E205">
        <v>152.32</v>
      </c>
      <c r="F205" t="s">
        <v>256</v>
      </c>
      <c r="G205" s="8">
        <v>1.2500000000000001E-2</v>
      </c>
      <c r="H205" s="3">
        <f t="shared" si="3"/>
        <v>1.2548199464087473E-2</v>
      </c>
    </row>
    <row r="206" spans="1:8" x14ac:dyDescent="0.3">
      <c r="A206" s="7">
        <v>45684</v>
      </c>
      <c r="B206">
        <v>161.04</v>
      </c>
      <c r="C206">
        <v>155.97999999999999</v>
      </c>
      <c r="D206">
        <v>161.68</v>
      </c>
      <c r="E206">
        <v>155.78</v>
      </c>
      <c r="F206" t="s">
        <v>1735</v>
      </c>
      <c r="G206" s="8">
        <v>3.9399999999999998E-2</v>
      </c>
      <c r="H206" s="3">
        <f t="shared" si="3"/>
        <v>3.9437165171367639E-2</v>
      </c>
    </row>
    <row r="207" spans="1:8" x14ac:dyDescent="0.3">
      <c r="A207" s="7">
        <v>45685</v>
      </c>
      <c r="B207">
        <v>159.99</v>
      </c>
      <c r="C207">
        <v>161.04</v>
      </c>
      <c r="D207">
        <v>161.1</v>
      </c>
      <c r="E207">
        <v>156.38</v>
      </c>
      <c r="F207" t="s">
        <v>281</v>
      </c>
      <c r="G207" s="8">
        <v>-6.4999999999999997E-3</v>
      </c>
      <c r="H207" s="3">
        <f t="shared" si="3"/>
        <v>-6.5201192250371465E-3</v>
      </c>
    </row>
    <row r="208" spans="1:8" x14ac:dyDescent="0.3">
      <c r="A208" s="7">
        <v>45686</v>
      </c>
      <c r="B208">
        <v>163.37</v>
      </c>
      <c r="C208">
        <v>160</v>
      </c>
      <c r="D208">
        <v>164.64</v>
      </c>
      <c r="E208">
        <v>160</v>
      </c>
      <c r="F208" t="s">
        <v>1072</v>
      </c>
      <c r="G208" s="8">
        <v>2.1100000000000001E-2</v>
      </c>
      <c r="H208" s="3">
        <f t="shared" si="3"/>
        <v>2.1126320395024711E-2</v>
      </c>
    </row>
    <row r="209" spans="1:8" x14ac:dyDescent="0.3">
      <c r="A209" s="7">
        <v>45687</v>
      </c>
      <c r="B209">
        <v>164.1</v>
      </c>
      <c r="C209">
        <v>163.12</v>
      </c>
      <c r="D209">
        <v>165.9</v>
      </c>
      <c r="E209">
        <v>161.52000000000001</v>
      </c>
      <c r="F209" t="s">
        <v>1734</v>
      </c>
      <c r="G209" s="8">
        <v>4.4999999999999997E-3</v>
      </c>
      <c r="H209" s="3">
        <f t="shared" si="3"/>
        <v>4.4683846483442036E-3</v>
      </c>
    </row>
    <row r="210" spans="1:8" x14ac:dyDescent="0.3">
      <c r="A210" s="7">
        <v>45688</v>
      </c>
      <c r="B210">
        <v>162.79</v>
      </c>
      <c r="C210">
        <v>163.72999999999999</v>
      </c>
      <c r="D210">
        <v>165.49</v>
      </c>
      <c r="E210">
        <v>162.16</v>
      </c>
      <c r="F210" t="s">
        <v>1733</v>
      </c>
      <c r="G210" s="8">
        <v>-8.0000000000000002E-3</v>
      </c>
      <c r="H210" s="3">
        <f t="shared" si="3"/>
        <v>-7.9829372333942716E-3</v>
      </c>
    </row>
    <row r="211" spans="1:8" x14ac:dyDescent="0.3">
      <c r="A211" s="7">
        <v>45692</v>
      </c>
      <c r="B211">
        <v>159.26</v>
      </c>
      <c r="C211">
        <v>163</v>
      </c>
      <c r="D211">
        <v>163</v>
      </c>
      <c r="E211">
        <v>157.46</v>
      </c>
      <c r="F211" t="s">
        <v>1732</v>
      </c>
      <c r="G211" s="8">
        <v>-2.1700000000000001E-2</v>
      </c>
      <c r="H211" s="3">
        <f t="shared" si="3"/>
        <v>-2.1684378647337077E-2</v>
      </c>
    </row>
    <row r="212" spans="1:8" x14ac:dyDescent="0.3">
      <c r="A212" s="7">
        <v>45693</v>
      </c>
      <c r="B212">
        <v>159.72999999999999</v>
      </c>
      <c r="C212">
        <v>159.86000000000001</v>
      </c>
      <c r="D212">
        <v>161.86000000000001</v>
      </c>
      <c r="E212">
        <v>159</v>
      </c>
      <c r="F212" t="s">
        <v>1731</v>
      </c>
      <c r="G212" s="8">
        <v>3.0000000000000001E-3</v>
      </c>
      <c r="H212" s="3">
        <f t="shared" si="3"/>
        <v>2.9511490644229532E-3</v>
      </c>
    </row>
    <row r="213" spans="1:8" x14ac:dyDescent="0.3">
      <c r="A213" s="7">
        <v>45694</v>
      </c>
      <c r="B213">
        <v>160.61000000000001</v>
      </c>
      <c r="C213">
        <v>160.66999999999999</v>
      </c>
      <c r="D213">
        <v>162.65</v>
      </c>
      <c r="E213">
        <v>159.68</v>
      </c>
      <c r="F213" t="s">
        <v>1730</v>
      </c>
      <c r="G213" s="8">
        <v>5.4999999999999997E-3</v>
      </c>
      <c r="H213" s="3">
        <f t="shared" si="3"/>
        <v>5.5092969385839297E-3</v>
      </c>
    </row>
    <row r="214" spans="1:8" x14ac:dyDescent="0.3">
      <c r="A214" s="7">
        <v>45695</v>
      </c>
      <c r="B214">
        <v>159.88999999999999</v>
      </c>
      <c r="C214">
        <v>160.94999999999999</v>
      </c>
      <c r="D214">
        <v>161.09</v>
      </c>
      <c r="E214">
        <v>158.69999999999999</v>
      </c>
      <c r="F214" t="s">
        <v>1729</v>
      </c>
      <c r="G214" s="8">
        <v>-4.4999999999999997E-3</v>
      </c>
      <c r="H214" s="3">
        <f t="shared" si="3"/>
        <v>-4.4829089097816466E-3</v>
      </c>
    </row>
    <row r="215" spans="1:8" x14ac:dyDescent="0.3">
      <c r="A215" s="7">
        <v>45698</v>
      </c>
      <c r="B215">
        <v>162.19</v>
      </c>
      <c r="C215">
        <v>160.29</v>
      </c>
      <c r="D215">
        <v>162.6</v>
      </c>
      <c r="E215">
        <v>159.26</v>
      </c>
      <c r="F215" t="s">
        <v>1728</v>
      </c>
      <c r="G215" s="8">
        <v>1.44E-2</v>
      </c>
      <c r="H215" s="3">
        <f t="shared" si="3"/>
        <v>1.4384889611608109E-2</v>
      </c>
    </row>
    <row r="216" spans="1:8" x14ac:dyDescent="0.3">
      <c r="A216" s="7">
        <v>45699</v>
      </c>
      <c r="B216">
        <v>162.47999999999999</v>
      </c>
      <c r="C216">
        <v>162.54</v>
      </c>
      <c r="D216">
        <v>162.97999999999999</v>
      </c>
      <c r="E216">
        <v>159.61000000000001</v>
      </c>
      <c r="F216" t="s">
        <v>281</v>
      </c>
      <c r="G216" s="8">
        <v>1.8E-3</v>
      </c>
      <c r="H216" s="3">
        <f t="shared" si="3"/>
        <v>1.7880263888032655E-3</v>
      </c>
    </row>
    <row r="217" spans="1:8" x14ac:dyDescent="0.3">
      <c r="A217" s="7">
        <v>45700</v>
      </c>
      <c r="B217">
        <v>170.71</v>
      </c>
      <c r="C217">
        <v>160.87</v>
      </c>
      <c r="D217">
        <v>171.29</v>
      </c>
      <c r="E217">
        <v>160.87</v>
      </c>
      <c r="F217" t="s">
        <v>1072</v>
      </c>
      <c r="G217" s="8">
        <v>5.0700000000000002E-2</v>
      </c>
      <c r="H217" s="3">
        <f t="shared" si="3"/>
        <v>5.0652387986213743E-2</v>
      </c>
    </row>
    <row r="218" spans="1:8" x14ac:dyDescent="0.3">
      <c r="A218" s="7">
        <v>45701</v>
      </c>
      <c r="B218">
        <v>173.02</v>
      </c>
      <c r="C218">
        <v>171.29</v>
      </c>
      <c r="D218">
        <v>173.61</v>
      </c>
      <c r="E218">
        <v>169</v>
      </c>
      <c r="F218" t="s">
        <v>127</v>
      </c>
      <c r="G218" s="8">
        <v>1.35E-2</v>
      </c>
      <c r="H218" s="3">
        <f t="shared" si="3"/>
        <v>1.3531720461601449E-2</v>
      </c>
    </row>
    <row r="219" spans="1:8" x14ac:dyDescent="0.3">
      <c r="A219" s="7">
        <v>45702</v>
      </c>
      <c r="B219">
        <v>170.68</v>
      </c>
      <c r="C219">
        <v>172.17</v>
      </c>
      <c r="D219">
        <v>173.6</v>
      </c>
      <c r="E219">
        <v>170.12</v>
      </c>
      <c r="F219" t="s">
        <v>1727</v>
      </c>
      <c r="G219" s="8">
        <v>-1.35E-2</v>
      </c>
      <c r="H219" s="3">
        <f t="shared" si="3"/>
        <v>-1.3524448040688974E-2</v>
      </c>
    </row>
    <row r="220" spans="1:8" x14ac:dyDescent="0.3">
      <c r="A220" s="7">
        <v>45705</v>
      </c>
      <c r="B220">
        <v>173.33</v>
      </c>
      <c r="C220">
        <v>171.48</v>
      </c>
      <c r="D220">
        <v>173.49</v>
      </c>
      <c r="E220">
        <v>170.64</v>
      </c>
      <c r="F220" t="s">
        <v>1726</v>
      </c>
      <c r="G220" s="8">
        <v>1.55E-2</v>
      </c>
      <c r="H220" s="3">
        <f t="shared" si="3"/>
        <v>1.5526130771033486E-2</v>
      </c>
    </row>
    <row r="221" spans="1:8" x14ac:dyDescent="0.3">
      <c r="A221" s="7">
        <v>45706</v>
      </c>
      <c r="B221">
        <v>172.33</v>
      </c>
      <c r="C221">
        <v>170.65</v>
      </c>
      <c r="D221">
        <v>172.94</v>
      </c>
      <c r="E221">
        <v>169.45</v>
      </c>
      <c r="F221" t="s">
        <v>1725</v>
      </c>
      <c r="G221" s="8">
        <v>-5.7999999999999996E-3</v>
      </c>
      <c r="H221" s="3">
        <f t="shared" si="3"/>
        <v>-5.7693417181099438E-3</v>
      </c>
    </row>
    <row r="222" spans="1:8" x14ac:dyDescent="0.3">
      <c r="A222" s="7">
        <v>45707</v>
      </c>
      <c r="B222">
        <v>172.75</v>
      </c>
      <c r="C222">
        <v>172.69</v>
      </c>
      <c r="D222">
        <v>173.5</v>
      </c>
      <c r="E222">
        <v>171.25</v>
      </c>
      <c r="F222" t="s">
        <v>1724</v>
      </c>
      <c r="G222" s="8">
        <v>2.3999999999999998E-3</v>
      </c>
      <c r="H222" s="3">
        <f t="shared" si="3"/>
        <v>2.4371844716530866E-3</v>
      </c>
    </row>
    <row r="223" spans="1:8" x14ac:dyDescent="0.3">
      <c r="A223" s="7">
        <v>45708</v>
      </c>
      <c r="B223">
        <v>172.1</v>
      </c>
      <c r="C223">
        <v>171.55</v>
      </c>
      <c r="D223">
        <v>172.69</v>
      </c>
      <c r="E223">
        <v>169.56</v>
      </c>
      <c r="F223" t="s">
        <v>1723</v>
      </c>
      <c r="G223" s="8">
        <v>-3.8E-3</v>
      </c>
      <c r="H223" s="3">
        <f t="shared" si="3"/>
        <v>-3.7626628075253521E-3</v>
      </c>
    </row>
    <row r="224" spans="1:8" x14ac:dyDescent="0.3">
      <c r="A224" s="7">
        <v>45709</v>
      </c>
      <c r="B224">
        <v>180.78</v>
      </c>
      <c r="C224">
        <v>171.92</v>
      </c>
      <c r="D224">
        <v>181.81</v>
      </c>
      <c r="E224">
        <v>171.32</v>
      </c>
      <c r="F224" t="s">
        <v>1722</v>
      </c>
      <c r="G224" s="8">
        <v>5.04E-2</v>
      </c>
      <c r="H224" s="3">
        <f t="shared" si="3"/>
        <v>5.0435793143521312E-2</v>
      </c>
    </row>
    <row r="225" spans="1:8" x14ac:dyDescent="0.3">
      <c r="A225" s="7">
        <v>45712</v>
      </c>
      <c r="B225">
        <v>181.5</v>
      </c>
      <c r="C225">
        <v>179.84</v>
      </c>
      <c r="D225">
        <v>181.91</v>
      </c>
      <c r="E225">
        <v>177.52</v>
      </c>
      <c r="F225" t="s">
        <v>1721</v>
      </c>
      <c r="G225" s="8">
        <v>4.0000000000000001E-3</v>
      </c>
      <c r="H225" s="3">
        <f t="shared" si="3"/>
        <v>3.982741453700589E-3</v>
      </c>
    </row>
    <row r="226" spans="1:8" x14ac:dyDescent="0.3">
      <c r="A226" s="7">
        <v>45713</v>
      </c>
      <c r="B226">
        <v>179.29</v>
      </c>
      <c r="C226">
        <v>180.64</v>
      </c>
      <c r="D226">
        <v>182.8</v>
      </c>
      <c r="E226">
        <v>178.13</v>
      </c>
      <c r="F226" t="s">
        <v>1720</v>
      </c>
      <c r="G226" s="8">
        <v>-1.2200000000000001E-2</v>
      </c>
      <c r="H226" s="3">
        <f t="shared" si="3"/>
        <v>-1.2176308539945002E-2</v>
      </c>
    </row>
    <row r="227" spans="1:8" x14ac:dyDescent="0.3">
      <c r="A227" s="7">
        <v>45714</v>
      </c>
      <c r="B227">
        <v>177.14</v>
      </c>
      <c r="C227">
        <v>179.58</v>
      </c>
      <c r="D227">
        <v>180.99</v>
      </c>
      <c r="E227">
        <v>176.41</v>
      </c>
      <c r="F227" t="s">
        <v>1069</v>
      </c>
      <c r="G227" s="8">
        <v>-1.2E-2</v>
      </c>
      <c r="H227" s="3">
        <f t="shared" si="3"/>
        <v>-1.1991745217245886E-2</v>
      </c>
    </row>
    <row r="228" spans="1:8" x14ac:dyDescent="0.3">
      <c r="A228" s="7">
        <v>45715</v>
      </c>
      <c r="B228">
        <v>182.13</v>
      </c>
      <c r="C228">
        <v>176.03</v>
      </c>
      <c r="D228">
        <v>183.04</v>
      </c>
      <c r="E228">
        <v>176.03</v>
      </c>
      <c r="F228" t="s">
        <v>1719</v>
      </c>
      <c r="G228" s="8">
        <v>2.8199999999999999E-2</v>
      </c>
      <c r="H228" s="3">
        <f t="shared" si="3"/>
        <v>2.8169809190470962E-2</v>
      </c>
    </row>
    <row r="229" spans="1:8" x14ac:dyDescent="0.3">
      <c r="A229" s="7">
        <v>45716</v>
      </c>
      <c r="B229">
        <v>183.01</v>
      </c>
      <c r="C229">
        <v>182</v>
      </c>
      <c r="D229">
        <v>183.79</v>
      </c>
      <c r="E229">
        <v>179.75</v>
      </c>
      <c r="F229" t="s">
        <v>162</v>
      </c>
      <c r="G229" s="8">
        <v>4.7999999999999996E-3</v>
      </c>
      <c r="H229" s="3">
        <f t="shared" si="3"/>
        <v>4.8317136111568626E-3</v>
      </c>
    </row>
    <row r="230" spans="1:8" x14ac:dyDescent="0.3">
      <c r="A230" s="7">
        <v>45719</v>
      </c>
      <c r="B230">
        <v>179.46</v>
      </c>
      <c r="C230">
        <v>182.49</v>
      </c>
      <c r="D230">
        <v>185.83</v>
      </c>
      <c r="E230">
        <v>179.04</v>
      </c>
      <c r="F230" t="s">
        <v>1718</v>
      </c>
      <c r="G230" s="8">
        <v>-1.9400000000000001E-2</v>
      </c>
      <c r="H230" s="3">
        <f t="shared" si="3"/>
        <v>-1.9397847112179623E-2</v>
      </c>
    </row>
    <row r="231" spans="1:8" x14ac:dyDescent="0.3">
      <c r="A231" s="7">
        <v>45720</v>
      </c>
      <c r="B231">
        <v>182.11</v>
      </c>
      <c r="C231">
        <v>178.56</v>
      </c>
      <c r="D231">
        <v>183.36</v>
      </c>
      <c r="E231">
        <v>178.13</v>
      </c>
      <c r="F231" t="s">
        <v>255</v>
      </c>
      <c r="G231" s="8">
        <v>1.4800000000000001E-2</v>
      </c>
      <c r="H231" s="3">
        <f t="shared" si="3"/>
        <v>1.4766521787584974E-2</v>
      </c>
    </row>
    <row r="232" spans="1:8" x14ac:dyDescent="0.3">
      <c r="A232" s="7">
        <v>45721</v>
      </c>
      <c r="B232">
        <v>178.4</v>
      </c>
      <c r="C232">
        <v>181.96</v>
      </c>
      <c r="D232">
        <v>182.49</v>
      </c>
      <c r="E232">
        <v>177.84</v>
      </c>
      <c r="F232" t="s">
        <v>1717</v>
      </c>
      <c r="G232" s="8">
        <v>-2.0400000000000001E-2</v>
      </c>
      <c r="H232" s="3">
        <f t="shared" si="3"/>
        <v>-2.0372302454560454E-2</v>
      </c>
    </row>
    <row r="233" spans="1:8" x14ac:dyDescent="0.3">
      <c r="A233" s="7">
        <v>45722</v>
      </c>
      <c r="B233">
        <v>177.01</v>
      </c>
      <c r="C233">
        <v>177.38</v>
      </c>
      <c r="D233">
        <v>179.35</v>
      </c>
      <c r="E233">
        <v>175.8</v>
      </c>
      <c r="F233" t="s">
        <v>1716</v>
      </c>
      <c r="G233" s="8">
        <v>-7.7999999999999996E-3</v>
      </c>
      <c r="H233" s="3">
        <f t="shared" si="3"/>
        <v>-7.791479820627889E-3</v>
      </c>
    </row>
    <row r="234" spans="1:8" x14ac:dyDescent="0.3">
      <c r="A234" s="7">
        <v>45723</v>
      </c>
      <c r="B234">
        <v>174.94</v>
      </c>
      <c r="C234">
        <v>176.12</v>
      </c>
      <c r="D234">
        <v>177.63</v>
      </c>
      <c r="E234">
        <v>174.15</v>
      </c>
      <c r="F234" t="s">
        <v>1715</v>
      </c>
      <c r="G234" s="8">
        <v>-1.17E-2</v>
      </c>
      <c r="H234" s="3">
        <f t="shared" si="3"/>
        <v>-1.1694254561889106E-2</v>
      </c>
    </row>
    <row r="235" spans="1:8" x14ac:dyDescent="0.3">
      <c r="A235" s="7">
        <v>45726</v>
      </c>
      <c r="B235">
        <v>173.03</v>
      </c>
      <c r="C235">
        <v>174.45</v>
      </c>
      <c r="D235">
        <v>176.99</v>
      </c>
      <c r="E235">
        <v>171.19</v>
      </c>
      <c r="F235" t="s">
        <v>1714</v>
      </c>
      <c r="G235" s="8">
        <v>-1.09E-2</v>
      </c>
      <c r="H235" s="3">
        <f t="shared" si="3"/>
        <v>-1.0918029038527455E-2</v>
      </c>
    </row>
    <row r="236" spans="1:8" x14ac:dyDescent="0.3">
      <c r="A236" s="7">
        <v>45727</v>
      </c>
      <c r="B236">
        <v>174.42</v>
      </c>
      <c r="C236">
        <v>171.98</v>
      </c>
      <c r="D236">
        <v>175.25</v>
      </c>
      <c r="E236">
        <v>171.47</v>
      </c>
      <c r="F236" t="s">
        <v>1713</v>
      </c>
      <c r="G236" s="8">
        <v>8.0000000000000002E-3</v>
      </c>
      <c r="H236" s="3">
        <f t="shared" si="3"/>
        <v>8.033289025024537E-3</v>
      </c>
    </row>
    <row r="237" spans="1:8" x14ac:dyDescent="0.3">
      <c r="A237" s="7">
        <v>45728</v>
      </c>
      <c r="B237">
        <v>178.26</v>
      </c>
      <c r="C237">
        <v>175.28</v>
      </c>
      <c r="D237">
        <v>178.9</v>
      </c>
      <c r="E237">
        <v>173.42</v>
      </c>
      <c r="F237" t="s">
        <v>1712</v>
      </c>
      <c r="G237" s="8">
        <v>2.1999999999999999E-2</v>
      </c>
      <c r="H237" s="3">
        <f t="shared" si="3"/>
        <v>2.2015823873408946E-2</v>
      </c>
    </row>
    <row r="238" spans="1:8" x14ac:dyDescent="0.3">
      <c r="A238" s="7">
        <v>45729</v>
      </c>
      <c r="B238">
        <v>176.49</v>
      </c>
      <c r="C238">
        <v>178.45</v>
      </c>
      <c r="D238">
        <v>179.48</v>
      </c>
      <c r="E238">
        <v>175.63</v>
      </c>
      <c r="F238" t="s">
        <v>1711</v>
      </c>
      <c r="G238" s="8">
        <v>-9.9000000000000008E-3</v>
      </c>
      <c r="H238" s="3">
        <f t="shared" si="3"/>
        <v>-9.9293167283741601E-3</v>
      </c>
    </row>
    <row r="239" spans="1:8" x14ac:dyDescent="0.3">
      <c r="A239" s="7">
        <v>45730</v>
      </c>
      <c r="B239">
        <v>177.78</v>
      </c>
      <c r="C239">
        <v>176.27</v>
      </c>
      <c r="D239">
        <v>178.4</v>
      </c>
      <c r="E239">
        <v>176.25</v>
      </c>
      <c r="F239" t="s">
        <v>1710</v>
      </c>
      <c r="G239" s="8">
        <v>7.3000000000000001E-3</v>
      </c>
      <c r="H239" s="3">
        <f t="shared" si="3"/>
        <v>7.3091959884412638E-3</v>
      </c>
    </row>
    <row r="240" spans="1:8" x14ac:dyDescent="0.3">
      <c r="A240" s="7">
        <v>45734</v>
      </c>
      <c r="B240">
        <v>178.37</v>
      </c>
      <c r="C240">
        <v>179.48</v>
      </c>
      <c r="D240">
        <v>180</v>
      </c>
      <c r="E240">
        <v>177.15</v>
      </c>
      <c r="F240" t="s">
        <v>1709</v>
      </c>
      <c r="G240" s="8">
        <v>3.3E-3</v>
      </c>
      <c r="H240" s="3">
        <f t="shared" si="3"/>
        <v>3.3187085161434648E-3</v>
      </c>
    </row>
    <row r="241" spans="1:8" x14ac:dyDescent="0.3">
      <c r="A241" s="7">
        <v>45735</v>
      </c>
      <c r="B241">
        <v>178.93</v>
      </c>
      <c r="C241">
        <v>178.4</v>
      </c>
      <c r="D241">
        <v>180</v>
      </c>
      <c r="E241">
        <v>177.06</v>
      </c>
      <c r="F241" t="s">
        <v>1708</v>
      </c>
      <c r="G241" s="8">
        <v>3.0999999999999999E-3</v>
      </c>
      <c r="H241" s="3">
        <f t="shared" si="3"/>
        <v>3.1395414027022284E-3</v>
      </c>
    </row>
    <row r="242" spans="1:8" x14ac:dyDescent="0.3">
      <c r="A242" s="7">
        <v>45736</v>
      </c>
      <c r="B242">
        <v>183.11</v>
      </c>
      <c r="C242">
        <v>179.08</v>
      </c>
      <c r="D242">
        <v>183.5</v>
      </c>
      <c r="E242">
        <v>178.23</v>
      </c>
      <c r="F242" t="s">
        <v>1707</v>
      </c>
      <c r="G242" s="8">
        <v>2.3400000000000001E-2</v>
      </c>
      <c r="H242" s="3">
        <f t="shared" si="3"/>
        <v>2.3361090929413741E-2</v>
      </c>
    </row>
    <row r="243" spans="1:8" x14ac:dyDescent="0.3">
      <c r="A243" s="7">
        <v>45737</v>
      </c>
      <c r="B243">
        <v>178.74</v>
      </c>
      <c r="C243">
        <v>183.7</v>
      </c>
      <c r="D243">
        <v>184.39</v>
      </c>
      <c r="E243">
        <v>177.29</v>
      </c>
      <c r="F243" t="s">
        <v>160</v>
      </c>
      <c r="G243" s="8">
        <v>-2.3900000000000001E-2</v>
      </c>
      <c r="H243" s="3">
        <f t="shared" si="3"/>
        <v>-2.3865436076675239E-2</v>
      </c>
    </row>
    <row r="244" spans="1:8" x14ac:dyDescent="0.3">
      <c r="A244" s="7">
        <v>45740</v>
      </c>
      <c r="B244">
        <v>176.6</v>
      </c>
      <c r="C244">
        <v>179.51</v>
      </c>
      <c r="D244">
        <v>181.32</v>
      </c>
      <c r="E244">
        <v>175.83</v>
      </c>
      <c r="F244" t="s">
        <v>1706</v>
      </c>
      <c r="G244" s="8">
        <v>-1.2E-2</v>
      </c>
      <c r="H244" s="3">
        <f t="shared" si="3"/>
        <v>-1.1972697773302121E-2</v>
      </c>
    </row>
    <row r="245" spans="1:8" x14ac:dyDescent="0.3">
      <c r="A245" s="7">
        <v>45741</v>
      </c>
      <c r="B245">
        <v>180.14</v>
      </c>
      <c r="C245">
        <v>177.34</v>
      </c>
      <c r="D245">
        <v>180.83</v>
      </c>
      <c r="E245">
        <v>176.39</v>
      </c>
      <c r="F245" t="s">
        <v>1705</v>
      </c>
      <c r="G245" s="8">
        <v>0.02</v>
      </c>
      <c r="H245" s="3">
        <f t="shared" si="3"/>
        <v>2.0045300113250342E-2</v>
      </c>
    </row>
    <row r="246" spans="1:8" x14ac:dyDescent="0.3">
      <c r="A246" s="7">
        <v>45742</v>
      </c>
      <c r="B246">
        <v>183.15</v>
      </c>
      <c r="C246">
        <v>180.25</v>
      </c>
      <c r="D246">
        <v>183.65</v>
      </c>
      <c r="E246">
        <v>179.69</v>
      </c>
      <c r="F246" t="s">
        <v>1704</v>
      </c>
      <c r="G246" s="8">
        <v>1.67E-2</v>
      </c>
      <c r="H246" s="3">
        <f t="shared" si="3"/>
        <v>1.670922615743331E-2</v>
      </c>
    </row>
    <row r="247" spans="1:8" x14ac:dyDescent="0.3">
      <c r="A247" s="7">
        <v>45743</v>
      </c>
      <c r="B247">
        <v>185.85</v>
      </c>
      <c r="C247">
        <v>182.32</v>
      </c>
      <c r="D247">
        <v>186.28</v>
      </c>
      <c r="E247">
        <v>181.17</v>
      </c>
      <c r="F247" t="s">
        <v>1703</v>
      </c>
      <c r="G247" s="8">
        <v>1.47E-2</v>
      </c>
      <c r="H247" s="3">
        <f t="shared" si="3"/>
        <v>1.4742014742014753E-2</v>
      </c>
    </row>
    <row r="248" spans="1:8" x14ac:dyDescent="0.3">
      <c r="A248" s="7">
        <v>45744</v>
      </c>
      <c r="B248">
        <v>188.71</v>
      </c>
      <c r="C248">
        <v>185.98</v>
      </c>
      <c r="D248">
        <v>189.02</v>
      </c>
      <c r="E248">
        <v>184.97</v>
      </c>
      <c r="F248" t="s">
        <v>1702</v>
      </c>
      <c r="G248" s="8">
        <v>1.54E-2</v>
      </c>
      <c r="H248" s="3">
        <f t="shared" si="3"/>
        <v>1.5388754371805202E-2</v>
      </c>
    </row>
    <row r="249" spans="1:8" x14ac:dyDescent="0.3">
      <c r="A249" s="7">
        <v>45747</v>
      </c>
      <c r="B249">
        <v>187.06</v>
      </c>
      <c r="C249">
        <v>188.27</v>
      </c>
      <c r="D249">
        <v>189.93</v>
      </c>
      <c r="E249">
        <v>186.67</v>
      </c>
      <c r="F249" t="s">
        <v>251</v>
      </c>
      <c r="G249" s="8">
        <v>-8.6999999999999994E-3</v>
      </c>
      <c r="H249" s="3">
        <f t="shared" si="3"/>
        <v>-8.7435747973080291E-3</v>
      </c>
    </row>
    <row r="250" spans="1:8" x14ac:dyDescent="0.3">
      <c r="A250" s="7">
        <v>45748</v>
      </c>
      <c r="B250">
        <v>190.97</v>
      </c>
      <c r="C250">
        <v>188</v>
      </c>
      <c r="D250">
        <v>191.49</v>
      </c>
      <c r="E250">
        <v>187.57</v>
      </c>
      <c r="F250" t="s">
        <v>1701</v>
      </c>
      <c r="G250" s="8">
        <v>2.0899999999999998E-2</v>
      </c>
      <c r="H250" s="3">
        <f t="shared" si="3"/>
        <v>2.0902384261734186E-2</v>
      </c>
    </row>
    <row r="251" spans="1:8" x14ac:dyDescent="0.3">
      <c r="A251" s="7">
        <v>45749</v>
      </c>
      <c r="B251">
        <v>194.88</v>
      </c>
      <c r="C251">
        <v>190.98</v>
      </c>
      <c r="D251">
        <v>195.34</v>
      </c>
      <c r="E251">
        <v>190.98</v>
      </c>
      <c r="F251" t="s">
        <v>1700</v>
      </c>
      <c r="G251" s="8">
        <v>2.0500000000000001E-2</v>
      </c>
      <c r="H251" s="3">
        <f>(B251/B250)-1</f>
        <v>2.0474420065978993E-2</v>
      </c>
    </row>
    <row r="252" spans="1:8" x14ac:dyDescent="0.3">
      <c r="A252" s="7">
        <v>45750</v>
      </c>
      <c r="B252">
        <v>193.21</v>
      </c>
      <c r="C252">
        <v>193.05</v>
      </c>
      <c r="D252">
        <v>198.06</v>
      </c>
      <c r="E252">
        <v>191.92</v>
      </c>
      <c r="F252" t="s">
        <v>1699</v>
      </c>
      <c r="G252" s="8">
        <v>-8.6E-3</v>
      </c>
      <c r="H252" s="3">
        <f t="shared" ref="H252:H253" si="4">(B252/B251)-1</f>
        <v>-8.5693760262725016E-3</v>
      </c>
    </row>
    <row r="253" spans="1:8" x14ac:dyDescent="0.3">
      <c r="A253" s="7">
        <v>45751</v>
      </c>
      <c r="B253">
        <v>190.89</v>
      </c>
      <c r="C253">
        <v>196.31</v>
      </c>
      <c r="D253">
        <v>197.56</v>
      </c>
      <c r="E253">
        <v>190.22</v>
      </c>
      <c r="F253" t="s">
        <v>1698</v>
      </c>
      <c r="G253" s="8">
        <v>-1.2E-2</v>
      </c>
      <c r="H253" s="3">
        <f t="shared" si="4"/>
        <v>-1.2007660059003222E-2</v>
      </c>
    </row>
  </sheetData>
  <autoFilter ref="A1:G253" xr:uid="{52539AEE-6ACB-4F7C-873F-0DAD12AAFB45}">
    <sortState xmlns:xlrd2="http://schemas.microsoft.com/office/spreadsheetml/2017/richdata2" ref="A2:G253">
      <sortCondition ref="A1:A253"/>
    </sortState>
  </autoFilter>
  <sortState xmlns:xlrd2="http://schemas.microsoft.com/office/spreadsheetml/2017/richdata2" ref="A2:G251">
    <sortCondition ref="A2:A25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A6C23-D223-4E4D-ADF0-A5238B091442}">
  <sheetPr codeName="Hoja1">
    <tabColor theme="6" tint="0.79998168889431442"/>
  </sheetPr>
  <dimension ref="A1:Y262"/>
  <sheetViews>
    <sheetView topLeftCell="A197" workbookViewId="0">
      <selection activeCell="I197" sqref="I197"/>
    </sheetView>
  </sheetViews>
  <sheetFormatPr baseColWidth="10" defaultRowHeight="14.4" x14ac:dyDescent="0.3"/>
  <sheetData>
    <row r="1" spans="1:25" ht="15.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 s="1" t="s">
        <v>8</v>
      </c>
      <c r="L1" s="1" t="s">
        <v>9</v>
      </c>
    </row>
    <row r="2" spans="1:25" x14ac:dyDescent="0.3">
      <c r="A2" s="7">
        <v>45386</v>
      </c>
      <c r="B2">
        <v>18.2</v>
      </c>
      <c r="C2">
        <v>19.18</v>
      </c>
      <c r="D2">
        <v>19.28</v>
      </c>
      <c r="E2">
        <v>18.100000000000001</v>
      </c>
      <c r="F2" t="s">
        <v>27</v>
      </c>
      <c r="G2" s="14">
        <v>-4.3099999999999999E-2</v>
      </c>
      <c r="H2" s="3" t="s">
        <v>11</v>
      </c>
      <c r="J2" t="s">
        <v>12</v>
      </c>
      <c r="K2" s="4">
        <f>AVERAGE(H3:H253)</f>
        <v>1.1915171408604058E-3</v>
      </c>
      <c r="L2" s="5">
        <f>_xlfn.STDEV.S(H3:H253)</f>
        <v>2.0071756765709024E-2</v>
      </c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3" spans="1:25" x14ac:dyDescent="0.3">
      <c r="A3" s="7">
        <v>45387</v>
      </c>
      <c r="B3">
        <v>18.66</v>
      </c>
      <c r="C3">
        <v>18.28</v>
      </c>
      <c r="D3">
        <v>18.899999999999999</v>
      </c>
      <c r="E3">
        <v>18.21</v>
      </c>
      <c r="F3" t="s">
        <v>28</v>
      </c>
      <c r="G3" s="14">
        <v>2.53E-2</v>
      </c>
      <c r="H3" s="3">
        <f>(B3/B2)-1</f>
        <v>2.5274725274725407E-2</v>
      </c>
      <c r="J3" t="s">
        <v>14</v>
      </c>
      <c r="K3" s="6">
        <f>K2*252</f>
        <v>0.30026231949682225</v>
      </c>
      <c r="L3" s="6">
        <f>L2*SQRT(252)</f>
        <v>0.31862926066946529</v>
      </c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4" spans="1:25" x14ac:dyDescent="0.3">
      <c r="A4" s="2">
        <v>45390</v>
      </c>
      <c r="B4" s="1">
        <v>19.440000000000001</v>
      </c>
      <c r="C4" s="1">
        <v>18.7</v>
      </c>
      <c r="D4" s="1">
        <v>19.440000000000001</v>
      </c>
      <c r="E4" s="1">
        <v>18.579999999999998</v>
      </c>
      <c r="F4" s="1" t="s">
        <v>29</v>
      </c>
      <c r="G4" s="3">
        <v>4.1799999999999997E-2</v>
      </c>
      <c r="H4" s="3">
        <f t="shared" ref="H4:H67" si="0">(B4/B3)-1</f>
        <v>4.1800643086816747E-2</v>
      </c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x14ac:dyDescent="0.3">
      <c r="A5" s="2">
        <v>45391</v>
      </c>
      <c r="B5" s="1">
        <v>19.38</v>
      </c>
      <c r="C5" s="1">
        <v>19.489999999999998</v>
      </c>
      <c r="D5" s="1">
        <v>19.899999999999999</v>
      </c>
      <c r="E5" s="1">
        <v>19.190000000000001</v>
      </c>
      <c r="F5" s="1" t="s">
        <v>30</v>
      </c>
      <c r="G5" s="3">
        <v>-3.0999999999999999E-3</v>
      </c>
      <c r="H5" s="3">
        <f t="shared" si="0"/>
        <v>-3.0864197530865445E-3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x14ac:dyDescent="0.3">
      <c r="A6" s="2">
        <v>45392</v>
      </c>
      <c r="B6" s="1">
        <v>19.39</v>
      </c>
      <c r="C6" s="1">
        <v>19.079999999999998</v>
      </c>
      <c r="D6" s="1">
        <v>19.440000000000001</v>
      </c>
      <c r="E6" s="1">
        <v>18.75</v>
      </c>
      <c r="F6" s="1" t="s">
        <v>31</v>
      </c>
      <c r="G6" s="3">
        <v>5.0000000000000001E-4</v>
      </c>
      <c r="H6" s="3">
        <f t="shared" si="0"/>
        <v>5.1599587203310371E-4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x14ac:dyDescent="0.3">
      <c r="A7" s="2">
        <v>45393</v>
      </c>
      <c r="B7" s="1">
        <v>19.8</v>
      </c>
      <c r="C7" s="1">
        <v>19.579999999999998</v>
      </c>
      <c r="D7" s="1">
        <v>19.89</v>
      </c>
      <c r="E7" s="1">
        <v>19.18</v>
      </c>
      <c r="F7" s="1" t="s">
        <v>32</v>
      </c>
      <c r="G7" s="3">
        <v>2.1100000000000001E-2</v>
      </c>
      <c r="H7" s="3">
        <f t="shared" si="0"/>
        <v>2.1144920061887618E-2</v>
      </c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x14ac:dyDescent="0.3">
      <c r="A8" s="2">
        <v>45394</v>
      </c>
      <c r="B8" s="1">
        <v>19.059999999999999</v>
      </c>
      <c r="C8" s="1">
        <v>19.579999999999998</v>
      </c>
      <c r="D8" s="1">
        <v>19.670000000000002</v>
      </c>
      <c r="E8" s="1">
        <v>18.95</v>
      </c>
      <c r="F8" s="1" t="s">
        <v>33</v>
      </c>
      <c r="G8" s="3">
        <v>-3.7400000000000003E-2</v>
      </c>
      <c r="H8" s="3">
        <f t="shared" si="0"/>
        <v>-3.7373737373737503E-2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x14ac:dyDescent="0.3">
      <c r="A9" s="2">
        <v>45397</v>
      </c>
      <c r="B9" s="1">
        <v>17.77</v>
      </c>
      <c r="C9" s="1">
        <v>19.260000000000002</v>
      </c>
      <c r="D9" s="1">
        <v>19.309999999999999</v>
      </c>
      <c r="E9" s="1">
        <v>17.68</v>
      </c>
      <c r="F9" s="1" t="s">
        <v>34</v>
      </c>
      <c r="G9" s="3">
        <v>-6.7699999999999996E-2</v>
      </c>
      <c r="H9" s="3">
        <f t="shared" si="0"/>
        <v>-6.768100734522553E-2</v>
      </c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x14ac:dyDescent="0.3">
      <c r="A10" s="2">
        <v>45398</v>
      </c>
      <c r="B10" s="1">
        <v>17.71</v>
      </c>
      <c r="C10" s="1">
        <v>17.64</v>
      </c>
      <c r="D10" s="1">
        <v>17.850000000000001</v>
      </c>
      <c r="E10" s="1">
        <v>17.2</v>
      </c>
      <c r="F10" s="1" t="s">
        <v>35</v>
      </c>
      <c r="G10" s="3">
        <v>-3.3999999999999998E-3</v>
      </c>
      <c r="H10" s="3">
        <f t="shared" si="0"/>
        <v>-3.3764772087787609E-3</v>
      </c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x14ac:dyDescent="0.3">
      <c r="A11" s="2">
        <v>45399</v>
      </c>
      <c r="B11" s="1">
        <v>17.95</v>
      </c>
      <c r="C11" s="1">
        <v>17.850000000000001</v>
      </c>
      <c r="D11" s="1">
        <v>18.02</v>
      </c>
      <c r="E11" s="1">
        <v>17.63</v>
      </c>
      <c r="F11" s="1" t="s">
        <v>36</v>
      </c>
      <c r="G11" s="3">
        <v>1.3599999999999999E-2</v>
      </c>
      <c r="H11" s="3">
        <f t="shared" si="0"/>
        <v>1.3551665725578754E-2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x14ac:dyDescent="0.3">
      <c r="A12" s="2">
        <v>45400</v>
      </c>
      <c r="B12" s="1">
        <v>18.739999999999998</v>
      </c>
      <c r="C12" s="1">
        <v>18.059999999999999</v>
      </c>
      <c r="D12" s="1">
        <v>20.27</v>
      </c>
      <c r="E12" s="1">
        <v>17.91</v>
      </c>
      <c r="F12" s="1" t="s">
        <v>37</v>
      </c>
      <c r="G12" s="3">
        <v>4.3999999999999997E-2</v>
      </c>
      <c r="H12" s="3">
        <f t="shared" si="0"/>
        <v>4.4011142061281205E-2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x14ac:dyDescent="0.3">
      <c r="A13" s="2">
        <v>45401</v>
      </c>
      <c r="B13" s="1">
        <v>18.920000000000002</v>
      </c>
      <c r="C13" s="1">
        <v>18.670000000000002</v>
      </c>
      <c r="D13" s="1">
        <v>19.239999999999998</v>
      </c>
      <c r="E13" s="1">
        <v>18.48</v>
      </c>
      <c r="F13" s="1" t="s">
        <v>38</v>
      </c>
      <c r="G13" s="3">
        <v>9.5999999999999992E-3</v>
      </c>
      <c r="H13" s="3">
        <f t="shared" si="0"/>
        <v>9.605122732123883E-3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x14ac:dyDescent="0.3">
      <c r="A14" s="2">
        <v>45404</v>
      </c>
      <c r="B14" s="1">
        <v>18.79</v>
      </c>
      <c r="C14" s="1">
        <v>18.96</v>
      </c>
      <c r="D14" s="1">
        <v>19.149999999999999</v>
      </c>
      <c r="E14" s="1">
        <v>18.52</v>
      </c>
      <c r="F14" s="1" t="s">
        <v>39</v>
      </c>
      <c r="G14" s="3">
        <v>-6.8999999999999999E-3</v>
      </c>
      <c r="H14" s="3">
        <f t="shared" si="0"/>
        <v>-6.871035940803516E-3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</row>
    <row r="15" spans="1:25" x14ac:dyDescent="0.3">
      <c r="A15" s="2">
        <v>45405</v>
      </c>
      <c r="B15" s="1">
        <v>19.72</v>
      </c>
      <c r="C15" s="1">
        <v>18.84</v>
      </c>
      <c r="D15" s="1">
        <v>19.87</v>
      </c>
      <c r="E15" s="1">
        <v>18.78</v>
      </c>
      <c r="F15" s="1" t="s">
        <v>40</v>
      </c>
      <c r="G15" s="3">
        <v>4.9500000000000002E-2</v>
      </c>
      <c r="H15" s="3">
        <f t="shared" si="0"/>
        <v>4.9494411921234605E-2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</row>
    <row r="16" spans="1:25" x14ac:dyDescent="0.3">
      <c r="A16" s="2">
        <v>45406</v>
      </c>
      <c r="B16" s="1">
        <v>19.260000000000002</v>
      </c>
      <c r="C16" s="1">
        <v>19.600000000000001</v>
      </c>
      <c r="D16" s="1">
        <v>19.670000000000002</v>
      </c>
      <c r="E16" s="1">
        <v>19.07</v>
      </c>
      <c r="F16" s="1" t="s">
        <v>41</v>
      </c>
      <c r="G16" s="3">
        <v>-2.3300000000000001E-2</v>
      </c>
      <c r="H16" s="3">
        <f t="shared" si="0"/>
        <v>-2.33265720081135E-2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</row>
    <row r="17" spans="1:25" x14ac:dyDescent="0.3">
      <c r="A17" s="2">
        <v>45407</v>
      </c>
      <c r="B17" s="1">
        <v>19</v>
      </c>
      <c r="C17" s="1">
        <v>18.93</v>
      </c>
      <c r="D17" s="1">
        <v>19.13</v>
      </c>
      <c r="E17" s="1">
        <v>18.62</v>
      </c>
      <c r="F17" s="1" t="s">
        <v>42</v>
      </c>
      <c r="G17" s="3">
        <v>-1.35E-2</v>
      </c>
      <c r="H17" s="3">
        <f t="shared" si="0"/>
        <v>-1.3499480789200491E-2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 x14ac:dyDescent="0.3">
      <c r="A18" s="2">
        <v>45408</v>
      </c>
      <c r="B18" s="1">
        <v>19.13</v>
      </c>
      <c r="C18" s="1">
        <v>19.02</v>
      </c>
      <c r="D18" s="1">
        <v>19.22</v>
      </c>
      <c r="E18" s="1">
        <v>18.86</v>
      </c>
      <c r="F18" s="1" t="s">
        <v>43</v>
      </c>
      <c r="G18" s="3">
        <v>6.7999999999999996E-3</v>
      </c>
      <c r="H18" s="3">
        <f t="shared" si="0"/>
        <v>6.8421052631577606E-3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x14ac:dyDescent="0.3">
      <c r="A19" s="2">
        <v>45411</v>
      </c>
      <c r="B19" s="1">
        <v>19.43</v>
      </c>
      <c r="C19" s="1">
        <v>19.23</v>
      </c>
      <c r="D19" s="1">
        <v>19.45</v>
      </c>
      <c r="E19" s="1">
        <v>19.170000000000002</v>
      </c>
      <c r="F19" s="1" t="s">
        <v>44</v>
      </c>
      <c r="G19" s="3">
        <v>1.5699999999999999E-2</v>
      </c>
      <c r="H19" s="3">
        <f t="shared" si="0"/>
        <v>1.5682174594877196E-2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</row>
    <row r="20" spans="1:25" x14ac:dyDescent="0.3">
      <c r="A20" s="2">
        <v>45412</v>
      </c>
      <c r="B20" s="1">
        <v>19.010000000000002</v>
      </c>
      <c r="C20" s="1">
        <v>19.22</v>
      </c>
      <c r="D20" s="1">
        <v>19.670000000000002</v>
      </c>
      <c r="E20" s="1">
        <v>19</v>
      </c>
      <c r="F20" s="1" t="s">
        <v>45</v>
      </c>
      <c r="G20" s="3">
        <v>-2.1600000000000001E-2</v>
      </c>
      <c r="H20" s="3">
        <f t="shared" si="0"/>
        <v>-2.1616057642820263E-2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x14ac:dyDescent="0.3">
      <c r="A21" s="2">
        <v>45413</v>
      </c>
      <c r="B21" s="1">
        <v>18.809999999999999</v>
      </c>
      <c r="C21" s="1">
        <v>18.97</v>
      </c>
      <c r="D21" s="1">
        <v>19.350000000000001</v>
      </c>
      <c r="E21" s="1">
        <v>18.57</v>
      </c>
      <c r="F21" s="1" t="s">
        <v>46</v>
      </c>
      <c r="G21" s="3">
        <v>-1.0500000000000001E-2</v>
      </c>
      <c r="H21" s="3">
        <f t="shared" si="0"/>
        <v>-1.0520778537611908E-2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x14ac:dyDescent="0.3">
      <c r="A22" s="2">
        <v>45414</v>
      </c>
      <c r="B22" s="1">
        <v>19.98</v>
      </c>
      <c r="C22" s="1">
        <v>19.28</v>
      </c>
      <c r="D22" s="1">
        <v>20.48</v>
      </c>
      <c r="E22" s="1">
        <v>19.07</v>
      </c>
      <c r="F22" s="1" t="s">
        <v>47</v>
      </c>
      <c r="G22" s="3">
        <v>6.2199999999999998E-2</v>
      </c>
      <c r="H22" s="3">
        <f t="shared" si="0"/>
        <v>6.2200956937799035E-2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x14ac:dyDescent="0.3">
      <c r="A23" s="2">
        <v>45415</v>
      </c>
      <c r="B23" s="1">
        <v>20.100000000000001</v>
      </c>
      <c r="C23" s="1">
        <v>20.18</v>
      </c>
      <c r="D23" s="1">
        <v>20.49</v>
      </c>
      <c r="E23" s="1">
        <v>19.899999999999999</v>
      </c>
      <c r="F23" s="1" t="s">
        <v>48</v>
      </c>
      <c r="G23" s="3">
        <v>6.0000000000000001E-3</v>
      </c>
      <c r="H23" s="3">
        <f t="shared" si="0"/>
        <v>6.0060060060060927E-3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x14ac:dyDescent="0.3">
      <c r="A24" s="2">
        <v>45418</v>
      </c>
      <c r="B24" s="1">
        <v>20.27</v>
      </c>
      <c r="C24" s="1">
        <v>20.41</v>
      </c>
      <c r="D24" s="1">
        <v>20.76</v>
      </c>
      <c r="E24" s="1">
        <v>20.100000000000001</v>
      </c>
      <c r="F24" s="1" t="s">
        <v>49</v>
      </c>
      <c r="G24" s="3">
        <v>8.5000000000000006E-3</v>
      </c>
      <c r="H24" s="3">
        <f t="shared" si="0"/>
        <v>8.4577114427859534E-3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</row>
    <row r="25" spans="1:25" x14ac:dyDescent="0.3">
      <c r="A25" s="2">
        <v>45419</v>
      </c>
      <c r="B25" s="1">
        <v>19.899999999999999</v>
      </c>
      <c r="C25" s="1">
        <v>20.43</v>
      </c>
      <c r="D25" s="1">
        <v>20.5</v>
      </c>
      <c r="E25" s="1">
        <v>19.89</v>
      </c>
      <c r="F25" s="1" t="s">
        <v>50</v>
      </c>
      <c r="G25" s="3">
        <v>-1.83E-2</v>
      </c>
      <c r="H25" s="3">
        <f t="shared" si="0"/>
        <v>-1.8253576714356234E-2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</row>
    <row r="26" spans="1:25" x14ac:dyDescent="0.3">
      <c r="A26" s="2">
        <v>45420</v>
      </c>
      <c r="B26" s="1">
        <v>19.98</v>
      </c>
      <c r="C26" s="1">
        <v>19.670000000000002</v>
      </c>
      <c r="D26" s="1">
        <v>20</v>
      </c>
      <c r="E26" s="1">
        <v>19.45</v>
      </c>
      <c r="F26" s="1" t="s">
        <v>51</v>
      </c>
      <c r="G26" s="3">
        <v>4.0000000000000001E-3</v>
      </c>
      <c r="H26" s="3">
        <f t="shared" si="0"/>
        <v>4.020100502512669E-3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  <row r="27" spans="1:25" x14ac:dyDescent="0.3">
      <c r="A27" s="2">
        <v>45421</v>
      </c>
      <c r="B27" s="1">
        <v>20.29</v>
      </c>
      <c r="C27" s="1">
        <v>19.96</v>
      </c>
      <c r="D27" s="1">
        <v>20.41</v>
      </c>
      <c r="E27" s="1">
        <v>19.89</v>
      </c>
      <c r="F27" s="1" t="s">
        <v>52</v>
      </c>
      <c r="G27" s="3">
        <v>1.55E-2</v>
      </c>
      <c r="H27" s="3">
        <f t="shared" si="0"/>
        <v>1.5515515515515554E-2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</row>
    <row r="28" spans="1:25" x14ac:dyDescent="0.3">
      <c r="A28" s="2">
        <v>45422</v>
      </c>
      <c r="B28" s="1">
        <v>20.58</v>
      </c>
      <c r="C28" s="1">
        <v>20.43</v>
      </c>
      <c r="D28" s="1">
        <v>20.64</v>
      </c>
      <c r="E28" s="1">
        <v>20.25</v>
      </c>
      <c r="F28" s="1" t="s">
        <v>53</v>
      </c>
      <c r="G28" s="3">
        <v>1.43E-2</v>
      </c>
      <c r="H28" s="3">
        <f t="shared" si="0"/>
        <v>1.4292755051749539E-2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</row>
    <row r="29" spans="1:25" x14ac:dyDescent="0.3">
      <c r="A29" s="2">
        <v>45425</v>
      </c>
      <c r="B29" s="1">
        <v>21.13</v>
      </c>
      <c r="C29" s="1">
        <v>20.72</v>
      </c>
      <c r="D29" s="1">
        <v>21.87</v>
      </c>
      <c r="E29" s="1">
        <v>20.6</v>
      </c>
      <c r="F29" s="1" t="s">
        <v>54</v>
      </c>
      <c r="G29" s="3">
        <v>2.6700000000000002E-2</v>
      </c>
      <c r="H29" s="3">
        <f t="shared" si="0"/>
        <v>2.6724975704567555E-2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x14ac:dyDescent="0.3">
      <c r="A30" s="2">
        <v>45426</v>
      </c>
      <c r="B30" s="1">
        <v>21.79</v>
      </c>
      <c r="C30" s="1">
        <v>21.68</v>
      </c>
      <c r="D30" s="1">
        <v>21.8</v>
      </c>
      <c r="E30" s="1">
        <v>21.26</v>
      </c>
      <c r="F30" s="1" t="s">
        <v>55</v>
      </c>
      <c r="G30" s="3">
        <v>3.1199999999999999E-2</v>
      </c>
      <c r="H30" s="3">
        <f t="shared" si="0"/>
        <v>3.1235210601041175E-2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x14ac:dyDescent="0.3">
      <c r="A31" s="2">
        <v>45427</v>
      </c>
      <c r="B31" s="1">
        <v>21.51</v>
      </c>
      <c r="C31" s="1">
        <v>21.97</v>
      </c>
      <c r="D31" s="1">
        <v>22.1</v>
      </c>
      <c r="E31" s="1">
        <v>21.3</v>
      </c>
      <c r="F31" s="1" t="s">
        <v>32</v>
      </c>
      <c r="G31" s="3">
        <v>-1.2800000000000001E-2</v>
      </c>
      <c r="H31" s="3">
        <f t="shared" si="0"/>
        <v>-1.2849931161082906E-2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x14ac:dyDescent="0.3">
      <c r="A32" s="2">
        <v>45428</v>
      </c>
      <c r="B32" s="1">
        <v>21.2</v>
      </c>
      <c r="C32" s="1">
        <v>21.48</v>
      </c>
      <c r="D32" s="1">
        <v>21.61</v>
      </c>
      <c r="E32" s="1">
        <v>20.85</v>
      </c>
      <c r="F32" s="1" t="s">
        <v>56</v>
      </c>
      <c r="G32" s="3">
        <v>-1.44E-2</v>
      </c>
      <c r="H32" s="3">
        <f t="shared" si="0"/>
        <v>-1.44119014411902E-2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3">
      <c r="A33" s="2">
        <v>45429</v>
      </c>
      <c r="B33" s="1">
        <v>21.25</v>
      </c>
      <c r="C33" s="1">
        <v>21.2</v>
      </c>
      <c r="D33" s="1">
        <v>21.37</v>
      </c>
      <c r="E33" s="1">
        <v>21.02</v>
      </c>
      <c r="F33" s="1" t="s">
        <v>57</v>
      </c>
      <c r="G33" s="3">
        <v>2.3999999999999998E-3</v>
      </c>
      <c r="H33" s="3">
        <f t="shared" si="0"/>
        <v>2.3584905660378741E-3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3">
      <c r="A34" s="2">
        <v>45432</v>
      </c>
      <c r="B34" s="1">
        <v>21.1</v>
      </c>
      <c r="C34" s="1">
        <v>21.16</v>
      </c>
      <c r="D34" s="1">
        <v>21.42</v>
      </c>
      <c r="E34" s="1">
        <v>21.05</v>
      </c>
      <c r="F34" s="1" t="s">
        <v>58</v>
      </c>
      <c r="G34" s="3">
        <v>-7.1000000000000004E-3</v>
      </c>
      <c r="H34" s="3">
        <f t="shared" si="0"/>
        <v>-7.058823529411673E-3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3">
      <c r="A35" s="2">
        <v>45433</v>
      </c>
      <c r="B35" s="1">
        <v>21.2</v>
      </c>
      <c r="C35" s="1">
        <v>21.16</v>
      </c>
      <c r="D35" s="1">
        <v>21.33</v>
      </c>
      <c r="E35" s="1">
        <v>20.97</v>
      </c>
      <c r="F35" s="1" t="s">
        <v>51</v>
      </c>
      <c r="G35" s="3">
        <v>4.7000000000000002E-3</v>
      </c>
      <c r="H35" s="3">
        <f t="shared" si="0"/>
        <v>4.7393364928909332E-3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3">
      <c r="A36" s="2">
        <v>45434</v>
      </c>
      <c r="B36" s="1">
        <v>21.33</v>
      </c>
      <c r="C36" s="1">
        <v>21.18</v>
      </c>
      <c r="D36" s="1">
        <v>21.41</v>
      </c>
      <c r="E36" s="1">
        <v>20.91</v>
      </c>
      <c r="F36" s="1" t="s">
        <v>57</v>
      </c>
      <c r="G36" s="3">
        <v>6.1000000000000004E-3</v>
      </c>
      <c r="H36" s="3">
        <f t="shared" si="0"/>
        <v>6.1320754716980286E-3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3">
      <c r="A37" s="2">
        <v>45435</v>
      </c>
      <c r="B37" s="1">
        <v>21.34</v>
      </c>
      <c r="C37" s="1">
        <v>21.46</v>
      </c>
      <c r="D37" s="1">
        <v>21.53</v>
      </c>
      <c r="E37" s="1">
        <v>21.02</v>
      </c>
      <c r="F37" s="1" t="s">
        <v>59</v>
      </c>
      <c r="G37" s="3">
        <v>5.0000000000000001E-4</v>
      </c>
      <c r="H37" s="3">
        <f t="shared" si="0"/>
        <v>4.6882325363339916E-4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3">
      <c r="A38" s="2">
        <v>45436</v>
      </c>
      <c r="B38" s="1">
        <v>21.52</v>
      </c>
      <c r="C38" s="1">
        <v>21.51</v>
      </c>
      <c r="D38" s="1">
        <v>21.67</v>
      </c>
      <c r="E38" s="1">
        <v>21.27</v>
      </c>
      <c r="F38" s="1" t="s">
        <v>60</v>
      </c>
      <c r="G38" s="3">
        <v>8.3999999999999995E-3</v>
      </c>
      <c r="H38" s="3">
        <f t="shared" si="0"/>
        <v>8.434864104967188E-3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3">
      <c r="A39" s="2">
        <v>45440</v>
      </c>
      <c r="B39" s="1">
        <v>21.54</v>
      </c>
      <c r="C39" s="1">
        <v>21.61</v>
      </c>
      <c r="D39" s="1">
        <v>21.68</v>
      </c>
      <c r="E39" s="1">
        <v>21.31</v>
      </c>
      <c r="F39" s="1" t="s">
        <v>61</v>
      </c>
      <c r="G39" s="3">
        <v>8.9999999999999998E-4</v>
      </c>
      <c r="H39" s="3">
        <f t="shared" si="0"/>
        <v>9.2936802973975219E-4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3">
      <c r="A40" s="2">
        <v>45441</v>
      </c>
      <c r="B40" s="1">
        <v>21.51</v>
      </c>
      <c r="C40" s="1">
        <v>21.3</v>
      </c>
      <c r="D40" s="1">
        <v>21.52</v>
      </c>
      <c r="E40" s="1">
        <v>21.04</v>
      </c>
      <c r="F40" s="1" t="s">
        <v>62</v>
      </c>
      <c r="G40" s="3">
        <v>-1.4E-3</v>
      </c>
      <c r="H40" s="3">
        <f t="shared" si="0"/>
        <v>-1.3927576601669989E-3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x14ac:dyDescent="0.3">
      <c r="A41" s="2">
        <v>45442</v>
      </c>
      <c r="B41" s="1">
        <v>21.03</v>
      </c>
      <c r="C41" s="1">
        <v>21.19</v>
      </c>
      <c r="D41" s="1">
        <v>21.43</v>
      </c>
      <c r="E41" s="1">
        <v>20.78</v>
      </c>
      <c r="F41" s="1" t="s">
        <v>63</v>
      </c>
      <c r="G41" s="3">
        <v>-2.23E-2</v>
      </c>
      <c r="H41" s="3">
        <f t="shared" si="0"/>
        <v>-2.2315202231520281E-2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x14ac:dyDescent="0.3">
      <c r="A42" s="2">
        <v>45443</v>
      </c>
      <c r="B42" s="1">
        <v>22.1</v>
      </c>
      <c r="C42" s="1">
        <v>21.58</v>
      </c>
      <c r="D42" s="1">
        <v>22.31</v>
      </c>
      <c r="E42" s="1">
        <v>20.29</v>
      </c>
      <c r="F42" s="1" t="s">
        <v>64</v>
      </c>
      <c r="G42" s="3">
        <v>5.0900000000000001E-2</v>
      </c>
      <c r="H42" s="3">
        <f t="shared" si="0"/>
        <v>5.0879695672848335E-2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x14ac:dyDescent="0.3">
      <c r="A43" s="2">
        <v>45446</v>
      </c>
      <c r="B43" s="1">
        <v>23.01</v>
      </c>
      <c r="C43" s="1">
        <v>22.28</v>
      </c>
      <c r="D43" s="1">
        <v>23.54</v>
      </c>
      <c r="E43" s="1">
        <v>22.28</v>
      </c>
      <c r="F43" s="1" t="s">
        <v>22</v>
      </c>
      <c r="G43" s="3">
        <v>4.1200000000000001E-2</v>
      </c>
      <c r="H43" s="3">
        <f t="shared" si="0"/>
        <v>4.117647058823537E-2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x14ac:dyDescent="0.3">
      <c r="A44" s="2">
        <v>45447</v>
      </c>
      <c r="B44" s="1">
        <v>22.29</v>
      </c>
      <c r="C44" s="1">
        <v>22.4</v>
      </c>
      <c r="D44" s="1">
        <v>22.59</v>
      </c>
      <c r="E44" s="1">
        <v>22.13</v>
      </c>
      <c r="F44" s="1" t="s">
        <v>50</v>
      </c>
      <c r="G44" s="3">
        <v>-3.1300000000000001E-2</v>
      </c>
      <c r="H44" s="3">
        <f t="shared" si="0"/>
        <v>-3.1290743155150014E-2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x14ac:dyDescent="0.3">
      <c r="A45" s="2">
        <v>45448</v>
      </c>
      <c r="B45" s="1">
        <v>22.24</v>
      </c>
      <c r="C45" s="1">
        <v>22.52</v>
      </c>
      <c r="D45" s="1">
        <v>22.58</v>
      </c>
      <c r="E45" s="1">
        <v>21.55</v>
      </c>
      <c r="F45" s="1" t="s">
        <v>65</v>
      </c>
      <c r="G45" s="3">
        <v>-2.2000000000000001E-3</v>
      </c>
      <c r="H45" s="3">
        <f t="shared" si="0"/>
        <v>-2.2431583669807464E-3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x14ac:dyDescent="0.3">
      <c r="A46" s="2">
        <v>45449</v>
      </c>
      <c r="B46" s="1">
        <v>21.23</v>
      </c>
      <c r="C46" s="1">
        <v>22.19</v>
      </c>
      <c r="D46" s="1">
        <v>22.19</v>
      </c>
      <c r="E46" s="1">
        <v>21.08</v>
      </c>
      <c r="F46" s="1" t="s">
        <v>28</v>
      </c>
      <c r="G46" s="3">
        <v>-4.5400000000000003E-2</v>
      </c>
      <c r="H46" s="3">
        <f t="shared" si="0"/>
        <v>-4.5413669064748086E-2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x14ac:dyDescent="0.3">
      <c r="A47" s="2">
        <v>45450</v>
      </c>
      <c r="B47" s="1">
        <v>21.5</v>
      </c>
      <c r="C47" s="1">
        <v>21.09</v>
      </c>
      <c r="D47" s="1">
        <v>21.62</v>
      </c>
      <c r="E47" s="1">
        <v>21.08</v>
      </c>
      <c r="F47" s="1" t="s">
        <v>25</v>
      </c>
      <c r="G47" s="3">
        <v>1.2699999999999999E-2</v>
      </c>
      <c r="H47" s="3">
        <f t="shared" si="0"/>
        <v>1.2717852096090443E-2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x14ac:dyDescent="0.3">
      <c r="A48" s="2">
        <v>45453</v>
      </c>
      <c r="B48" s="1">
        <v>21.21</v>
      </c>
      <c r="C48" s="1">
        <v>21.32</v>
      </c>
      <c r="D48" s="1">
        <v>22</v>
      </c>
      <c r="E48" s="1">
        <v>21.2</v>
      </c>
      <c r="F48" s="1" t="s">
        <v>60</v>
      </c>
      <c r="G48" s="3">
        <v>-1.35E-2</v>
      </c>
      <c r="H48" s="3">
        <f t="shared" si="0"/>
        <v>-1.3488372093023226E-2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x14ac:dyDescent="0.3">
      <c r="A49" s="2">
        <v>45454</v>
      </c>
      <c r="B49" s="1">
        <v>21.05</v>
      </c>
      <c r="C49" s="1">
        <v>21.08</v>
      </c>
      <c r="D49" s="1">
        <v>21.13</v>
      </c>
      <c r="E49" s="1">
        <v>20.77</v>
      </c>
      <c r="F49" s="1" t="s">
        <v>66</v>
      </c>
      <c r="G49" s="3">
        <v>-7.4999999999999997E-3</v>
      </c>
      <c r="H49" s="3">
        <f t="shared" si="0"/>
        <v>-7.543611504007508E-3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x14ac:dyDescent="0.3">
      <c r="A50" s="2">
        <v>45455</v>
      </c>
      <c r="B50" s="1">
        <v>21.53</v>
      </c>
      <c r="C50" s="1">
        <v>21.62</v>
      </c>
      <c r="D50" s="1">
        <v>22.02</v>
      </c>
      <c r="E50" s="1">
        <v>21.42</v>
      </c>
      <c r="F50" s="1" t="s">
        <v>44</v>
      </c>
      <c r="G50" s="3">
        <v>2.2800000000000001E-2</v>
      </c>
      <c r="H50" s="3">
        <f t="shared" si="0"/>
        <v>2.280285035629448E-2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x14ac:dyDescent="0.3">
      <c r="A51" s="2">
        <v>45456</v>
      </c>
      <c r="B51" s="1">
        <v>21.47</v>
      </c>
      <c r="C51" s="1">
        <v>21.46</v>
      </c>
      <c r="D51" s="1">
        <v>21.64</v>
      </c>
      <c r="E51" s="1">
        <v>21.08</v>
      </c>
      <c r="F51" s="1" t="s">
        <v>67</v>
      </c>
      <c r="G51" s="3">
        <v>-2.8E-3</v>
      </c>
      <c r="H51" s="3">
        <f t="shared" si="0"/>
        <v>-2.7868091035765374E-3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x14ac:dyDescent="0.3">
      <c r="A52" s="2">
        <v>45457</v>
      </c>
      <c r="B52" s="1">
        <v>21.05</v>
      </c>
      <c r="C52" s="1">
        <v>21.15</v>
      </c>
      <c r="D52" s="1">
        <v>21.6</v>
      </c>
      <c r="E52" s="1">
        <v>21.05</v>
      </c>
      <c r="F52" s="1" t="s">
        <v>56</v>
      </c>
      <c r="G52" s="3">
        <v>-1.9599999999999999E-2</v>
      </c>
      <c r="H52" s="3">
        <f t="shared" si="0"/>
        <v>-1.956217978574748E-2</v>
      </c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x14ac:dyDescent="0.3">
      <c r="A53" s="2">
        <v>45460</v>
      </c>
      <c r="B53" s="1">
        <v>21.81</v>
      </c>
      <c r="C53" s="1">
        <v>21.08</v>
      </c>
      <c r="D53" s="1">
        <v>21.82</v>
      </c>
      <c r="E53" s="1">
        <v>20.71</v>
      </c>
      <c r="F53" s="1" t="s">
        <v>68</v>
      </c>
      <c r="G53" s="3">
        <v>3.61E-2</v>
      </c>
      <c r="H53" s="3">
        <f t="shared" si="0"/>
        <v>3.610451306413287E-2</v>
      </c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x14ac:dyDescent="0.3">
      <c r="A54" s="2">
        <v>45461</v>
      </c>
      <c r="B54" s="1">
        <v>21.75</v>
      </c>
      <c r="C54" s="1">
        <v>21.7</v>
      </c>
      <c r="D54" s="1">
        <v>21.88</v>
      </c>
      <c r="E54" s="1">
        <v>21.44</v>
      </c>
      <c r="F54" s="1" t="s">
        <v>69</v>
      </c>
      <c r="G54" s="3">
        <v>-2.8E-3</v>
      </c>
      <c r="H54" s="3">
        <f t="shared" si="0"/>
        <v>-2.7510316368637433E-3</v>
      </c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x14ac:dyDescent="0.3">
      <c r="A55" s="2">
        <v>45463</v>
      </c>
      <c r="B55" s="1">
        <v>21.2</v>
      </c>
      <c r="C55" s="1">
        <v>21.63</v>
      </c>
      <c r="D55" s="1">
        <v>21.82</v>
      </c>
      <c r="E55" s="1">
        <v>21.14</v>
      </c>
      <c r="F55" s="1" t="s">
        <v>70</v>
      </c>
      <c r="G55" s="3">
        <v>-2.53E-2</v>
      </c>
      <c r="H55" s="3">
        <f t="shared" si="0"/>
        <v>-2.5287356321839094E-2</v>
      </c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x14ac:dyDescent="0.3">
      <c r="A56" s="2">
        <v>45464</v>
      </c>
      <c r="B56" s="1">
        <v>21.3</v>
      </c>
      <c r="C56" s="1">
        <v>21.2</v>
      </c>
      <c r="D56" s="1">
        <v>21.49</v>
      </c>
      <c r="E56" s="1">
        <v>20.99</v>
      </c>
      <c r="F56" s="1" t="s">
        <v>71</v>
      </c>
      <c r="G56" s="3">
        <v>4.7000000000000002E-3</v>
      </c>
      <c r="H56" s="3">
        <f t="shared" si="0"/>
        <v>4.7169811320755262E-3</v>
      </c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x14ac:dyDescent="0.3">
      <c r="A57" s="2">
        <v>45467</v>
      </c>
      <c r="B57" s="1">
        <v>21.51</v>
      </c>
      <c r="C57" s="1">
        <v>21.44</v>
      </c>
      <c r="D57" s="1">
        <v>21.7</v>
      </c>
      <c r="E57" s="1">
        <v>21.22</v>
      </c>
      <c r="F57" s="1" t="s">
        <v>72</v>
      </c>
      <c r="G57" s="3">
        <v>9.9000000000000008E-3</v>
      </c>
      <c r="H57" s="3">
        <f t="shared" si="0"/>
        <v>9.8591549295774517E-3</v>
      </c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x14ac:dyDescent="0.3">
      <c r="A58" s="2">
        <v>45468</v>
      </c>
      <c r="B58" s="1">
        <v>21.09</v>
      </c>
      <c r="C58" s="1">
        <v>21.52</v>
      </c>
      <c r="D58" s="1">
        <v>21.55</v>
      </c>
      <c r="E58" s="1">
        <v>21.07</v>
      </c>
      <c r="F58" s="1" t="s">
        <v>73</v>
      </c>
      <c r="G58" s="3">
        <v>-1.95E-2</v>
      </c>
      <c r="H58" s="3">
        <f t="shared" si="0"/>
        <v>-1.9525801952580246E-2</v>
      </c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x14ac:dyDescent="0.3">
      <c r="A59" s="2">
        <v>45469</v>
      </c>
      <c r="B59" s="1">
        <v>21.33</v>
      </c>
      <c r="C59" s="1">
        <v>20.97</v>
      </c>
      <c r="D59" s="1">
        <v>21.41</v>
      </c>
      <c r="E59" s="1">
        <v>20.97</v>
      </c>
      <c r="F59" s="1" t="s">
        <v>74</v>
      </c>
      <c r="G59" s="3">
        <v>1.14E-2</v>
      </c>
      <c r="H59" s="3">
        <f t="shared" si="0"/>
        <v>1.1379800853484889E-2</v>
      </c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x14ac:dyDescent="0.3">
      <c r="A60" s="2">
        <v>45470</v>
      </c>
      <c r="B60" s="1">
        <v>21.12</v>
      </c>
      <c r="C60" s="1">
        <v>20.9</v>
      </c>
      <c r="D60" s="1">
        <v>21.13</v>
      </c>
      <c r="E60" s="1">
        <v>20.81</v>
      </c>
      <c r="F60" s="1" t="s">
        <v>75</v>
      </c>
      <c r="G60" s="3">
        <v>-9.7999999999999997E-3</v>
      </c>
      <c r="H60" s="3">
        <f t="shared" si="0"/>
        <v>-9.8452883263008273E-3</v>
      </c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x14ac:dyDescent="0.3">
      <c r="A61" s="2">
        <v>45471</v>
      </c>
      <c r="B61" s="1">
        <v>21.22</v>
      </c>
      <c r="C61" s="1">
        <v>21.01</v>
      </c>
      <c r="D61" s="1">
        <v>21.33</v>
      </c>
      <c r="E61" s="1">
        <v>20.9</v>
      </c>
      <c r="F61" s="1" t="s">
        <v>76</v>
      </c>
      <c r="G61" s="3">
        <v>4.7000000000000002E-3</v>
      </c>
      <c r="H61" s="3">
        <f t="shared" si="0"/>
        <v>4.7348484848483974E-3</v>
      </c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</row>
    <row r="62" spans="1:25" x14ac:dyDescent="0.3">
      <c r="A62" s="2">
        <v>45474</v>
      </c>
      <c r="B62" s="1">
        <v>21.25</v>
      </c>
      <c r="C62" s="1">
        <v>21.22</v>
      </c>
      <c r="D62" s="1">
        <v>21.63</v>
      </c>
      <c r="E62" s="1">
        <v>21.09</v>
      </c>
      <c r="F62" s="1" t="s">
        <v>77</v>
      </c>
      <c r="G62" s="3">
        <v>1.4E-3</v>
      </c>
      <c r="H62" s="3">
        <f t="shared" si="0"/>
        <v>1.413760603204528E-3</v>
      </c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</row>
    <row r="63" spans="1:25" x14ac:dyDescent="0.3">
      <c r="A63" s="2">
        <v>45475</v>
      </c>
      <c r="B63" s="1">
        <v>21.45</v>
      </c>
      <c r="C63" s="1">
        <v>21.26</v>
      </c>
      <c r="D63" s="1">
        <v>21.62</v>
      </c>
      <c r="E63" s="1">
        <v>21.22</v>
      </c>
      <c r="F63" s="1" t="s">
        <v>78</v>
      </c>
      <c r="G63" s="3">
        <v>9.4000000000000004E-3</v>
      </c>
      <c r="H63" s="3">
        <f t="shared" si="0"/>
        <v>9.4117647058822307E-3</v>
      </c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</row>
    <row r="64" spans="1:25" x14ac:dyDescent="0.3">
      <c r="A64" s="2">
        <v>45476</v>
      </c>
      <c r="B64" s="1">
        <v>21.6</v>
      </c>
      <c r="C64" s="1">
        <v>21.5</v>
      </c>
      <c r="D64" s="1">
        <v>21.77</v>
      </c>
      <c r="E64" s="1">
        <v>21.3</v>
      </c>
      <c r="F64" s="1" t="s">
        <v>79</v>
      </c>
      <c r="G64" s="3">
        <v>7.0000000000000001E-3</v>
      </c>
      <c r="H64" s="3">
        <f t="shared" si="0"/>
        <v>6.9930069930070893E-3</v>
      </c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</row>
    <row r="65" spans="1:25" x14ac:dyDescent="0.3">
      <c r="A65" s="2">
        <v>45478</v>
      </c>
      <c r="B65" s="1">
        <v>21.83</v>
      </c>
      <c r="C65" s="1">
        <v>21.75</v>
      </c>
      <c r="D65" s="1">
        <v>22.2</v>
      </c>
      <c r="E65" s="1">
        <v>21.67</v>
      </c>
      <c r="F65" s="1" t="s">
        <v>80</v>
      </c>
      <c r="G65" s="3">
        <v>1.06E-2</v>
      </c>
      <c r="H65" s="3">
        <f t="shared" si="0"/>
        <v>1.0648148148147962E-2</v>
      </c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</row>
    <row r="66" spans="1:25" x14ac:dyDescent="0.3">
      <c r="A66" s="2">
        <v>45481</v>
      </c>
      <c r="B66" s="1">
        <v>21.27</v>
      </c>
      <c r="C66" s="1">
        <v>21.94</v>
      </c>
      <c r="D66" s="1">
        <v>21.98</v>
      </c>
      <c r="E66" s="1">
        <v>21.25</v>
      </c>
      <c r="F66" s="1" t="s">
        <v>81</v>
      </c>
      <c r="G66" s="3">
        <v>-2.5700000000000001E-2</v>
      </c>
      <c r="H66" s="3">
        <f t="shared" si="0"/>
        <v>-2.5652771415483278E-2</v>
      </c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</row>
    <row r="67" spans="1:25" x14ac:dyDescent="0.3">
      <c r="A67" s="2">
        <v>45482</v>
      </c>
      <c r="B67" s="1">
        <v>22.02</v>
      </c>
      <c r="C67" s="1">
        <v>21.33</v>
      </c>
      <c r="D67" s="1">
        <v>22.11</v>
      </c>
      <c r="E67" s="1">
        <v>21.33</v>
      </c>
      <c r="F67" s="1" t="s">
        <v>82</v>
      </c>
      <c r="G67" s="3">
        <v>3.5299999999999998E-2</v>
      </c>
      <c r="H67" s="3">
        <f t="shared" si="0"/>
        <v>3.5260930888575404E-2</v>
      </c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</row>
    <row r="68" spans="1:25" x14ac:dyDescent="0.3">
      <c r="A68" s="2">
        <v>45483</v>
      </c>
      <c r="B68" s="1">
        <v>21.9</v>
      </c>
      <c r="C68" s="1">
        <v>22.19</v>
      </c>
      <c r="D68" s="1">
        <v>22.4</v>
      </c>
      <c r="E68" s="1">
        <v>21.66</v>
      </c>
      <c r="F68" s="1" t="s">
        <v>83</v>
      </c>
      <c r="G68" s="3">
        <v>-5.4000000000000003E-3</v>
      </c>
      <c r="H68" s="3">
        <f t="shared" ref="H68:H131" si="1">(B68/B67)-1</f>
        <v>-5.4495912806540314E-3</v>
      </c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</row>
    <row r="69" spans="1:25" x14ac:dyDescent="0.3">
      <c r="A69" s="2">
        <v>45484</v>
      </c>
      <c r="B69" s="1">
        <v>23.39</v>
      </c>
      <c r="C69" s="1">
        <v>22.26</v>
      </c>
      <c r="D69" s="1">
        <v>23.46</v>
      </c>
      <c r="E69" s="1">
        <v>22.25</v>
      </c>
      <c r="F69" s="1" t="s">
        <v>84</v>
      </c>
      <c r="G69" s="3">
        <v>6.8000000000000005E-2</v>
      </c>
      <c r="H69" s="3">
        <f t="shared" si="1"/>
        <v>6.8036529680365332E-2</v>
      </c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</row>
    <row r="70" spans="1:25" x14ac:dyDescent="0.3">
      <c r="A70" s="2">
        <v>45485</v>
      </c>
      <c r="B70" s="1">
        <v>23.48</v>
      </c>
      <c r="C70" s="1">
        <v>23.65</v>
      </c>
      <c r="D70" s="1">
        <v>23.74</v>
      </c>
      <c r="E70" s="1">
        <v>23.09</v>
      </c>
      <c r="F70" s="1" t="s">
        <v>85</v>
      </c>
      <c r="G70" s="3">
        <v>3.8E-3</v>
      </c>
      <c r="H70" s="3">
        <f t="shared" si="1"/>
        <v>3.8477982043607639E-3</v>
      </c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x14ac:dyDescent="0.3">
      <c r="A71" s="2">
        <v>45488</v>
      </c>
      <c r="B71" s="1">
        <v>22.8</v>
      </c>
      <c r="C71" s="1">
        <v>22.64</v>
      </c>
      <c r="D71" s="1">
        <v>23.2</v>
      </c>
      <c r="E71" s="1">
        <v>22.23</v>
      </c>
      <c r="F71" s="1" t="s">
        <v>48</v>
      </c>
      <c r="G71" s="3">
        <v>-2.9000000000000001E-2</v>
      </c>
      <c r="H71" s="3">
        <f t="shared" si="1"/>
        <v>-2.8960817717206155E-2</v>
      </c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x14ac:dyDescent="0.3">
      <c r="A72" s="2">
        <v>45489</v>
      </c>
      <c r="B72" s="1">
        <v>23.75</v>
      </c>
      <c r="C72" s="1">
        <v>23.11</v>
      </c>
      <c r="D72" s="1">
        <v>23.8</v>
      </c>
      <c r="E72" s="1">
        <v>22.9</v>
      </c>
      <c r="F72" s="1" t="s">
        <v>86</v>
      </c>
      <c r="G72" s="3">
        <v>4.1700000000000001E-2</v>
      </c>
      <c r="H72" s="3">
        <f t="shared" si="1"/>
        <v>4.1666666666666741E-2</v>
      </c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x14ac:dyDescent="0.3">
      <c r="A73" s="2">
        <v>45490</v>
      </c>
      <c r="B73" s="1">
        <v>23.82</v>
      </c>
      <c r="C73" s="1">
        <v>23.37</v>
      </c>
      <c r="D73" s="1">
        <v>24.03</v>
      </c>
      <c r="E73" s="1">
        <v>23.19</v>
      </c>
      <c r="F73" s="1" t="s">
        <v>87</v>
      </c>
      <c r="G73" s="3">
        <v>2.8999999999999998E-3</v>
      </c>
      <c r="H73" s="3">
        <f t="shared" si="1"/>
        <v>2.9473684210525875E-3</v>
      </c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x14ac:dyDescent="0.3">
      <c r="A74" s="2">
        <v>45491</v>
      </c>
      <c r="B74" s="1">
        <v>23.23</v>
      </c>
      <c r="C74" s="1">
        <v>23.75</v>
      </c>
      <c r="D74" s="1">
        <v>23.9</v>
      </c>
      <c r="E74" s="1">
        <v>23.18</v>
      </c>
      <c r="F74" s="1" t="s">
        <v>88</v>
      </c>
      <c r="G74" s="3">
        <v>-2.4799999999999999E-2</v>
      </c>
      <c r="H74" s="3">
        <f t="shared" si="1"/>
        <v>-2.4769101595298104E-2</v>
      </c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</row>
    <row r="75" spans="1:25" x14ac:dyDescent="0.3">
      <c r="A75" s="2">
        <v>45492</v>
      </c>
      <c r="B75" s="1">
        <v>22.67</v>
      </c>
      <c r="C75" s="1">
        <v>23.23</v>
      </c>
      <c r="D75" s="1">
        <v>23.32</v>
      </c>
      <c r="E75" s="1">
        <v>22.62</v>
      </c>
      <c r="F75" s="1" t="s">
        <v>89</v>
      </c>
      <c r="G75" s="3">
        <v>-2.41E-2</v>
      </c>
      <c r="H75" s="3">
        <f t="shared" si="1"/>
        <v>-2.4106758501937109E-2</v>
      </c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</row>
    <row r="76" spans="1:25" x14ac:dyDescent="0.3">
      <c r="A76" s="2">
        <v>45495</v>
      </c>
      <c r="B76" s="1">
        <v>22.03</v>
      </c>
      <c r="C76" s="1">
        <v>22.78</v>
      </c>
      <c r="D76" s="1">
        <v>22.87</v>
      </c>
      <c r="E76" s="1">
        <v>21.95</v>
      </c>
      <c r="F76" s="1" t="s">
        <v>90</v>
      </c>
      <c r="G76" s="3">
        <v>-2.8199999999999999E-2</v>
      </c>
      <c r="H76" s="3">
        <f t="shared" si="1"/>
        <v>-2.8231142479047233E-2</v>
      </c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</row>
    <row r="77" spans="1:25" x14ac:dyDescent="0.3">
      <c r="A77" s="2">
        <v>45496</v>
      </c>
      <c r="B77" s="1">
        <v>21.82</v>
      </c>
      <c r="C77" s="1">
        <v>22.03</v>
      </c>
      <c r="D77" s="1">
        <v>22.32</v>
      </c>
      <c r="E77" s="1">
        <v>21.79</v>
      </c>
      <c r="F77" s="1" t="s">
        <v>91</v>
      </c>
      <c r="G77" s="3">
        <v>-9.4999999999999998E-3</v>
      </c>
      <c r="H77" s="3">
        <f t="shared" si="1"/>
        <v>-9.5324557421697653E-3</v>
      </c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</row>
    <row r="78" spans="1:25" x14ac:dyDescent="0.3">
      <c r="A78" s="2">
        <v>45497</v>
      </c>
      <c r="B78" s="1">
        <v>21.1</v>
      </c>
      <c r="C78" s="1">
        <v>21.56</v>
      </c>
      <c r="D78" s="1">
        <v>21.6</v>
      </c>
      <c r="E78" s="1">
        <v>20.76</v>
      </c>
      <c r="F78" s="1" t="s">
        <v>92</v>
      </c>
      <c r="G78" s="3">
        <v>-3.3000000000000002E-2</v>
      </c>
      <c r="H78" s="3">
        <f t="shared" si="1"/>
        <v>-3.2997250229147568E-2</v>
      </c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</row>
    <row r="79" spans="1:25" x14ac:dyDescent="0.3">
      <c r="A79" s="2">
        <v>45498</v>
      </c>
      <c r="B79" s="1">
        <v>21.09</v>
      </c>
      <c r="C79" s="1">
        <v>21.07</v>
      </c>
      <c r="D79" s="1">
        <v>21.53</v>
      </c>
      <c r="E79" s="1">
        <v>20.92</v>
      </c>
      <c r="F79" s="1" t="s">
        <v>93</v>
      </c>
      <c r="G79" s="3">
        <v>-5.0000000000000001E-4</v>
      </c>
      <c r="H79" s="3">
        <f t="shared" si="1"/>
        <v>-4.7393364928915993E-4</v>
      </c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</row>
    <row r="80" spans="1:25" x14ac:dyDescent="0.3">
      <c r="A80" s="2">
        <v>45499</v>
      </c>
      <c r="B80" s="1">
        <v>22.11</v>
      </c>
      <c r="C80" s="1">
        <v>21.32</v>
      </c>
      <c r="D80" s="1">
        <v>22.14</v>
      </c>
      <c r="E80" s="1">
        <v>21.25</v>
      </c>
      <c r="F80" s="1" t="s">
        <v>94</v>
      </c>
      <c r="G80" s="3">
        <v>4.8399999999999999E-2</v>
      </c>
      <c r="H80" s="3">
        <f t="shared" si="1"/>
        <v>4.8364153627311612E-2</v>
      </c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</row>
    <row r="81" spans="1:25" x14ac:dyDescent="0.3">
      <c r="A81" s="2">
        <v>45502</v>
      </c>
      <c r="B81" s="1">
        <v>22.1</v>
      </c>
      <c r="C81" s="1">
        <v>22.21</v>
      </c>
      <c r="D81" s="1">
        <v>22.37</v>
      </c>
      <c r="E81" s="1">
        <v>21.85</v>
      </c>
      <c r="F81" s="1" t="s">
        <v>95</v>
      </c>
      <c r="G81" s="3">
        <v>-5.0000000000000001E-4</v>
      </c>
      <c r="H81" s="3">
        <f t="shared" si="1"/>
        <v>-4.5228403437347353E-4</v>
      </c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</row>
    <row r="82" spans="1:25" x14ac:dyDescent="0.3">
      <c r="A82" s="2">
        <v>45503</v>
      </c>
      <c r="B82" s="1">
        <v>22.53</v>
      </c>
      <c r="C82" s="1">
        <v>22.23</v>
      </c>
      <c r="D82" s="1">
        <v>22.7</v>
      </c>
      <c r="E82" s="1">
        <v>21.98</v>
      </c>
      <c r="F82" s="1" t="s">
        <v>96</v>
      </c>
      <c r="G82" s="3">
        <v>1.95E-2</v>
      </c>
      <c r="H82" s="3">
        <f t="shared" si="1"/>
        <v>1.9457013574660564E-2</v>
      </c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</row>
    <row r="83" spans="1:25" x14ac:dyDescent="0.3">
      <c r="A83" s="2">
        <v>45504</v>
      </c>
      <c r="B83" s="1">
        <v>22.83</v>
      </c>
      <c r="C83" s="1">
        <v>22.73</v>
      </c>
      <c r="D83" s="1">
        <v>23.13</v>
      </c>
      <c r="E83" s="1">
        <v>22.7</v>
      </c>
      <c r="F83" s="1" t="s">
        <v>97</v>
      </c>
      <c r="G83" s="3">
        <v>1.3299999999999999E-2</v>
      </c>
      <c r="H83" s="3">
        <f t="shared" si="1"/>
        <v>1.3315579227696217E-2</v>
      </c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</row>
    <row r="84" spans="1:25" x14ac:dyDescent="0.3">
      <c r="A84" s="2">
        <v>45505</v>
      </c>
      <c r="B84" s="1">
        <v>22.3</v>
      </c>
      <c r="C84" s="1">
        <v>22.98</v>
      </c>
      <c r="D84" s="1">
        <v>23.16</v>
      </c>
      <c r="E84" s="1">
        <v>21.92</v>
      </c>
      <c r="F84" s="1" t="s">
        <v>98</v>
      </c>
      <c r="G84" s="3">
        <v>-2.3199999999999998E-2</v>
      </c>
      <c r="H84" s="3">
        <f t="shared" si="1"/>
        <v>-2.3215067893122998E-2</v>
      </c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</row>
    <row r="85" spans="1:25" x14ac:dyDescent="0.3">
      <c r="A85" s="2">
        <v>45506</v>
      </c>
      <c r="B85" s="1">
        <v>21.13</v>
      </c>
      <c r="C85" s="1">
        <v>21.51</v>
      </c>
      <c r="D85" s="1">
        <v>21.58</v>
      </c>
      <c r="E85" s="1">
        <v>20.83</v>
      </c>
      <c r="F85" s="1" t="s">
        <v>99</v>
      </c>
      <c r="G85" s="3">
        <v>-5.2499999999999998E-2</v>
      </c>
      <c r="H85" s="3">
        <f t="shared" si="1"/>
        <v>-5.2466367713004614E-2</v>
      </c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x14ac:dyDescent="0.3">
      <c r="A86" s="2">
        <v>45509</v>
      </c>
      <c r="B86" s="1">
        <v>21.17</v>
      </c>
      <c r="C86" s="1">
        <v>19.59</v>
      </c>
      <c r="D86" s="1">
        <v>21.22</v>
      </c>
      <c r="E86" s="1">
        <v>19.45</v>
      </c>
      <c r="F86" s="1" t="s">
        <v>24</v>
      </c>
      <c r="G86" s="3">
        <v>1.9E-3</v>
      </c>
      <c r="H86" s="3">
        <f t="shared" si="1"/>
        <v>1.8930430667298825E-3</v>
      </c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x14ac:dyDescent="0.3">
      <c r="A87" s="2">
        <v>45510</v>
      </c>
      <c r="B87" s="1">
        <v>21.49</v>
      </c>
      <c r="C87" s="1">
        <v>21.38</v>
      </c>
      <c r="D87" s="1">
        <v>21.82</v>
      </c>
      <c r="E87" s="1">
        <v>20.76</v>
      </c>
      <c r="F87" s="1" t="s">
        <v>100</v>
      </c>
      <c r="G87" s="3">
        <v>1.5100000000000001E-2</v>
      </c>
      <c r="H87" s="3">
        <f t="shared" si="1"/>
        <v>1.5115729806329581E-2</v>
      </c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x14ac:dyDescent="0.3">
      <c r="A88" s="2">
        <v>45511</v>
      </c>
      <c r="B88" s="1">
        <v>21.28</v>
      </c>
      <c r="C88" s="1">
        <v>21.87</v>
      </c>
      <c r="D88" s="1">
        <v>22.2</v>
      </c>
      <c r="E88" s="1">
        <v>21.25</v>
      </c>
      <c r="F88" s="1" t="s">
        <v>83</v>
      </c>
      <c r="G88" s="3">
        <v>-9.7999999999999997E-3</v>
      </c>
      <c r="H88" s="3">
        <f t="shared" si="1"/>
        <v>-9.7719869706839324E-3</v>
      </c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x14ac:dyDescent="0.3">
      <c r="A89" s="2">
        <v>45512</v>
      </c>
      <c r="B89" s="1">
        <v>22.19</v>
      </c>
      <c r="C89" s="1">
        <v>21.64</v>
      </c>
      <c r="D89" s="1">
        <v>22.22</v>
      </c>
      <c r="E89" s="1">
        <v>21.37</v>
      </c>
      <c r="F89" s="1" t="s">
        <v>101</v>
      </c>
      <c r="G89" s="3">
        <v>4.2799999999999998E-2</v>
      </c>
      <c r="H89" s="3">
        <f t="shared" si="1"/>
        <v>4.2763157894736947E-2</v>
      </c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</row>
    <row r="90" spans="1:25" x14ac:dyDescent="0.3">
      <c r="A90" s="2">
        <v>45513</v>
      </c>
      <c r="B90" s="1">
        <v>22.25</v>
      </c>
      <c r="C90" s="1">
        <v>22.15</v>
      </c>
      <c r="D90" s="1">
        <v>22.43</v>
      </c>
      <c r="E90" s="1">
        <v>21.76</v>
      </c>
      <c r="F90" s="1" t="s">
        <v>102</v>
      </c>
      <c r="G90" s="3">
        <v>2.7000000000000001E-3</v>
      </c>
      <c r="H90" s="3">
        <f t="shared" si="1"/>
        <v>2.7039206849932551E-3</v>
      </c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</row>
    <row r="91" spans="1:25" x14ac:dyDescent="0.3">
      <c r="A91" s="2">
        <v>45516</v>
      </c>
      <c r="B91" s="1">
        <v>21.6</v>
      </c>
      <c r="C91" s="1">
        <v>22.39</v>
      </c>
      <c r="D91" s="1">
        <v>22.39</v>
      </c>
      <c r="E91" s="1">
        <v>21.52</v>
      </c>
      <c r="F91" s="1" t="s">
        <v>103</v>
      </c>
      <c r="G91" s="3">
        <v>-2.92E-2</v>
      </c>
      <c r="H91" s="3">
        <f t="shared" si="1"/>
        <v>-2.9213483146067309E-2</v>
      </c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</row>
    <row r="92" spans="1:25" x14ac:dyDescent="0.3">
      <c r="A92" s="2">
        <v>45517</v>
      </c>
      <c r="B92" s="1">
        <v>21.54</v>
      </c>
      <c r="C92" s="1">
        <v>21.72</v>
      </c>
      <c r="D92" s="1">
        <v>21.84</v>
      </c>
      <c r="E92" s="1">
        <v>21.42</v>
      </c>
      <c r="F92" s="1" t="s">
        <v>57</v>
      </c>
      <c r="G92" s="3">
        <v>-2.8E-3</v>
      </c>
      <c r="H92" s="3">
        <f t="shared" si="1"/>
        <v>-2.7777777777778789E-3</v>
      </c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</row>
    <row r="93" spans="1:25" x14ac:dyDescent="0.3">
      <c r="A93" s="2">
        <v>45518</v>
      </c>
      <c r="B93" s="1">
        <v>21.52</v>
      </c>
      <c r="C93" s="1">
        <v>21.6</v>
      </c>
      <c r="D93" s="1">
        <v>21.71</v>
      </c>
      <c r="E93" s="1">
        <v>21.31</v>
      </c>
      <c r="F93" s="1" t="s">
        <v>104</v>
      </c>
      <c r="G93" s="3">
        <v>-8.9999999999999998E-4</v>
      </c>
      <c r="H93" s="3">
        <f t="shared" si="1"/>
        <v>-9.2850510677811027E-4</v>
      </c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</row>
    <row r="94" spans="1:25" x14ac:dyDescent="0.3">
      <c r="A94" s="2">
        <v>45519</v>
      </c>
      <c r="B94" s="1">
        <v>22.49</v>
      </c>
      <c r="C94" s="1">
        <v>22.4</v>
      </c>
      <c r="D94" s="1">
        <v>23</v>
      </c>
      <c r="E94" s="1">
        <v>22.3</v>
      </c>
      <c r="F94" s="1" t="s">
        <v>33</v>
      </c>
      <c r="G94" s="3">
        <v>4.5100000000000001E-2</v>
      </c>
      <c r="H94" s="3">
        <f t="shared" si="1"/>
        <v>4.5074349442379091E-2</v>
      </c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</row>
    <row r="95" spans="1:25" x14ac:dyDescent="0.3">
      <c r="A95" s="2">
        <v>45520</v>
      </c>
      <c r="B95" s="1">
        <v>22.79</v>
      </c>
      <c r="C95" s="1">
        <v>22.42</v>
      </c>
      <c r="D95" s="1">
        <v>22.89</v>
      </c>
      <c r="E95" s="1">
        <v>22.38</v>
      </c>
      <c r="F95" s="1" t="s">
        <v>105</v>
      </c>
      <c r="G95" s="3">
        <v>1.3299999999999999E-2</v>
      </c>
      <c r="H95" s="3">
        <f t="shared" si="1"/>
        <v>1.3339261894175225E-2</v>
      </c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</row>
    <row r="96" spans="1:25" x14ac:dyDescent="0.3">
      <c r="A96" s="2">
        <v>45523</v>
      </c>
      <c r="B96" s="1">
        <v>22.39</v>
      </c>
      <c r="C96" s="1">
        <v>22.77</v>
      </c>
      <c r="D96" s="1">
        <v>22.89</v>
      </c>
      <c r="E96" s="1">
        <v>22.34</v>
      </c>
      <c r="F96" s="1" t="s">
        <v>106</v>
      </c>
      <c r="G96" s="3">
        <v>-1.7600000000000001E-2</v>
      </c>
      <c r="H96" s="3">
        <f t="shared" si="1"/>
        <v>-1.7551557700745901E-2</v>
      </c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</row>
    <row r="97" spans="1:25" x14ac:dyDescent="0.3">
      <c r="A97" s="2">
        <v>45524</v>
      </c>
      <c r="B97" s="1">
        <v>22.13</v>
      </c>
      <c r="C97" s="1">
        <v>22.2</v>
      </c>
      <c r="D97" s="1">
        <v>22.41</v>
      </c>
      <c r="E97" s="1">
        <v>21.77</v>
      </c>
      <c r="F97" s="1" t="s">
        <v>107</v>
      </c>
      <c r="G97" s="3">
        <v>-1.1599999999999999E-2</v>
      </c>
      <c r="H97" s="3">
        <f t="shared" si="1"/>
        <v>-1.1612326931666028E-2</v>
      </c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</row>
    <row r="98" spans="1:25" x14ac:dyDescent="0.3">
      <c r="A98" s="2">
        <v>45525</v>
      </c>
      <c r="B98" s="1">
        <v>21.43</v>
      </c>
      <c r="C98" s="1">
        <v>22.06</v>
      </c>
      <c r="D98" s="1">
        <v>22.42</v>
      </c>
      <c r="E98" s="1">
        <v>21.06</v>
      </c>
      <c r="F98" s="1" t="s">
        <v>108</v>
      </c>
      <c r="G98" s="3">
        <v>-3.1600000000000003E-2</v>
      </c>
      <c r="H98" s="3">
        <f t="shared" si="1"/>
        <v>-3.1631269769543557E-2</v>
      </c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</row>
    <row r="99" spans="1:25" x14ac:dyDescent="0.3">
      <c r="A99" s="2">
        <v>45526</v>
      </c>
      <c r="B99" s="1">
        <v>21.15</v>
      </c>
      <c r="C99" s="1">
        <v>21.41</v>
      </c>
      <c r="D99" s="1">
        <v>21.41</v>
      </c>
      <c r="E99" s="1">
        <v>21.05</v>
      </c>
      <c r="F99" s="1" t="s">
        <v>91</v>
      </c>
      <c r="G99" s="3">
        <v>-1.3100000000000001E-2</v>
      </c>
      <c r="H99" s="3">
        <f t="shared" si="1"/>
        <v>-1.3065795613625864E-2</v>
      </c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</row>
    <row r="100" spans="1:25" x14ac:dyDescent="0.3">
      <c r="A100" s="2">
        <v>45527</v>
      </c>
      <c r="B100" s="1">
        <v>21.73</v>
      </c>
      <c r="C100" s="1">
        <v>21.33</v>
      </c>
      <c r="D100" s="1">
        <v>21.8</v>
      </c>
      <c r="E100" s="1">
        <v>21.22</v>
      </c>
      <c r="F100" s="1" t="s">
        <v>76</v>
      </c>
      <c r="G100" s="3">
        <v>2.7400000000000001E-2</v>
      </c>
      <c r="H100" s="3">
        <f t="shared" si="1"/>
        <v>2.7423167848699803E-2</v>
      </c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</row>
    <row r="101" spans="1:25" x14ac:dyDescent="0.3">
      <c r="A101" s="2">
        <v>45530</v>
      </c>
      <c r="B101" s="1">
        <v>21.67</v>
      </c>
      <c r="C101" s="1">
        <v>21.76</v>
      </c>
      <c r="D101" s="1">
        <v>21.86</v>
      </c>
      <c r="E101" s="1">
        <v>21.44</v>
      </c>
      <c r="F101" s="1" t="s">
        <v>24</v>
      </c>
      <c r="G101" s="3">
        <v>-2.8E-3</v>
      </c>
      <c r="H101" s="3">
        <f t="shared" si="1"/>
        <v>-2.7611596870684707E-3</v>
      </c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x14ac:dyDescent="0.3">
      <c r="A102" s="2">
        <v>45531</v>
      </c>
      <c r="B102" s="1">
        <v>21.14</v>
      </c>
      <c r="C102" s="1">
        <v>21.01</v>
      </c>
      <c r="D102" s="1">
        <v>21.45</v>
      </c>
      <c r="E102" s="1">
        <v>20.92</v>
      </c>
      <c r="F102" s="1" t="s">
        <v>109</v>
      </c>
      <c r="G102" s="3">
        <v>-2.4500000000000001E-2</v>
      </c>
      <c r="H102" s="3">
        <f t="shared" si="1"/>
        <v>-2.4457775726811293E-2</v>
      </c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x14ac:dyDescent="0.3">
      <c r="A103" s="2">
        <v>45532</v>
      </c>
      <c r="B103" s="1">
        <v>22.03</v>
      </c>
      <c r="C103" s="1">
        <v>22</v>
      </c>
      <c r="D103" s="1">
        <v>23.23</v>
      </c>
      <c r="E103" s="1">
        <v>21.49</v>
      </c>
      <c r="F103" s="1" t="s">
        <v>110</v>
      </c>
      <c r="G103" s="3">
        <v>4.2099999999999999E-2</v>
      </c>
      <c r="H103" s="3">
        <f t="shared" si="1"/>
        <v>4.2100283822138262E-2</v>
      </c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x14ac:dyDescent="0.3">
      <c r="A104" s="2">
        <v>45533</v>
      </c>
      <c r="B104" s="1">
        <v>21.99</v>
      </c>
      <c r="C104" s="1">
        <v>22.11</v>
      </c>
      <c r="D104" s="1">
        <v>22.51</v>
      </c>
      <c r="E104" s="1">
        <v>21.78</v>
      </c>
      <c r="F104" s="1" t="s">
        <v>111</v>
      </c>
      <c r="G104" s="3">
        <v>-1.8E-3</v>
      </c>
      <c r="H104" s="3">
        <f t="shared" si="1"/>
        <v>-1.8157058556514949E-3</v>
      </c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x14ac:dyDescent="0.3">
      <c r="A105" s="2">
        <v>45534</v>
      </c>
      <c r="B105" s="1">
        <v>22.34</v>
      </c>
      <c r="C105" s="1">
        <v>22.25</v>
      </c>
      <c r="D105" s="1">
        <v>22.52</v>
      </c>
      <c r="E105" s="1">
        <v>22.05</v>
      </c>
      <c r="F105" s="1" t="s">
        <v>40</v>
      </c>
      <c r="G105" s="3">
        <v>1.5900000000000001E-2</v>
      </c>
      <c r="H105" s="3">
        <f t="shared" si="1"/>
        <v>1.5916325602546744E-2</v>
      </c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x14ac:dyDescent="0.3">
      <c r="A106" s="2">
        <v>45538</v>
      </c>
      <c r="B106" s="1">
        <v>22.82</v>
      </c>
      <c r="C106" s="1">
        <v>21.97</v>
      </c>
      <c r="D106" s="1">
        <v>22.88</v>
      </c>
      <c r="E106" s="1">
        <v>21.84</v>
      </c>
      <c r="F106" s="1" t="s">
        <v>112</v>
      </c>
      <c r="G106" s="3">
        <v>2.1499999999999998E-2</v>
      </c>
      <c r="H106" s="3">
        <f t="shared" si="1"/>
        <v>2.14861235452104E-2</v>
      </c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x14ac:dyDescent="0.3">
      <c r="A107" s="2">
        <v>45539</v>
      </c>
      <c r="B107" s="1">
        <v>22.78</v>
      </c>
      <c r="C107" s="1">
        <v>22.97</v>
      </c>
      <c r="D107" s="1">
        <v>23.58</v>
      </c>
      <c r="E107" s="1">
        <v>22.57</v>
      </c>
      <c r="F107" s="1" t="s">
        <v>113</v>
      </c>
      <c r="G107" s="3">
        <v>-1.8E-3</v>
      </c>
      <c r="H107" s="3">
        <f t="shared" si="1"/>
        <v>-1.7528483786152238E-3</v>
      </c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x14ac:dyDescent="0.3">
      <c r="A108" s="2">
        <v>45540</v>
      </c>
      <c r="B108" s="1">
        <v>22.6</v>
      </c>
      <c r="C108" s="1">
        <v>23.01</v>
      </c>
      <c r="D108" s="1">
        <v>23.28</v>
      </c>
      <c r="E108" s="1">
        <v>22.54</v>
      </c>
      <c r="F108" s="1" t="s">
        <v>114</v>
      </c>
      <c r="G108" s="3">
        <v>-7.9000000000000008E-3</v>
      </c>
      <c r="H108" s="3">
        <f t="shared" si="1"/>
        <v>-7.9016681299385327E-3</v>
      </c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x14ac:dyDescent="0.3">
      <c r="A109" s="2">
        <v>45541</v>
      </c>
      <c r="B109" s="1">
        <v>22.82</v>
      </c>
      <c r="C109" s="1">
        <v>22.22</v>
      </c>
      <c r="D109" s="1">
        <v>22.83</v>
      </c>
      <c r="E109" s="1">
        <v>22.19</v>
      </c>
      <c r="F109" s="1" t="s">
        <v>52</v>
      </c>
      <c r="G109" s="3">
        <v>9.7000000000000003E-3</v>
      </c>
      <c r="H109" s="3">
        <f t="shared" si="1"/>
        <v>9.7345132743362761E-3</v>
      </c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</row>
    <row r="110" spans="1:25" x14ac:dyDescent="0.3">
      <c r="A110" s="2">
        <v>45544</v>
      </c>
      <c r="B110" s="1">
        <v>22.08</v>
      </c>
      <c r="C110" s="1">
        <v>22.84</v>
      </c>
      <c r="D110" s="1">
        <v>22.84</v>
      </c>
      <c r="E110" s="1">
        <v>21.97</v>
      </c>
      <c r="F110" s="1" t="s">
        <v>56</v>
      </c>
      <c r="G110" s="3">
        <v>-3.2399999999999998E-2</v>
      </c>
      <c r="H110" s="3">
        <f t="shared" si="1"/>
        <v>-3.2427695004382251E-2</v>
      </c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</row>
    <row r="111" spans="1:25" x14ac:dyDescent="0.3">
      <c r="A111" s="2">
        <v>45545</v>
      </c>
      <c r="B111" s="1">
        <v>22.24</v>
      </c>
      <c r="C111" s="1">
        <v>22.12</v>
      </c>
      <c r="D111" s="1">
        <v>22.31</v>
      </c>
      <c r="E111" s="1">
        <v>21.55</v>
      </c>
      <c r="F111" s="1" t="s">
        <v>115</v>
      </c>
      <c r="G111" s="3">
        <v>7.1999999999999998E-3</v>
      </c>
      <c r="H111" s="3">
        <f t="shared" si="1"/>
        <v>7.2463768115942351E-3</v>
      </c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</row>
    <row r="112" spans="1:25" x14ac:dyDescent="0.3">
      <c r="A112" s="2">
        <v>45546</v>
      </c>
      <c r="B112" s="1">
        <v>22.11</v>
      </c>
      <c r="C112" s="1">
        <v>22.12</v>
      </c>
      <c r="D112" s="1">
        <v>22.17</v>
      </c>
      <c r="E112" s="1">
        <v>21.7</v>
      </c>
      <c r="F112" s="1" t="s">
        <v>92</v>
      </c>
      <c r="G112" s="3">
        <v>-5.7999999999999996E-3</v>
      </c>
      <c r="H112" s="3">
        <f t="shared" si="1"/>
        <v>-5.8453237410071024E-3</v>
      </c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</row>
    <row r="113" spans="1:25" x14ac:dyDescent="0.3">
      <c r="A113" s="2">
        <v>45547</v>
      </c>
      <c r="B113" s="1">
        <v>22.5</v>
      </c>
      <c r="C113" s="1">
        <v>22.02</v>
      </c>
      <c r="D113" s="1">
        <v>22.52</v>
      </c>
      <c r="E113" s="1">
        <v>22</v>
      </c>
      <c r="F113" s="1" t="s">
        <v>116</v>
      </c>
      <c r="G113" s="3">
        <v>1.7600000000000001E-2</v>
      </c>
      <c r="H113" s="3">
        <f t="shared" si="1"/>
        <v>1.7639077340569909E-2</v>
      </c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</row>
    <row r="114" spans="1:25" x14ac:dyDescent="0.3">
      <c r="A114" s="2">
        <v>45548</v>
      </c>
      <c r="B114" s="1">
        <v>22.4</v>
      </c>
      <c r="C114" s="1">
        <v>22.8</v>
      </c>
      <c r="D114" s="1">
        <v>23.14</v>
      </c>
      <c r="E114" s="1">
        <v>22.3</v>
      </c>
      <c r="F114" s="1" t="s">
        <v>117</v>
      </c>
      <c r="G114" s="3">
        <v>-4.4000000000000003E-3</v>
      </c>
      <c r="H114" s="3">
        <f t="shared" si="1"/>
        <v>-4.4444444444444731E-3</v>
      </c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</row>
    <row r="115" spans="1:25" x14ac:dyDescent="0.3">
      <c r="A115" s="2">
        <v>45551</v>
      </c>
      <c r="B115" s="1">
        <v>22.54</v>
      </c>
      <c r="C115" s="1">
        <v>22.37</v>
      </c>
      <c r="D115" s="1">
        <v>22.71</v>
      </c>
      <c r="E115" s="1">
        <v>22.37</v>
      </c>
      <c r="F115" s="1" t="s">
        <v>118</v>
      </c>
      <c r="G115" s="3">
        <v>6.3E-3</v>
      </c>
      <c r="H115" s="3">
        <f t="shared" si="1"/>
        <v>6.2500000000000888E-3</v>
      </c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</row>
    <row r="116" spans="1:25" x14ac:dyDescent="0.3">
      <c r="A116" s="2">
        <v>45552</v>
      </c>
      <c r="B116" s="1">
        <v>22.56</v>
      </c>
      <c r="C116" s="1">
        <v>22.69</v>
      </c>
      <c r="D116" s="1">
        <v>23.04</v>
      </c>
      <c r="E116" s="1">
        <v>22.43</v>
      </c>
      <c r="F116" s="1" t="s">
        <v>119</v>
      </c>
      <c r="G116" s="3">
        <v>8.9999999999999998E-4</v>
      </c>
      <c r="H116" s="3">
        <f t="shared" si="1"/>
        <v>8.8731144631770675E-4</v>
      </c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</row>
    <row r="117" spans="1:25" x14ac:dyDescent="0.3">
      <c r="A117" s="2">
        <v>45553</v>
      </c>
      <c r="B117" s="1">
        <v>22.56</v>
      </c>
      <c r="C117" s="1">
        <v>22.68</v>
      </c>
      <c r="D117" s="1">
        <v>23.07</v>
      </c>
      <c r="E117" s="1">
        <v>22.48</v>
      </c>
      <c r="F117" s="1" t="s">
        <v>52</v>
      </c>
      <c r="G117" s="3">
        <v>0</v>
      </c>
      <c r="H117" s="3">
        <f t="shared" si="1"/>
        <v>0</v>
      </c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</row>
    <row r="118" spans="1:25" x14ac:dyDescent="0.3">
      <c r="A118" s="2">
        <v>45554</v>
      </c>
      <c r="B118" s="1">
        <v>22.91</v>
      </c>
      <c r="C118" s="1">
        <v>22.92</v>
      </c>
      <c r="D118" s="1">
        <v>23</v>
      </c>
      <c r="E118" s="1">
        <v>22.66</v>
      </c>
      <c r="F118" s="1" t="s">
        <v>52</v>
      </c>
      <c r="G118" s="3">
        <v>1.55E-2</v>
      </c>
      <c r="H118" s="3">
        <f t="shared" si="1"/>
        <v>1.5514184397163122E-2</v>
      </c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</row>
    <row r="119" spans="1:25" x14ac:dyDescent="0.3">
      <c r="A119" s="2">
        <v>45555</v>
      </c>
      <c r="B119" s="1">
        <v>23.02</v>
      </c>
      <c r="C119" s="1">
        <v>22.86</v>
      </c>
      <c r="D119" s="1">
        <v>23.23</v>
      </c>
      <c r="E119" s="1">
        <v>22.71</v>
      </c>
      <c r="F119" s="1" t="s">
        <v>85</v>
      </c>
      <c r="G119" s="3">
        <v>4.7999999999999996E-3</v>
      </c>
      <c r="H119" s="3">
        <f t="shared" si="1"/>
        <v>4.8013967699693794E-3</v>
      </c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</row>
    <row r="120" spans="1:25" x14ac:dyDescent="0.3">
      <c r="A120" s="2">
        <v>45558</v>
      </c>
      <c r="B120" s="1">
        <v>23</v>
      </c>
      <c r="C120" s="1">
        <v>22.87</v>
      </c>
      <c r="D120" s="1">
        <v>23.12</v>
      </c>
      <c r="E120" s="1">
        <v>22.47</v>
      </c>
      <c r="F120" s="1" t="s">
        <v>90</v>
      </c>
      <c r="G120" s="3">
        <v>-8.9999999999999998E-4</v>
      </c>
      <c r="H120" s="3">
        <f t="shared" si="1"/>
        <v>-8.6880973066894018E-4</v>
      </c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</row>
    <row r="121" spans="1:25" x14ac:dyDescent="0.3">
      <c r="A121" s="2">
        <v>45559</v>
      </c>
      <c r="B121" s="1">
        <v>23.21</v>
      </c>
      <c r="C121" s="1">
        <v>23.05</v>
      </c>
      <c r="D121" s="1">
        <v>23.55</v>
      </c>
      <c r="E121" s="1">
        <v>22.85</v>
      </c>
      <c r="F121" s="1" t="s">
        <v>120</v>
      </c>
      <c r="G121" s="3">
        <v>9.1000000000000004E-3</v>
      </c>
      <c r="H121" s="3">
        <f t="shared" si="1"/>
        <v>9.1304347826086651E-3</v>
      </c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</row>
    <row r="122" spans="1:25" x14ac:dyDescent="0.3">
      <c r="A122" s="2">
        <v>45560</v>
      </c>
      <c r="B122" s="1">
        <v>22.64</v>
      </c>
      <c r="C122" s="1">
        <v>23.14</v>
      </c>
      <c r="D122" s="1">
        <v>23.21</v>
      </c>
      <c r="E122" s="1">
        <v>22.55</v>
      </c>
      <c r="F122" s="1" t="s">
        <v>43</v>
      </c>
      <c r="G122" s="3">
        <v>-2.46E-2</v>
      </c>
      <c r="H122" s="3">
        <f t="shared" si="1"/>
        <v>-2.4558380008616987E-2</v>
      </c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</row>
    <row r="123" spans="1:25" x14ac:dyDescent="0.3">
      <c r="A123" s="2">
        <v>45561</v>
      </c>
      <c r="B123" s="1">
        <v>22.47</v>
      </c>
      <c r="C123" s="1">
        <v>22.54</v>
      </c>
      <c r="D123" s="1">
        <v>22.64</v>
      </c>
      <c r="E123" s="1">
        <v>21.95</v>
      </c>
      <c r="F123" s="1" t="s">
        <v>20</v>
      </c>
      <c r="G123" s="3">
        <v>-7.4999999999999997E-3</v>
      </c>
      <c r="H123" s="3">
        <f t="shared" si="1"/>
        <v>-7.5088339222615375E-3</v>
      </c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</row>
    <row r="124" spans="1:25" x14ac:dyDescent="0.3">
      <c r="A124" s="2">
        <v>45562</v>
      </c>
      <c r="B124" s="1">
        <v>22.2</v>
      </c>
      <c r="C124" s="1">
        <v>22.48</v>
      </c>
      <c r="D124" s="1">
        <v>22.55</v>
      </c>
      <c r="E124" s="1">
        <v>22.06</v>
      </c>
      <c r="F124" s="1" t="s">
        <v>66</v>
      </c>
      <c r="G124" s="3">
        <v>-1.2E-2</v>
      </c>
      <c r="H124" s="3">
        <f t="shared" si="1"/>
        <v>-1.2016021361815787E-2</v>
      </c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</row>
    <row r="125" spans="1:25" x14ac:dyDescent="0.3">
      <c r="A125" s="2">
        <v>45565</v>
      </c>
      <c r="B125" s="1">
        <v>22.49</v>
      </c>
      <c r="C125" s="1">
        <v>22.26</v>
      </c>
      <c r="D125" s="1">
        <v>22.74</v>
      </c>
      <c r="E125" s="1">
        <v>22.17</v>
      </c>
      <c r="F125" s="1" t="s">
        <v>121</v>
      </c>
      <c r="G125" s="3">
        <v>1.3100000000000001E-2</v>
      </c>
      <c r="H125" s="3">
        <f t="shared" si="1"/>
        <v>1.3063063063063041E-2</v>
      </c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</row>
    <row r="126" spans="1:25" x14ac:dyDescent="0.3">
      <c r="A126" s="2">
        <v>45566</v>
      </c>
      <c r="B126" s="1">
        <v>21.7</v>
      </c>
      <c r="C126" s="1">
        <v>22.39</v>
      </c>
      <c r="D126" s="1">
        <v>22.41</v>
      </c>
      <c r="E126" s="1">
        <v>21.69</v>
      </c>
      <c r="F126" s="1" t="s">
        <v>70</v>
      </c>
      <c r="G126" s="3">
        <v>-3.5099999999999999E-2</v>
      </c>
      <c r="H126" s="3">
        <f t="shared" si="1"/>
        <v>-3.5126722987994574E-2</v>
      </c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</row>
    <row r="127" spans="1:25" x14ac:dyDescent="0.3">
      <c r="A127" s="2">
        <v>45567</v>
      </c>
      <c r="B127" s="1">
        <v>21.42</v>
      </c>
      <c r="C127" s="1">
        <v>21.53</v>
      </c>
      <c r="D127" s="1">
        <v>22</v>
      </c>
      <c r="E127" s="1">
        <v>21.35</v>
      </c>
      <c r="F127" s="1" t="s">
        <v>122</v>
      </c>
      <c r="G127" s="3">
        <v>-1.29E-2</v>
      </c>
      <c r="H127" s="3">
        <f t="shared" si="1"/>
        <v>-1.2903225806451535E-2</v>
      </c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</row>
    <row r="128" spans="1:25" x14ac:dyDescent="0.3">
      <c r="A128" s="2">
        <v>45568</v>
      </c>
      <c r="B128" s="1">
        <v>21.47</v>
      </c>
      <c r="C128" s="1">
        <v>21.23</v>
      </c>
      <c r="D128" s="1">
        <v>21.62</v>
      </c>
      <c r="E128" s="1">
        <v>21.12</v>
      </c>
      <c r="F128" s="1" t="s">
        <v>123</v>
      </c>
      <c r="G128" s="3">
        <v>2.3E-3</v>
      </c>
      <c r="H128" s="3">
        <f t="shared" si="1"/>
        <v>2.3342670401491628E-3</v>
      </c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</row>
    <row r="129" spans="1:25" x14ac:dyDescent="0.3">
      <c r="A129" s="2">
        <v>45569</v>
      </c>
      <c r="B129" s="1">
        <v>21.97</v>
      </c>
      <c r="C129" s="1">
        <v>21.8</v>
      </c>
      <c r="D129" s="1">
        <v>22.29</v>
      </c>
      <c r="E129" s="1">
        <v>21.68</v>
      </c>
      <c r="F129" s="1" t="s">
        <v>88</v>
      </c>
      <c r="G129" s="3">
        <v>2.3300000000000001E-2</v>
      </c>
      <c r="H129" s="3">
        <f t="shared" si="1"/>
        <v>2.3288309268747032E-2</v>
      </c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</row>
    <row r="130" spans="1:25" x14ac:dyDescent="0.3">
      <c r="A130" s="2">
        <v>45572</v>
      </c>
      <c r="B130" s="1">
        <v>21.91</v>
      </c>
      <c r="C130" s="1">
        <v>21.89</v>
      </c>
      <c r="D130" s="1">
        <v>21.97</v>
      </c>
      <c r="E130" s="1">
        <v>21.56</v>
      </c>
      <c r="F130" s="1" t="s">
        <v>87</v>
      </c>
      <c r="G130" s="3">
        <v>-2.7000000000000001E-3</v>
      </c>
      <c r="H130" s="3">
        <f t="shared" si="1"/>
        <v>-2.7309968138370389E-3</v>
      </c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</row>
    <row r="131" spans="1:25" x14ac:dyDescent="0.3">
      <c r="A131" s="2">
        <v>45573</v>
      </c>
      <c r="B131" s="1">
        <v>21.99</v>
      </c>
      <c r="C131" s="1">
        <v>21.95</v>
      </c>
      <c r="D131" s="1">
        <v>22.24</v>
      </c>
      <c r="E131" s="1">
        <v>21.75</v>
      </c>
      <c r="F131" s="1" t="s">
        <v>124</v>
      </c>
      <c r="G131" s="3">
        <v>3.7000000000000002E-3</v>
      </c>
      <c r="H131" s="3">
        <f t="shared" si="1"/>
        <v>3.6513007759013671E-3</v>
      </c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</row>
    <row r="132" spans="1:25" x14ac:dyDescent="0.3">
      <c r="A132" s="2">
        <v>45574</v>
      </c>
      <c r="B132" s="1">
        <v>21.94</v>
      </c>
      <c r="C132" s="1">
        <v>22.03</v>
      </c>
      <c r="D132" s="1">
        <v>22.12</v>
      </c>
      <c r="E132" s="1">
        <v>21.81</v>
      </c>
      <c r="F132" s="1" t="s">
        <v>125</v>
      </c>
      <c r="G132" s="3">
        <v>-2.3E-3</v>
      </c>
      <c r="H132" s="3">
        <f t="shared" ref="H132:H195" si="2">(B132/B131)-1</f>
        <v>-2.2737608003636778E-3</v>
      </c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</row>
    <row r="133" spans="1:25" x14ac:dyDescent="0.3">
      <c r="A133" s="2">
        <v>45575</v>
      </c>
      <c r="B133" s="1">
        <v>21.96</v>
      </c>
      <c r="C133" s="1">
        <v>21.89</v>
      </c>
      <c r="D133" s="1">
        <v>22.06</v>
      </c>
      <c r="E133" s="1">
        <v>21.52</v>
      </c>
      <c r="F133" s="1" t="s">
        <v>126</v>
      </c>
      <c r="G133" s="3">
        <v>8.9999999999999998E-4</v>
      </c>
      <c r="H133" s="3">
        <f t="shared" si="2"/>
        <v>9.1157702825883646E-4</v>
      </c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</row>
    <row r="134" spans="1:25" x14ac:dyDescent="0.3">
      <c r="A134" s="2">
        <v>45576</v>
      </c>
      <c r="B134" s="1">
        <v>22.35</v>
      </c>
      <c r="C134" s="1">
        <v>22.06</v>
      </c>
      <c r="D134" s="1">
        <v>22.42</v>
      </c>
      <c r="E134" s="1">
        <v>22.06</v>
      </c>
      <c r="F134" s="1" t="s">
        <v>127</v>
      </c>
      <c r="G134" s="3">
        <v>1.78E-2</v>
      </c>
      <c r="H134" s="3">
        <f t="shared" si="2"/>
        <v>1.775956284153013E-2</v>
      </c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</row>
    <row r="135" spans="1:25" x14ac:dyDescent="0.3">
      <c r="A135" s="2">
        <v>45579</v>
      </c>
      <c r="B135" s="1">
        <v>22.91</v>
      </c>
      <c r="C135" s="1">
        <v>22.33</v>
      </c>
      <c r="D135" s="1">
        <v>22.93</v>
      </c>
      <c r="E135" s="1">
        <v>22.09</v>
      </c>
      <c r="F135" s="1" t="s">
        <v>105</v>
      </c>
      <c r="G135" s="3">
        <v>2.5100000000000001E-2</v>
      </c>
      <c r="H135" s="3">
        <f t="shared" si="2"/>
        <v>2.5055928411632955E-2</v>
      </c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</row>
    <row r="136" spans="1:25" x14ac:dyDescent="0.3">
      <c r="A136" s="2">
        <v>45580</v>
      </c>
      <c r="B136" s="1">
        <v>24.08</v>
      </c>
      <c r="C136" s="1">
        <v>22.81</v>
      </c>
      <c r="D136" s="1">
        <v>24.19</v>
      </c>
      <c r="E136" s="1">
        <v>22.78</v>
      </c>
      <c r="F136" s="1" t="s">
        <v>128</v>
      </c>
      <c r="G136" s="3">
        <v>5.11E-2</v>
      </c>
      <c r="H136" s="3">
        <f t="shared" si="2"/>
        <v>5.1069402007856812E-2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</row>
    <row r="137" spans="1:25" x14ac:dyDescent="0.3">
      <c r="A137" s="2">
        <v>45581</v>
      </c>
      <c r="B137" s="1">
        <v>24.42</v>
      </c>
      <c r="C137" s="1">
        <v>24.26</v>
      </c>
      <c r="D137" s="1">
        <v>24.82</v>
      </c>
      <c r="E137" s="1">
        <v>24.17</v>
      </c>
      <c r="F137" s="1" t="s">
        <v>41</v>
      </c>
      <c r="G137" s="3">
        <v>1.41E-2</v>
      </c>
      <c r="H137" s="3">
        <f t="shared" si="2"/>
        <v>1.4119601328903775E-2</v>
      </c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</row>
    <row r="138" spans="1:25" x14ac:dyDescent="0.3">
      <c r="A138" s="2">
        <v>45582</v>
      </c>
      <c r="B138" s="1">
        <v>24.46</v>
      </c>
      <c r="C138" s="1">
        <v>24.38</v>
      </c>
      <c r="D138" s="1">
        <v>24.65</v>
      </c>
      <c r="E138" s="1">
        <v>24.2</v>
      </c>
      <c r="F138" s="1" t="s">
        <v>69</v>
      </c>
      <c r="G138" s="3">
        <v>1.6000000000000001E-3</v>
      </c>
      <c r="H138" s="3">
        <f t="shared" si="2"/>
        <v>1.6380016380015405E-3</v>
      </c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</row>
    <row r="139" spans="1:25" x14ac:dyDescent="0.3">
      <c r="A139" s="2">
        <v>45583</v>
      </c>
      <c r="B139" s="1">
        <v>24.67</v>
      </c>
      <c r="C139" s="1">
        <v>24.46</v>
      </c>
      <c r="D139" s="1">
        <v>24.93</v>
      </c>
      <c r="E139" s="1">
        <v>24.4</v>
      </c>
      <c r="F139" s="1" t="s">
        <v>94</v>
      </c>
      <c r="G139" s="3">
        <v>8.6E-3</v>
      </c>
      <c r="H139" s="3">
        <f t="shared" si="2"/>
        <v>8.5854456255110012E-3</v>
      </c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</row>
    <row r="140" spans="1:25" x14ac:dyDescent="0.3">
      <c r="A140" s="2">
        <v>45586</v>
      </c>
      <c r="B140" s="1">
        <v>23.99</v>
      </c>
      <c r="C140" s="1">
        <v>24.62</v>
      </c>
      <c r="D140" s="1">
        <v>24.83</v>
      </c>
      <c r="E140" s="1">
        <v>23.91</v>
      </c>
      <c r="F140" s="1" t="s">
        <v>91</v>
      </c>
      <c r="G140" s="3">
        <v>-2.76E-2</v>
      </c>
      <c r="H140" s="3">
        <f t="shared" si="2"/>
        <v>-2.75638427239564E-2</v>
      </c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</row>
    <row r="141" spans="1:25" x14ac:dyDescent="0.3">
      <c r="A141" s="2">
        <v>45587</v>
      </c>
      <c r="B141" s="1">
        <v>23.13</v>
      </c>
      <c r="C141" s="1">
        <v>23.97</v>
      </c>
      <c r="D141" s="1">
        <v>24</v>
      </c>
      <c r="E141" s="1">
        <v>23.07</v>
      </c>
      <c r="F141" s="1" t="s">
        <v>121</v>
      </c>
      <c r="G141" s="3">
        <v>-3.5799999999999998E-2</v>
      </c>
      <c r="H141" s="3">
        <f t="shared" si="2"/>
        <v>-3.5848270112546876E-2</v>
      </c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</row>
    <row r="142" spans="1:25" x14ac:dyDescent="0.3">
      <c r="A142" s="2">
        <v>45588</v>
      </c>
      <c r="B142" s="1">
        <v>22.69</v>
      </c>
      <c r="C142" s="1">
        <v>23</v>
      </c>
      <c r="D142" s="1">
        <v>23.3</v>
      </c>
      <c r="E142" s="1">
        <v>22.66</v>
      </c>
      <c r="F142" s="1" t="s">
        <v>129</v>
      </c>
      <c r="G142" s="3">
        <v>-1.9E-2</v>
      </c>
      <c r="H142" s="3">
        <f t="shared" si="2"/>
        <v>-1.9022913964548138E-2</v>
      </c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</row>
    <row r="143" spans="1:25" x14ac:dyDescent="0.3">
      <c r="A143" s="2">
        <v>45589</v>
      </c>
      <c r="B143" s="1">
        <v>22.54</v>
      </c>
      <c r="C143" s="1">
        <v>22.8</v>
      </c>
      <c r="D143" s="1">
        <v>22.96</v>
      </c>
      <c r="E143" s="1">
        <v>22.43</v>
      </c>
      <c r="F143" s="1" t="s">
        <v>130</v>
      </c>
      <c r="G143" s="3">
        <v>-6.6E-3</v>
      </c>
      <c r="H143" s="3">
        <f t="shared" si="2"/>
        <v>-6.6108417805201825E-3</v>
      </c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</row>
    <row r="144" spans="1:25" x14ac:dyDescent="0.3">
      <c r="A144" s="2">
        <v>45590</v>
      </c>
      <c r="B144" s="1">
        <v>22.73</v>
      </c>
      <c r="C144" s="1">
        <v>22.71</v>
      </c>
      <c r="D144" s="1">
        <v>22.98</v>
      </c>
      <c r="E144" s="1">
        <v>22.47</v>
      </c>
      <c r="F144" s="1" t="s">
        <v>131</v>
      </c>
      <c r="G144" s="3">
        <v>8.3999999999999995E-3</v>
      </c>
      <c r="H144" s="3">
        <f t="shared" si="2"/>
        <v>8.4294587400177701E-3</v>
      </c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</row>
    <row r="145" spans="1:25" x14ac:dyDescent="0.3">
      <c r="A145" s="2">
        <v>45593</v>
      </c>
      <c r="B145" s="1">
        <v>23.22</v>
      </c>
      <c r="C145" s="1">
        <v>22.72</v>
      </c>
      <c r="D145" s="1">
        <v>23.41</v>
      </c>
      <c r="E145" s="1">
        <v>22.67</v>
      </c>
      <c r="F145" s="1" t="s">
        <v>132</v>
      </c>
      <c r="G145" s="3">
        <v>2.1600000000000001E-2</v>
      </c>
      <c r="H145" s="3">
        <f t="shared" si="2"/>
        <v>2.1557413110426582E-2</v>
      </c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</row>
    <row r="146" spans="1:25" x14ac:dyDescent="0.3">
      <c r="A146" s="2">
        <v>45594</v>
      </c>
      <c r="B146" s="1">
        <v>23.64</v>
      </c>
      <c r="C146" s="1">
        <v>23.16</v>
      </c>
      <c r="D146" s="1">
        <v>23.9</v>
      </c>
      <c r="E146" s="1">
        <v>23.08</v>
      </c>
      <c r="F146" s="1" t="s">
        <v>133</v>
      </c>
      <c r="G146" s="3">
        <v>1.8100000000000002E-2</v>
      </c>
      <c r="H146" s="3">
        <f t="shared" si="2"/>
        <v>1.8087855297157729E-2</v>
      </c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</row>
    <row r="147" spans="1:25" x14ac:dyDescent="0.3">
      <c r="A147" s="2">
        <v>45595</v>
      </c>
      <c r="B147" s="1">
        <v>23.38</v>
      </c>
      <c r="C147" s="1">
        <v>23.56</v>
      </c>
      <c r="D147" s="1">
        <v>23.91</v>
      </c>
      <c r="E147" s="1">
        <v>22.94</v>
      </c>
      <c r="F147" s="1" t="s">
        <v>134</v>
      </c>
      <c r="G147" s="3">
        <v>-1.0999999999999999E-2</v>
      </c>
      <c r="H147" s="3">
        <f t="shared" si="2"/>
        <v>-1.0998307952622688E-2</v>
      </c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</row>
    <row r="148" spans="1:25" x14ac:dyDescent="0.3">
      <c r="A148" s="2">
        <v>45596</v>
      </c>
      <c r="B148" s="1">
        <v>22.61</v>
      </c>
      <c r="C148" s="1">
        <v>23.27</v>
      </c>
      <c r="D148" s="1">
        <v>23.43</v>
      </c>
      <c r="E148" s="1">
        <v>22.59</v>
      </c>
      <c r="F148" s="1" t="s">
        <v>114</v>
      </c>
      <c r="G148" s="3">
        <v>-3.2899999999999999E-2</v>
      </c>
      <c r="H148" s="3">
        <f t="shared" si="2"/>
        <v>-3.2934131736526928E-2</v>
      </c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</row>
    <row r="149" spans="1:25" x14ac:dyDescent="0.3">
      <c r="A149" s="2">
        <v>45597</v>
      </c>
      <c r="B149" s="1">
        <v>22.56</v>
      </c>
      <c r="C149" s="1">
        <v>22.69</v>
      </c>
      <c r="D149" s="1">
        <v>22.93</v>
      </c>
      <c r="E149" s="1">
        <v>22.49</v>
      </c>
      <c r="F149" s="1" t="s">
        <v>135</v>
      </c>
      <c r="G149" s="3">
        <v>-2.2000000000000001E-3</v>
      </c>
      <c r="H149" s="3">
        <f t="shared" si="2"/>
        <v>-2.21141088014154E-3</v>
      </c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</row>
    <row r="150" spans="1:25" x14ac:dyDescent="0.3">
      <c r="A150" s="2">
        <v>45600</v>
      </c>
      <c r="B150" s="1">
        <v>22.91</v>
      </c>
      <c r="C150" s="1">
        <v>22.45</v>
      </c>
      <c r="D150" s="1">
        <v>23.03</v>
      </c>
      <c r="E150" s="1">
        <v>22.45</v>
      </c>
      <c r="F150" s="1" t="s">
        <v>136</v>
      </c>
      <c r="G150" s="3">
        <v>1.55E-2</v>
      </c>
      <c r="H150" s="3">
        <f t="shared" si="2"/>
        <v>1.5514184397163122E-2</v>
      </c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</row>
    <row r="151" spans="1:25" x14ac:dyDescent="0.3">
      <c r="A151" s="2">
        <v>45601</v>
      </c>
      <c r="B151" s="1">
        <v>22.72</v>
      </c>
      <c r="C151" s="1">
        <v>22.8</v>
      </c>
      <c r="D151" s="1">
        <v>23.07</v>
      </c>
      <c r="E151" s="1">
        <v>22.57</v>
      </c>
      <c r="F151" s="1" t="s">
        <v>137</v>
      </c>
      <c r="G151" s="3">
        <v>-8.3000000000000001E-3</v>
      </c>
      <c r="H151" s="3">
        <f t="shared" si="2"/>
        <v>-8.2933216935836551E-3</v>
      </c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</row>
    <row r="152" spans="1:25" x14ac:dyDescent="0.3">
      <c r="A152" s="2">
        <v>45602</v>
      </c>
      <c r="B152" s="1">
        <v>22.57</v>
      </c>
      <c r="C152" s="1">
        <v>23.38</v>
      </c>
      <c r="D152" s="1">
        <v>23.54</v>
      </c>
      <c r="E152" s="1">
        <v>22.28</v>
      </c>
      <c r="F152" s="1" t="s">
        <v>87</v>
      </c>
      <c r="G152" s="3">
        <v>-6.6E-3</v>
      </c>
      <c r="H152" s="3">
        <f t="shared" si="2"/>
        <v>-6.6021126760562598E-3</v>
      </c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</row>
    <row r="153" spans="1:25" x14ac:dyDescent="0.3">
      <c r="A153" s="2">
        <v>45603</v>
      </c>
      <c r="B153" s="1">
        <v>22.91</v>
      </c>
      <c r="C153" s="1">
        <v>22.5</v>
      </c>
      <c r="D153" s="1">
        <v>23.19</v>
      </c>
      <c r="E153" s="1">
        <v>22.4</v>
      </c>
      <c r="F153" s="1" t="s">
        <v>118</v>
      </c>
      <c r="G153" s="3">
        <v>1.5100000000000001E-2</v>
      </c>
      <c r="H153" s="3">
        <f t="shared" si="2"/>
        <v>1.5064244572441376E-2</v>
      </c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</row>
    <row r="154" spans="1:25" x14ac:dyDescent="0.3">
      <c r="A154" s="2">
        <v>45604</v>
      </c>
      <c r="B154" s="1">
        <v>22.52</v>
      </c>
      <c r="C154" s="1">
        <v>22.91</v>
      </c>
      <c r="D154" s="1">
        <v>22.99</v>
      </c>
      <c r="E154" s="1">
        <v>22.47</v>
      </c>
      <c r="F154" s="1" t="s">
        <v>138</v>
      </c>
      <c r="G154" s="3">
        <v>-1.7000000000000001E-2</v>
      </c>
      <c r="H154" s="3">
        <f t="shared" si="2"/>
        <v>-1.7023134002619011E-2</v>
      </c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</row>
    <row r="155" spans="1:25" x14ac:dyDescent="0.3">
      <c r="A155" s="2">
        <v>45607</v>
      </c>
      <c r="B155" s="1">
        <v>22.64</v>
      </c>
      <c r="C155" s="1">
        <v>22.7</v>
      </c>
      <c r="D155" s="1">
        <v>22.99</v>
      </c>
      <c r="E155" s="1">
        <v>22.58</v>
      </c>
      <c r="F155" s="1" t="s">
        <v>72</v>
      </c>
      <c r="G155" s="3">
        <v>5.3E-3</v>
      </c>
      <c r="H155" s="3">
        <f t="shared" si="2"/>
        <v>5.3285968028420339E-3</v>
      </c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</row>
    <row r="156" spans="1:25" x14ac:dyDescent="0.3">
      <c r="A156" s="2">
        <v>45608</v>
      </c>
      <c r="B156" s="1">
        <v>23.09</v>
      </c>
      <c r="C156" s="1">
        <v>22.51</v>
      </c>
      <c r="D156" s="1">
        <v>23.1</v>
      </c>
      <c r="E156" s="1">
        <v>22.51</v>
      </c>
      <c r="F156" s="1" t="s">
        <v>139</v>
      </c>
      <c r="G156" s="3">
        <v>1.9900000000000001E-2</v>
      </c>
      <c r="H156" s="3">
        <f t="shared" si="2"/>
        <v>1.9876325088339142E-2</v>
      </c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</row>
    <row r="157" spans="1:25" x14ac:dyDescent="0.3">
      <c r="A157" s="2">
        <v>45609</v>
      </c>
      <c r="B157" s="1">
        <v>23.06</v>
      </c>
      <c r="C157" s="1">
        <v>23.15</v>
      </c>
      <c r="D157" s="1">
        <v>23.6</v>
      </c>
      <c r="E157" s="1">
        <v>23.01</v>
      </c>
      <c r="F157" s="1" t="s">
        <v>75</v>
      </c>
      <c r="G157" s="3">
        <v>-1.2999999999999999E-3</v>
      </c>
      <c r="H157" s="3">
        <f t="shared" si="2"/>
        <v>-1.2992637505414573E-3</v>
      </c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</row>
    <row r="158" spans="1:25" x14ac:dyDescent="0.3">
      <c r="A158" s="2">
        <v>45610</v>
      </c>
      <c r="B158" s="1">
        <v>23.02</v>
      </c>
      <c r="C158" s="1">
        <v>23.22</v>
      </c>
      <c r="D158" s="1">
        <v>23.32</v>
      </c>
      <c r="E158" s="1">
        <v>22.77</v>
      </c>
      <c r="F158" s="1" t="s">
        <v>101</v>
      </c>
      <c r="G158" s="3">
        <v>-1.6999999999999999E-3</v>
      </c>
      <c r="H158" s="3">
        <f t="shared" si="2"/>
        <v>-1.7346053772766545E-3</v>
      </c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</row>
    <row r="159" spans="1:25" x14ac:dyDescent="0.3">
      <c r="A159" s="2">
        <v>45611</v>
      </c>
      <c r="B159" s="1">
        <v>22.87</v>
      </c>
      <c r="C159" s="1">
        <v>22.84</v>
      </c>
      <c r="D159" s="1">
        <v>23.13</v>
      </c>
      <c r="E159" s="1">
        <v>22.8</v>
      </c>
      <c r="F159" s="1" t="s">
        <v>101</v>
      </c>
      <c r="G159" s="3">
        <v>-6.4999999999999997E-3</v>
      </c>
      <c r="H159" s="3">
        <f t="shared" si="2"/>
        <v>-6.5160729800173289E-3</v>
      </c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</row>
    <row r="160" spans="1:25" x14ac:dyDescent="0.3">
      <c r="A160" s="2">
        <v>45614</v>
      </c>
      <c r="B160" s="1">
        <v>22.3</v>
      </c>
      <c r="C160" s="1">
        <v>22.89</v>
      </c>
      <c r="D160" s="1">
        <v>22.89</v>
      </c>
      <c r="E160" s="1">
        <v>22.04</v>
      </c>
      <c r="F160" s="1" t="s">
        <v>78</v>
      </c>
      <c r="G160" s="3">
        <v>-2.4899999999999999E-2</v>
      </c>
      <c r="H160" s="3">
        <f t="shared" si="2"/>
        <v>-2.4923480542195064E-2</v>
      </c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</row>
    <row r="161" spans="1:25" x14ac:dyDescent="0.3">
      <c r="A161" s="2">
        <v>45615</v>
      </c>
      <c r="B161" s="1">
        <v>22.67</v>
      </c>
      <c r="C161" s="1">
        <v>22.16</v>
      </c>
      <c r="D161" s="1">
        <v>22.74</v>
      </c>
      <c r="E161" s="1">
        <v>22.03</v>
      </c>
      <c r="F161" s="1" t="s">
        <v>78</v>
      </c>
      <c r="G161" s="3">
        <v>1.66E-2</v>
      </c>
      <c r="H161" s="3">
        <f t="shared" si="2"/>
        <v>1.6591928251121102E-2</v>
      </c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</row>
    <row r="162" spans="1:25" x14ac:dyDescent="0.3">
      <c r="A162" s="2">
        <v>45616</v>
      </c>
      <c r="B162" s="1">
        <v>22.25</v>
      </c>
      <c r="C162" s="1">
        <v>22.32</v>
      </c>
      <c r="D162" s="1">
        <v>22.62</v>
      </c>
      <c r="E162" s="1">
        <v>22</v>
      </c>
      <c r="F162" s="1" t="s">
        <v>106</v>
      </c>
      <c r="G162" s="3">
        <v>-1.8499999999999999E-2</v>
      </c>
      <c r="H162" s="3">
        <f t="shared" si="2"/>
        <v>-1.8526687251874785E-2</v>
      </c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</row>
    <row r="163" spans="1:25" x14ac:dyDescent="0.3">
      <c r="A163" s="2">
        <v>45617</v>
      </c>
      <c r="B163" s="1">
        <v>22.37</v>
      </c>
      <c r="C163" s="1">
        <v>22.25</v>
      </c>
      <c r="D163" s="1">
        <v>22.41</v>
      </c>
      <c r="E163" s="1">
        <v>22.1</v>
      </c>
      <c r="F163" s="1" t="s">
        <v>140</v>
      </c>
      <c r="G163" s="3">
        <v>5.4000000000000003E-3</v>
      </c>
      <c r="H163" s="3">
        <f t="shared" si="2"/>
        <v>5.393258426966252E-3</v>
      </c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</row>
    <row r="164" spans="1:25" x14ac:dyDescent="0.3">
      <c r="A164" s="2">
        <v>45618</v>
      </c>
      <c r="B164" s="1">
        <v>23.24</v>
      </c>
      <c r="C164" s="1">
        <v>22.77</v>
      </c>
      <c r="D164" s="1">
        <v>23.51</v>
      </c>
      <c r="E164" s="1">
        <v>22.75</v>
      </c>
      <c r="F164" s="1" t="s">
        <v>141</v>
      </c>
      <c r="G164" s="3">
        <v>3.8899999999999997E-2</v>
      </c>
      <c r="H164" s="3">
        <f t="shared" si="2"/>
        <v>3.8891372373714761E-2</v>
      </c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</row>
    <row r="165" spans="1:25" x14ac:dyDescent="0.3">
      <c r="A165" s="2">
        <v>45621</v>
      </c>
      <c r="B165" s="1">
        <v>24.9</v>
      </c>
      <c r="C165" s="1">
        <v>23.64</v>
      </c>
      <c r="D165" s="1">
        <v>24.99</v>
      </c>
      <c r="E165" s="1">
        <v>23.64</v>
      </c>
      <c r="F165" s="1" t="s">
        <v>142</v>
      </c>
      <c r="G165" s="3">
        <v>7.1400000000000005E-2</v>
      </c>
      <c r="H165" s="3">
        <f t="shared" si="2"/>
        <v>7.1428571428571397E-2</v>
      </c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</row>
    <row r="166" spans="1:25" x14ac:dyDescent="0.3">
      <c r="A166" s="2">
        <v>45622</v>
      </c>
      <c r="B166" s="1">
        <v>24.62</v>
      </c>
      <c r="C166" s="1">
        <v>24.16</v>
      </c>
      <c r="D166" s="1">
        <v>24.67</v>
      </c>
      <c r="E166" s="1">
        <v>24.02</v>
      </c>
      <c r="F166" s="1" t="s">
        <v>143</v>
      </c>
      <c r="G166" s="3">
        <v>-1.12E-2</v>
      </c>
      <c r="H166" s="3">
        <f t="shared" si="2"/>
        <v>-1.1244979919678655E-2</v>
      </c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</row>
    <row r="167" spans="1:25" x14ac:dyDescent="0.3">
      <c r="A167" s="2">
        <v>45623</v>
      </c>
      <c r="B167" s="1">
        <v>22.62</v>
      </c>
      <c r="C167" s="1">
        <v>23.52</v>
      </c>
      <c r="D167" s="1">
        <v>23.86</v>
      </c>
      <c r="E167" s="1">
        <v>21.71</v>
      </c>
      <c r="F167" s="1" t="s">
        <v>144</v>
      </c>
      <c r="G167" s="3">
        <v>-8.1199999999999994E-2</v>
      </c>
      <c r="H167" s="3">
        <f t="shared" si="2"/>
        <v>-8.1234768480909825E-2</v>
      </c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</row>
    <row r="168" spans="1:25" x14ac:dyDescent="0.3">
      <c r="A168" s="2">
        <v>45625</v>
      </c>
      <c r="B168" s="1">
        <v>22.71</v>
      </c>
      <c r="C168" s="1">
        <v>22.65</v>
      </c>
      <c r="D168" s="1">
        <v>22.89</v>
      </c>
      <c r="E168" s="1">
        <v>22.01</v>
      </c>
      <c r="F168" s="1" t="s">
        <v>145</v>
      </c>
      <c r="G168" s="3">
        <v>4.0000000000000001E-3</v>
      </c>
      <c r="H168" s="3">
        <f t="shared" si="2"/>
        <v>3.9787798408488229E-3</v>
      </c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</row>
    <row r="169" spans="1:25" x14ac:dyDescent="0.3">
      <c r="A169" s="2">
        <v>45628</v>
      </c>
      <c r="B169" s="1">
        <v>23.06</v>
      </c>
      <c r="C169" s="1">
        <v>22.56</v>
      </c>
      <c r="D169" s="1">
        <v>23.14</v>
      </c>
      <c r="E169" s="1">
        <v>22.06</v>
      </c>
      <c r="F169" s="1" t="s">
        <v>97</v>
      </c>
      <c r="G169" s="3">
        <v>1.54E-2</v>
      </c>
      <c r="H169" s="3">
        <f t="shared" si="2"/>
        <v>1.5411712901805208E-2</v>
      </c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</row>
    <row r="170" spans="1:25" x14ac:dyDescent="0.3">
      <c r="A170" s="2">
        <v>45629</v>
      </c>
      <c r="B170" s="1">
        <v>23.18</v>
      </c>
      <c r="C170" s="1">
        <v>22.96</v>
      </c>
      <c r="D170" s="1">
        <v>23.25</v>
      </c>
      <c r="E170" s="1">
        <v>22.57</v>
      </c>
      <c r="F170" s="1" t="s">
        <v>146</v>
      </c>
      <c r="G170" s="3">
        <v>5.1999999999999998E-3</v>
      </c>
      <c r="H170" s="3">
        <f t="shared" si="2"/>
        <v>5.2038161318299636E-3</v>
      </c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</row>
    <row r="171" spans="1:25" x14ac:dyDescent="0.3">
      <c r="A171" s="2">
        <v>45630</v>
      </c>
      <c r="B171" s="1">
        <v>23.99</v>
      </c>
      <c r="C171" s="1">
        <v>23.22</v>
      </c>
      <c r="D171" s="1">
        <v>24</v>
      </c>
      <c r="E171" s="1">
        <v>23.15</v>
      </c>
      <c r="F171" s="1" t="s">
        <v>43</v>
      </c>
      <c r="G171" s="3">
        <v>3.49E-2</v>
      </c>
      <c r="H171" s="3">
        <f t="shared" si="2"/>
        <v>3.4943917169974137E-2</v>
      </c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</row>
    <row r="172" spans="1:25" x14ac:dyDescent="0.3">
      <c r="A172" s="2">
        <v>45631</v>
      </c>
      <c r="B172" s="1">
        <v>23.46</v>
      </c>
      <c r="C172" s="1">
        <v>23.72</v>
      </c>
      <c r="D172" s="1">
        <v>23.75</v>
      </c>
      <c r="E172" s="1">
        <v>23.11</v>
      </c>
      <c r="F172" s="1" t="s">
        <v>81</v>
      </c>
      <c r="G172" s="3">
        <v>-2.2100000000000002E-2</v>
      </c>
      <c r="H172" s="3">
        <f t="shared" si="2"/>
        <v>-2.20925385577323E-2</v>
      </c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</row>
    <row r="173" spans="1:25" x14ac:dyDescent="0.3">
      <c r="A173" s="2">
        <v>45632</v>
      </c>
      <c r="B173" s="1">
        <v>23.19</v>
      </c>
      <c r="C173" s="1">
        <v>23.7</v>
      </c>
      <c r="D173" s="1">
        <v>23.7</v>
      </c>
      <c r="E173" s="1">
        <v>23.05</v>
      </c>
      <c r="F173" s="1" t="s">
        <v>138</v>
      </c>
      <c r="G173" s="3">
        <v>-1.15E-2</v>
      </c>
      <c r="H173" s="3">
        <f t="shared" si="2"/>
        <v>-1.1508951406649648E-2</v>
      </c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</row>
    <row r="174" spans="1:25" x14ac:dyDescent="0.3">
      <c r="A174" s="2">
        <v>45635</v>
      </c>
      <c r="B174" s="1">
        <v>22.93</v>
      </c>
      <c r="C174" s="1">
        <v>23.33</v>
      </c>
      <c r="D174" s="1">
        <v>23.57</v>
      </c>
      <c r="E174" s="1">
        <v>22.65</v>
      </c>
      <c r="F174" s="1" t="s">
        <v>147</v>
      </c>
      <c r="G174" s="3">
        <v>-1.12E-2</v>
      </c>
      <c r="H174" s="3">
        <f t="shared" si="2"/>
        <v>-1.1211729193618014E-2</v>
      </c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</row>
    <row r="175" spans="1:25" x14ac:dyDescent="0.3">
      <c r="A175" s="2">
        <v>45636</v>
      </c>
      <c r="B175" s="1">
        <v>22.96</v>
      </c>
      <c r="C175" s="1">
        <v>22.94</v>
      </c>
      <c r="D175" s="1">
        <v>23.18</v>
      </c>
      <c r="E175" s="1">
        <v>22.79</v>
      </c>
      <c r="F175" s="1" t="s">
        <v>57</v>
      </c>
      <c r="G175" s="3">
        <v>1.2999999999999999E-3</v>
      </c>
      <c r="H175" s="3">
        <f t="shared" si="2"/>
        <v>1.3083296990841209E-3</v>
      </c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</row>
    <row r="176" spans="1:25" x14ac:dyDescent="0.3">
      <c r="A176" s="2">
        <v>45637</v>
      </c>
      <c r="B176" s="1">
        <v>22.96</v>
      </c>
      <c r="C176" s="1">
        <v>22.94</v>
      </c>
      <c r="D176" s="1">
        <v>23.13</v>
      </c>
      <c r="E176" s="1">
        <v>22.35</v>
      </c>
      <c r="F176" s="1" t="s">
        <v>148</v>
      </c>
      <c r="G176" s="3">
        <v>0</v>
      </c>
      <c r="H176" s="3">
        <f t="shared" si="2"/>
        <v>0</v>
      </c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</row>
    <row r="177" spans="1:25" x14ac:dyDescent="0.3">
      <c r="A177" s="2">
        <v>45638</v>
      </c>
      <c r="B177" s="1">
        <v>22.51</v>
      </c>
      <c r="C177" s="1">
        <v>22.9</v>
      </c>
      <c r="D177" s="1">
        <v>23</v>
      </c>
      <c r="E177" s="1">
        <v>22.41</v>
      </c>
      <c r="F177" s="1" t="s">
        <v>149</v>
      </c>
      <c r="G177" s="3">
        <v>-1.9599999999999999E-2</v>
      </c>
      <c r="H177" s="3">
        <f t="shared" si="2"/>
        <v>-1.9599303135888424E-2</v>
      </c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</row>
    <row r="178" spans="1:25" x14ac:dyDescent="0.3">
      <c r="A178" s="2">
        <v>45639</v>
      </c>
      <c r="B178" s="1">
        <v>23.18</v>
      </c>
      <c r="C178" s="1">
        <v>22.61</v>
      </c>
      <c r="D178" s="1">
        <v>23.32</v>
      </c>
      <c r="E178" s="1">
        <v>22.45</v>
      </c>
      <c r="F178" s="1" t="s">
        <v>150</v>
      </c>
      <c r="G178" s="3">
        <v>2.98E-2</v>
      </c>
      <c r="H178" s="3">
        <f t="shared" si="2"/>
        <v>2.9764549089293491E-2</v>
      </c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</row>
    <row r="179" spans="1:25" x14ac:dyDescent="0.3">
      <c r="A179" s="2">
        <v>45642</v>
      </c>
      <c r="B179" s="1">
        <v>23.35</v>
      </c>
      <c r="C179" s="1">
        <v>23.16</v>
      </c>
      <c r="D179" s="1">
        <v>23.5</v>
      </c>
      <c r="E179" s="1">
        <v>22.92</v>
      </c>
      <c r="F179" s="1" t="s">
        <v>107</v>
      </c>
      <c r="G179" s="3">
        <v>7.3000000000000001E-3</v>
      </c>
      <c r="H179" s="3">
        <f t="shared" si="2"/>
        <v>7.3339085418464567E-3</v>
      </c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</row>
    <row r="180" spans="1:25" x14ac:dyDescent="0.3">
      <c r="A180" s="2">
        <v>45643</v>
      </c>
      <c r="B180" s="1">
        <v>23.16</v>
      </c>
      <c r="C180" s="1">
        <v>23.52</v>
      </c>
      <c r="D180" s="1">
        <v>23.74</v>
      </c>
      <c r="E180" s="1">
        <v>22.99</v>
      </c>
      <c r="F180" s="1" t="s">
        <v>121</v>
      </c>
      <c r="G180" s="3">
        <v>-8.0999999999999996E-3</v>
      </c>
      <c r="H180" s="3">
        <f t="shared" si="2"/>
        <v>-8.1370449678801471E-3</v>
      </c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</row>
    <row r="181" spans="1:25" x14ac:dyDescent="0.3">
      <c r="A181" s="2">
        <v>45644</v>
      </c>
      <c r="B181" s="1">
        <v>22.89</v>
      </c>
      <c r="C181" s="1">
        <v>23.32</v>
      </c>
      <c r="D181" s="1">
        <v>23.45</v>
      </c>
      <c r="E181" s="1">
        <v>22.87</v>
      </c>
      <c r="F181" s="1" t="s">
        <v>151</v>
      </c>
      <c r="G181" s="3">
        <v>-1.17E-2</v>
      </c>
      <c r="H181" s="3">
        <f t="shared" si="2"/>
        <v>-1.1658031088082832E-2</v>
      </c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</row>
    <row r="182" spans="1:25" x14ac:dyDescent="0.3">
      <c r="A182" s="2">
        <v>45645</v>
      </c>
      <c r="B182" s="1">
        <v>24.06</v>
      </c>
      <c r="C182" s="1">
        <v>23.28</v>
      </c>
      <c r="D182" s="1">
        <v>24.46</v>
      </c>
      <c r="E182" s="1">
        <v>23.04</v>
      </c>
      <c r="F182" s="1" t="s">
        <v>84</v>
      </c>
      <c r="G182" s="3">
        <v>5.11E-2</v>
      </c>
      <c r="H182" s="3">
        <f t="shared" si="2"/>
        <v>5.1114023591087632E-2</v>
      </c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</row>
    <row r="183" spans="1:25" x14ac:dyDescent="0.3">
      <c r="A183" s="2">
        <v>45646</v>
      </c>
      <c r="B183" s="1">
        <v>24.53</v>
      </c>
      <c r="C183" s="1">
        <v>23.97</v>
      </c>
      <c r="D183" s="1">
        <v>24.95</v>
      </c>
      <c r="E183" s="1">
        <v>23.95</v>
      </c>
      <c r="F183" s="1" t="s">
        <v>152</v>
      </c>
      <c r="G183" s="3">
        <v>1.95E-2</v>
      </c>
      <c r="H183" s="3">
        <f t="shared" si="2"/>
        <v>1.9534497090606839E-2</v>
      </c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</row>
    <row r="184" spans="1:25" x14ac:dyDescent="0.3">
      <c r="A184" s="2">
        <v>45649</v>
      </c>
      <c r="B184" s="1">
        <v>24.17</v>
      </c>
      <c r="C184" s="1">
        <v>24.21</v>
      </c>
      <c r="D184" s="1">
        <v>24.89</v>
      </c>
      <c r="E184" s="1">
        <v>24.04</v>
      </c>
      <c r="F184" s="1" t="s">
        <v>153</v>
      </c>
      <c r="G184" s="3">
        <v>-1.47E-2</v>
      </c>
      <c r="H184" s="3">
        <f t="shared" si="2"/>
        <v>-1.4675907052588588E-2</v>
      </c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</row>
    <row r="185" spans="1:25" x14ac:dyDescent="0.3">
      <c r="A185" s="2">
        <v>45650</v>
      </c>
      <c r="B185" s="1">
        <v>24.21</v>
      </c>
      <c r="C185" s="1">
        <v>24.16</v>
      </c>
      <c r="D185" s="1">
        <v>24.28</v>
      </c>
      <c r="E185" s="1">
        <v>24.14</v>
      </c>
      <c r="F185" s="1" t="s">
        <v>154</v>
      </c>
      <c r="G185" s="3">
        <v>1.6999999999999999E-3</v>
      </c>
      <c r="H185" s="3">
        <f t="shared" si="2"/>
        <v>1.6549441456350511E-3</v>
      </c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</row>
    <row r="186" spans="1:25" x14ac:dyDescent="0.3">
      <c r="A186" s="2">
        <v>45652</v>
      </c>
      <c r="B186" s="1">
        <v>24.22</v>
      </c>
      <c r="C186" s="1">
        <v>24.18</v>
      </c>
      <c r="D186" s="1">
        <v>24.32</v>
      </c>
      <c r="E186" s="1">
        <v>24.15</v>
      </c>
      <c r="F186" s="1" t="s">
        <v>71</v>
      </c>
      <c r="G186" s="3">
        <v>4.0000000000000002E-4</v>
      </c>
      <c r="H186" s="3">
        <f t="shared" si="2"/>
        <v>4.1305245766198873E-4</v>
      </c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</row>
    <row r="187" spans="1:25" x14ac:dyDescent="0.3">
      <c r="A187" s="2">
        <v>45653</v>
      </c>
      <c r="B187" s="1">
        <v>24.21</v>
      </c>
      <c r="C187" s="1">
        <v>24.2</v>
      </c>
      <c r="D187" s="1">
        <v>24.27</v>
      </c>
      <c r="E187" s="1">
        <v>24.19</v>
      </c>
      <c r="F187" s="1" t="s">
        <v>105</v>
      </c>
      <c r="G187" s="3">
        <v>-4.0000000000000002E-4</v>
      </c>
      <c r="H187" s="3">
        <f t="shared" si="2"/>
        <v>-4.1288191577204536E-4</v>
      </c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</row>
    <row r="188" spans="1:25" x14ac:dyDescent="0.3">
      <c r="A188" s="2">
        <v>45656</v>
      </c>
      <c r="B188" s="1">
        <v>24.11</v>
      </c>
      <c r="C188" s="1">
        <v>24.13</v>
      </c>
      <c r="D188" s="1">
        <v>24.21</v>
      </c>
      <c r="E188" s="1">
        <v>24.1</v>
      </c>
      <c r="F188" s="1" t="s">
        <v>56</v>
      </c>
      <c r="G188" s="3">
        <v>-4.1000000000000003E-3</v>
      </c>
      <c r="H188" s="3">
        <f t="shared" si="2"/>
        <v>-4.1305245766213305E-3</v>
      </c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</row>
    <row r="189" spans="1:25" x14ac:dyDescent="0.3">
      <c r="A189" s="2">
        <v>45657</v>
      </c>
      <c r="B189" s="1">
        <v>24.15</v>
      </c>
      <c r="C189" s="1">
        <v>24.12</v>
      </c>
      <c r="D189" s="1">
        <v>24.27</v>
      </c>
      <c r="E189" s="1">
        <v>24.11</v>
      </c>
      <c r="F189" s="1" t="s">
        <v>155</v>
      </c>
      <c r="G189" s="3">
        <v>1.6999999999999999E-3</v>
      </c>
      <c r="H189" s="3">
        <f t="shared" si="2"/>
        <v>1.6590626296142386E-3</v>
      </c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</row>
    <row r="190" spans="1:25" x14ac:dyDescent="0.3">
      <c r="A190" s="2">
        <v>45659</v>
      </c>
      <c r="B190" s="1">
        <v>24.15</v>
      </c>
      <c r="C190" s="1">
        <v>24.16</v>
      </c>
      <c r="D190" s="1">
        <v>24.21</v>
      </c>
      <c r="E190" s="1">
        <v>24.12</v>
      </c>
      <c r="F190" s="1" t="s">
        <v>156</v>
      </c>
      <c r="G190" s="3">
        <v>0</v>
      </c>
      <c r="H190" s="3">
        <f t="shared" si="2"/>
        <v>0</v>
      </c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</row>
    <row r="191" spans="1:25" x14ac:dyDescent="0.3">
      <c r="A191" s="2">
        <v>45660</v>
      </c>
      <c r="B191" s="1">
        <v>24.17</v>
      </c>
      <c r="C191" s="1">
        <v>24.14</v>
      </c>
      <c r="D191" s="1">
        <v>24.18</v>
      </c>
      <c r="E191" s="1">
        <v>24.11</v>
      </c>
      <c r="F191" s="1" t="s">
        <v>157</v>
      </c>
      <c r="G191" s="3">
        <v>8.0000000000000004E-4</v>
      </c>
      <c r="H191" s="3">
        <f t="shared" si="2"/>
        <v>8.2815734989671874E-4</v>
      </c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</row>
    <row r="192" spans="1:25" x14ac:dyDescent="0.3">
      <c r="A192" s="2">
        <v>45663</v>
      </c>
      <c r="B192" s="1">
        <v>24.16</v>
      </c>
      <c r="C192" s="1">
        <v>24.19</v>
      </c>
      <c r="D192" s="1">
        <v>24.2</v>
      </c>
      <c r="E192" s="1">
        <v>24.1</v>
      </c>
      <c r="F192" s="1" t="s">
        <v>158</v>
      </c>
      <c r="G192" s="3">
        <v>-4.0000000000000002E-4</v>
      </c>
      <c r="H192" s="3">
        <f t="shared" si="2"/>
        <v>-4.1373603640881829E-4</v>
      </c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</row>
    <row r="193" spans="1:25" x14ac:dyDescent="0.3">
      <c r="A193" s="2">
        <v>45664</v>
      </c>
      <c r="B193" s="1">
        <v>24.12</v>
      </c>
      <c r="C193" s="1">
        <v>24.16</v>
      </c>
      <c r="D193" s="1">
        <v>24.18</v>
      </c>
      <c r="E193" s="1">
        <v>24.12</v>
      </c>
      <c r="F193" s="1" t="s">
        <v>159</v>
      </c>
      <c r="G193" s="3">
        <v>-1.6999999999999999E-3</v>
      </c>
      <c r="H193" s="3">
        <f t="shared" si="2"/>
        <v>-1.6556291390728006E-3</v>
      </c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</row>
    <row r="194" spans="1:25" x14ac:dyDescent="0.3">
      <c r="A194" s="2">
        <v>45665</v>
      </c>
      <c r="B194" s="1">
        <v>24.09</v>
      </c>
      <c r="C194" s="1">
        <v>24.13</v>
      </c>
      <c r="D194" s="1">
        <v>24.17</v>
      </c>
      <c r="E194" s="1">
        <v>24.09</v>
      </c>
      <c r="F194" s="1" t="s">
        <v>160</v>
      </c>
      <c r="G194" s="3">
        <v>-1.1999999999999999E-3</v>
      </c>
      <c r="H194" s="3">
        <f t="shared" si="2"/>
        <v>-1.2437810945273853E-3</v>
      </c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</row>
    <row r="195" spans="1:25" x14ac:dyDescent="0.3">
      <c r="A195" s="2">
        <v>45667</v>
      </c>
      <c r="B195" s="1">
        <v>24.01</v>
      </c>
      <c r="C195" s="1">
        <v>24.08</v>
      </c>
      <c r="D195" s="1">
        <v>24.11</v>
      </c>
      <c r="E195" s="1">
        <v>24</v>
      </c>
      <c r="F195" s="1" t="s">
        <v>161</v>
      </c>
      <c r="G195" s="3">
        <v>-3.3E-3</v>
      </c>
      <c r="H195" s="3">
        <f t="shared" si="2"/>
        <v>-3.3208800332087396E-3</v>
      </c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</row>
    <row r="196" spans="1:25" x14ac:dyDescent="0.3">
      <c r="A196" s="2">
        <v>45670</v>
      </c>
      <c r="B196" s="1">
        <v>24.15</v>
      </c>
      <c r="C196" s="1">
        <v>24.1</v>
      </c>
      <c r="D196" s="1">
        <v>24.16</v>
      </c>
      <c r="E196" s="1">
        <v>24.06</v>
      </c>
      <c r="F196" s="1" t="s">
        <v>155</v>
      </c>
      <c r="G196" s="3">
        <v>5.7999999999999996E-3</v>
      </c>
      <c r="H196" s="3">
        <f t="shared" ref="H196:H253" si="3">(B196/B195)-1</f>
        <v>5.8309037900874383E-3</v>
      </c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</row>
    <row r="197" spans="1:25" x14ac:dyDescent="0.3">
      <c r="A197" s="2">
        <v>45671</v>
      </c>
      <c r="B197" s="1">
        <v>24.13</v>
      </c>
      <c r="C197" s="1">
        <v>24.17</v>
      </c>
      <c r="D197" s="1">
        <v>24.19</v>
      </c>
      <c r="E197" s="1">
        <v>24.09</v>
      </c>
      <c r="F197" s="1" t="s">
        <v>162</v>
      </c>
      <c r="G197" s="3">
        <v>-8.0000000000000004E-4</v>
      </c>
      <c r="H197" s="3">
        <f t="shared" si="3"/>
        <v>-8.281573498964967E-4</v>
      </c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</row>
    <row r="198" spans="1:25" x14ac:dyDescent="0.3">
      <c r="A198" s="2">
        <v>45672</v>
      </c>
      <c r="B198" s="1">
        <v>24.11</v>
      </c>
      <c r="C198" s="1">
        <v>24.16</v>
      </c>
      <c r="D198" s="1">
        <v>24.17</v>
      </c>
      <c r="E198" s="1">
        <v>24.11</v>
      </c>
      <c r="F198" s="1" t="s">
        <v>163</v>
      </c>
      <c r="G198" s="3">
        <v>-8.0000000000000004E-4</v>
      </c>
      <c r="H198" s="3">
        <f t="shared" si="3"/>
        <v>-8.2884376295067064E-4</v>
      </c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</row>
    <row r="199" spans="1:25" x14ac:dyDescent="0.3">
      <c r="A199" s="2">
        <v>45673</v>
      </c>
      <c r="B199" s="1">
        <v>24.13</v>
      </c>
      <c r="C199" s="1">
        <v>24.12</v>
      </c>
      <c r="D199" s="1">
        <v>24.17</v>
      </c>
      <c r="E199" s="1">
        <v>24.11</v>
      </c>
      <c r="F199" s="1" t="s">
        <v>76</v>
      </c>
      <c r="G199" s="3">
        <v>8.0000000000000004E-4</v>
      </c>
      <c r="H199" s="3">
        <f t="shared" si="3"/>
        <v>8.2953131480700826E-4</v>
      </c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</row>
    <row r="200" spans="1:25" x14ac:dyDescent="0.3">
      <c r="A200" s="2">
        <v>45674</v>
      </c>
      <c r="B200" s="1">
        <v>24.1</v>
      </c>
      <c r="C200" s="1">
        <v>24.15</v>
      </c>
      <c r="D200" s="1">
        <v>24.16</v>
      </c>
      <c r="E200" s="1">
        <v>24.1</v>
      </c>
      <c r="F200" s="1" t="s">
        <v>52</v>
      </c>
      <c r="G200" s="3">
        <v>-1.1999999999999999E-3</v>
      </c>
      <c r="H200" s="3">
        <f t="shared" si="3"/>
        <v>-1.2432656444258949E-3</v>
      </c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</row>
    <row r="201" spans="1:25" x14ac:dyDescent="0.3">
      <c r="A201" s="2">
        <v>45678</v>
      </c>
      <c r="B201" s="1">
        <v>24.23</v>
      </c>
      <c r="C201" s="1">
        <v>24.11</v>
      </c>
      <c r="D201" s="1">
        <v>24.23</v>
      </c>
      <c r="E201" s="1">
        <v>24.11</v>
      </c>
      <c r="F201" s="1" t="s">
        <v>164</v>
      </c>
      <c r="G201" s="3">
        <v>5.4000000000000003E-3</v>
      </c>
      <c r="H201" s="3">
        <f t="shared" si="3"/>
        <v>5.3941908713692754E-3</v>
      </c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</row>
    <row r="202" spans="1:25" x14ac:dyDescent="0.3">
      <c r="A202" s="2">
        <v>45679</v>
      </c>
      <c r="B202" s="1">
        <v>24.2</v>
      </c>
      <c r="C202" s="1">
        <v>24.21</v>
      </c>
      <c r="D202" s="1">
        <v>24.23</v>
      </c>
      <c r="E202" s="1">
        <v>24.16</v>
      </c>
      <c r="F202" s="1" t="s">
        <v>75</v>
      </c>
      <c r="G202" s="3">
        <v>-1.1999999999999999E-3</v>
      </c>
      <c r="H202" s="3">
        <f t="shared" si="3"/>
        <v>-1.2381345439538283E-3</v>
      </c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</row>
    <row r="203" spans="1:25" x14ac:dyDescent="0.3">
      <c r="A203" s="2">
        <v>45680</v>
      </c>
      <c r="B203" s="1">
        <v>24.15</v>
      </c>
      <c r="C203" s="1">
        <v>24.24</v>
      </c>
      <c r="D203" s="1">
        <v>24.24</v>
      </c>
      <c r="E203" s="1">
        <v>24.15</v>
      </c>
      <c r="F203" s="1" t="s">
        <v>165</v>
      </c>
      <c r="G203" s="3">
        <v>-2.0999999999999999E-3</v>
      </c>
      <c r="H203" s="3">
        <f t="shared" si="3"/>
        <v>-2.0661157024793875E-3</v>
      </c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</row>
    <row r="204" spans="1:25" x14ac:dyDescent="0.3">
      <c r="A204" s="2">
        <v>45681</v>
      </c>
      <c r="B204" s="1">
        <v>24.17</v>
      </c>
      <c r="C204" s="1">
        <v>24.17</v>
      </c>
      <c r="D204" s="1">
        <v>24.19</v>
      </c>
      <c r="E204" s="1">
        <v>24.15</v>
      </c>
      <c r="F204" s="1" t="s">
        <v>132</v>
      </c>
      <c r="G204" s="3">
        <v>8.0000000000000004E-4</v>
      </c>
      <c r="H204" s="3">
        <f t="shared" si="3"/>
        <v>8.2815734989671874E-4</v>
      </c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</row>
    <row r="205" spans="1:25" x14ac:dyDescent="0.3">
      <c r="A205" s="2">
        <v>45684</v>
      </c>
      <c r="B205" s="1">
        <v>24.18</v>
      </c>
      <c r="C205" s="1">
        <v>24.12</v>
      </c>
      <c r="D205" s="1">
        <v>24.23</v>
      </c>
      <c r="E205" s="1">
        <v>24.12</v>
      </c>
      <c r="F205" s="1" t="s">
        <v>58</v>
      </c>
      <c r="G205" s="3">
        <v>4.0000000000000002E-4</v>
      </c>
      <c r="H205" s="3">
        <f t="shared" si="3"/>
        <v>4.1373603640870726E-4</v>
      </c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</row>
    <row r="206" spans="1:25" x14ac:dyDescent="0.3">
      <c r="A206" s="2">
        <v>45685</v>
      </c>
      <c r="B206" s="1">
        <v>24.23</v>
      </c>
      <c r="C206" s="1">
        <v>24.19</v>
      </c>
      <c r="D206" s="1">
        <v>24.25</v>
      </c>
      <c r="E206" s="1">
        <v>24.17</v>
      </c>
      <c r="F206" s="1" t="s">
        <v>166</v>
      </c>
      <c r="G206" s="3">
        <v>2.0999999999999999E-3</v>
      </c>
      <c r="H206" s="3">
        <f t="shared" si="3"/>
        <v>2.0678246484697738E-3</v>
      </c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</row>
    <row r="207" spans="1:25" x14ac:dyDescent="0.3">
      <c r="A207" s="2">
        <v>45686</v>
      </c>
      <c r="B207" s="1">
        <v>24.22</v>
      </c>
      <c r="C207" s="1">
        <v>24.23</v>
      </c>
      <c r="D207" s="1">
        <v>24.27</v>
      </c>
      <c r="E207" s="1">
        <v>24.2</v>
      </c>
      <c r="F207" s="1" t="s">
        <v>72</v>
      </c>
      <c r="G207" s="3">
        <v>-4.0000000000000002E-4</v>
      </c>
      <c r="H207" s="3">
        <f t="shared" si="3"/>
        <v>-4.1271151465127609E-4</v>
      </c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</row>
    <row r="208" spans="1:25" x14ac:dyDescent="0.3">
      <c r="A208" s="2">
        <v>45687</v>
      </c>
      <c r="B208" s="1">
        <v>24.24</v>
      </c>
      <c r="C208" s="1">
        <v>24.25</v>
      </c>
      <c r="D208" s="1">
        <v>24.32</v>
      </c>
      <c r="E208" s="1">
        <v>24.22</v>
      </c>
      <c r="F208" s="1" t="s">
        <v>167</v>
      </c>
      <c r="G208" s="3">
        <v>8.0000000000000004E-4</v>
      </c>
      <c r="H208" s="3">
        <f t="shared" si="3"/>
        <v>8.2576383154409072E-4</v>
      </c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</row>
    <row r="209" spans="1:25" x14ac:dyDescent="0.3">
      <c r="A209" s="2">
        <v>45688</v>
      </c>
      <c r="B209" s="1">
        <v>24.2</v>
      </c>
      <c r="C209" s="1">
        <v>24.24</v>
      </c>
      <c r="D209" s="1">
        <v>24.26</v>
      </c>
      <c r="E209" s="1">
        <v>24.19</v>
      </c>
      <c r="F209" s="1" t="s">
        <v>52</v>
      </c>
      <c r="G209" s="3">
        <v>-1.6999999999999999E-3</v>
      </c>
      <c r="H209" s="3">
        <f t="shared" si="3"/>
        <v>-1.6501650165016146E-3</v>
      </c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</row>
    <row r="210" spans="1:25" x14ac:dyDescent="0.3">
      <c r="A210" s="2">
        <v>45691</v>
      </c>
      <c r="B210" s="1">
        <v>24.16</v>
      </c>
      <c r="C210" s="1">
        <v>24.19</v>
      </c>
      <c r="D210" s="1">
        <v>24.24</v>
      </c>
      <c r="E210" s="1">
        <v>24.11</v>
      </c>
      <c r="F210" s="1" t="s">
        <v>120</v>
      </c>
      <c r="G210" s="3">
        <v>-1.6999999999999999E-3</v>
      </c>
      <c r="H210" s="3">
        <f t="shared" si="3"/>
        <v>-1.6528925619834212E-3</v>
      </c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</row>
    <row r="211" spans="1:25" x14ac:dyDescent="0.3">
      <c r="A211" s="2">
        <v>45692</v>
      </c>
      <c r="B211" s="1">
        <v>24.26</v>
      </c>
      <c r="C211" s="1">
        <v>24.15</v>
      </c>
      <c r="D211" s="1">
        <v>24.29</v>
      </c>
      <c r="E211" s="1">
        <v>24.15</v>
      </c>
      <c r="F211" s="1" t="s">
        <v>167</v>
      </c>
      <c r="G211" s="3">
        <v>4.1000000000000003E-3</v>
      </c>
      <c r="H211" s="3">
        <f t="shared" si="3"/>
        <v>4.1390728476822236E-3</v>
      </c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</row>
    <row r="212" spans="1:25" x14ac:dyDescent="0.3">
      <c r="A212" s="2">
        <v>45693</v>
      </c>
      <c r="B212" s="1">
        <v>24.27</v>
      </c>
      <c r="C212" s="1">
        <v>24.3</v>
      </c>
      <c r="D212" s="1">
        <v>24.33</v>
      </c>
      <c r="E212" s="1">
        <v>24.26</v>
      </c>
      <c r="F212" s="1" t="s">
        <v>168</v>
      </c>
      <c r="G212" s="3">
        <v>4.0000000000000002E-4</v>
      </c>
      <c r="H212" s="3">
        <f t="shared" si="3"/>
        <v>4.1220115416318315E-4</v>
      </c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</row>
    <row r="213" spans="1:25" x14ac:dyDescent="0.3">
      <c r="A213" s="2">
        <v>45694</v>
      </c>
      <c r="B213" s="1">
        <v>24.33</v>
      </c>
      <c r="C213" s="1">
        <v>24.31</v>
      </c>
      <c r="D213" s="1">
        <v>24.34</v>
      </c>
      <c r="E213" s="1">
        <v>24.28</v>
      </c>
      <c r="F213" s="1" t="s">
        <v>139</v>
      </c>
      <c r="G213" s="3">
        <v>2.5000000000000001E-3</v>
      </c>
      <c r="H213" s="3">
        <f t="shared" si="3"/>
        <v>2.4721878862792313E-3</v>
      </c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</row>
    <row r="214" spans="1:25" x14ac:dyDescent="0.3">
      <c r="A214" s="2">
        <v>45695</v>
      </c>
      <c r="B214" s="1">
        <v>24.25</v>
      </c>
      <c r="C214" s="1">
        <v>24.28</v>
      </c>
      <c r="D214" s="1">
        <v>24.33</v>
      </c>
      <c r="E214" s="1">
        <v>24.24</v>
      </c>
      <c r="F214" s="1" t="s">
        <v>169</v>
      </c>
      <c r="G214" s="3">
        <v>-3.3E-3</v>
      </c>
      <c r="H214" s="3">
        <f t="shared" si="3"/>
        <v>-3.2881216605014085E-3</v>
      </c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</row>
    <row r="215" spans="1:25" x14ac:dyDescent="0.3">
      <c r="A215" s="2">
        <v>45698</v>
      </c>
      <c r="B215" s="1">
        <v>24.3</v>
      </c>
      <c r="C215" s="1">
        <v>24.26</v>
      </c>
      <c r="D215" s="1">
        <v>24.33</v>
      </c>
      <c r="E215" s="1">
        <v>24.24</v>
      </c>
      <c r="F215" s="1" t="s">
        <v>67</v>
      </c>
      <c r="G215" s="3">
        <v>2.0999999999999999E-3</v>
      </c>
      <c r="H215" s="3">
        <f t="shared" si="3"/>
        <v>2.0618556701030855E-3</v>
      </c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</row>
    <row r="216" spans="1:25" x14ac:dyDescent="0.3">
      <c r="A216" s="2">
        <v>45699</v>
      </c>
      <c r="B216" s="1">
        <v>24.31</v>
      </c>
      <c r="C216" s="1">
        <v>24.3</v>
      </c>
      <c r="D216" s="1">
        <v>24.33</v>
      </c>
      <c r="E216" s="1">
        <v>24.29</v>
      </c>
      <c r="F216" s="1" t="s">
        <v>103</v>
      </c>
      <c r="G216" s="3">
        <v>4.0000000000000002E-4</v>
      </c>
      <c r="H216" s="3">
        <f t="shared" si="3"/>
        <v>4.1152263374466536E-4</v>
      </c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</row>
    <row r="217" spans="1:25" x14ac:dyDescent="0.3">
      <c r="A217" s="2">
        <v>45700</v>
      </c>
      <c r="B217" s="1">
        <v>24.3</v>
      </c>
      <c r="C217" s="1">
        <v>24.3</v>
      </c>
      <c r="D217" s="1">
        <v>24.33</v>
      </c>
      <c r="E217" s="1">
        <v>24.28</v>
      </c>
      <c r="F217" s="1" t="s">
        <v>167</v>
      </c>
      <c r="G217" s="3">
        <v>-4.0000000000000002E-4</v>
      </c>
      <c r="H217" s="3">
        <f t="shared" si="3"/>
        <v>-4.1135335252973082E-4</v>
      </c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</row>
    <row r="218" spans="1:25" x14ac:dyDescent="0.3">
      <c r="A218" s="2">
        <v>45701</v>
      </c>
      <c r="B218" s="1">
        <v>24.31</v>
      </c>
      <c r="C218" s="1">
        <v>24.3</v>
      </c>
      <c r="D218" s="1">
        <v>24.34</v>
      </c>
      <c r="E218" s="1">
        <v>24.29</v>
      </c>
      <c r="F218" s="1" t="s">
        <v>170</v>
      </c>
      <c r="G218" s="3">
        <v>4.0000000000000002E-4</v>
      </c>
      <c r="H218" s="3">
        <f t="shared" si="3"/>
        <v>4.1152263374466536E-4</v>
      </c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</row>
    <row r="219" spans="1:25" x14ac:dyDescent="0.3">
      <c r="A219" s="2">
        <v>45702</v>
      </c>
      <c r="B219" s="1">
        <v>24.33</v>
      </c>
      <c r="C219" s="1">
        <v>24.33</v>
      </c>
      <c r="D219" s="1">
        <v>24.34</v>
      </c>
      <c r="E219" s="1">
        <v>24.3</v>
      </c>
      <c r="F219" s="1" t="s">
        <v>171</v>
      </c>
      <c r="G219" s="3">
        <v>8.0000000000000004E-4</v>
      </c>
      <c r="H219" s="3">
        <f t="shared" si="3"/>
        <v>8.2270670505968369E-4</v>
      </c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</row>
    <row r="220" spans="1:25" x14ac:dyDescent="0.3">
      <c r="A220" s="2">
        <v>45706</v>
      </c>
      <c r="B220" s="1">
        <v>24.32</v>
      </c>
      <c r="C220" s="1">
        <v>24.32</v>
      </c>
      <c r="D220" s="1">
        <v>24.34</v>
      </c>
      <c r="E220" s="1">
        <v>24.32</v>
      </c>
      <c r="F220" s="1" t="s">
        <v>172</v>
      </c>
      <c r="G220" s="3">
        <v>-4.0000000000000002E-4</v>
      </c>
      <c r="H220" s="3">
        <f t="shared" si="3"/>
        <v>-4.110152075625928E-4</v>
      </c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</row>
    <row r="221" spans="1:25" x14ac:dyDescent="0.3">
      <c r="A221" s="2">
        <v>45707</v>
      </c>
      <c r="B221" s="1">
        <v>24.32</v>
      </c>
      <c r="C221" s="1">
        <v>24.31</v>
      </c>
      <c r="D221" s="1">
        <v>24.35</v>
      </c>
      <c r="E221" s="1">
        <v>24.31</v>
      </c>
      <c r="F221" s="1" t="s">
        <v>36</v>
      </c>
      <c r="G221" s="3">
        <v>0</v>
      </c>
      <c r="H221" s="3">
        <f t="shared" si="3"/>
        <v>0</v>
      </c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</row>
    <row r="222" spans="1:25" x14ac:dyDescent="0.3">
      <c r="A222" s="2">
        <v>45708</v>
      </c>
      <c r="B222" s="1">
        <v>24.35</v>
      </c>
      <c r="C222" s="1">
        <v>24.34</v>
      </c>
      <c r="D222" s="1">
        <v>24.37</v>
      </c>
      <c r="E222" s="1">
        <v>24.32</v>
      </c>
      <c r="F222" s="1" t="s">
        <v>173</v>
      </c>
      <c r="G222" s="3">
        <v>1.1999999999999999E-3</v>
      </c>
      <c r="H222" s="3">
        <f t="shared" si="3"/>
        <v>1.2335526315789824E-3</v>
      </c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</row>
    <row r="223" spans="1:25" x14ac:dyDescent="0.3">
      <c r="A223" s="2">
        <v>45709</v>
      </c>
      <c r="B223" s="1">
        <v>24.32</v>
      </c>
      <c r="C223" s="1">
        <v>24.35</v>
      </c>
      <c r="D223" s="1">
        <v>24.36</v>
      </c>
      <c r="E223" s="1">
        <v>24.28</v>
      </c>
      <c r="F223" s="1" t="s">
        <v>174</v>
      </c>
      <c r="G223" s="3">
        <v>-1.1999999999999999E-3</v>
      </c>
      <c r="H223" s="3">
        <f t="shared" si="3"/>
        <v>-1.2320328542094749E-3</v>
      </c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</row>
    <row r="224" spans="1:25" x14ac:dyDescent="0.3">
      <c r="A224" s="2">
        <v>45712</v>
      </c>
      <c r="B224" s="1">
        <v>24.3</v>
      </c>
      <c r="C224" s="1">
        <v>24.29</v>
      </c>
      <c r="D224" s="1">
        <v>24.34</v>
      </c>
      <c r="E224" s="1">
        <v>24.29</v>
      </c>
      <c r="F224" s="1" t="s">
        <v>175</v>
      </c>
      <c r="G224" s="3">
        <v>-8.0000000000000004E-4</v>
      </c>
      <c r="H224" s="3">
        <f t="shared" si="3"/>
        <v>-8.2236842105265495E-4</v>
      </c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</row>
    <row r="225" spans="1:25" x14ac:dyDescent="0.3">
      <c r="A225" s="2">
        <v>45713</v>
      </c>
      <c r="B225" s="1">
        <v>24.32</v>
      </c>
      <c r="C225" s="1">
        <v>24.34</v>
      </c>
      <c r="D225" s="1">
        <v>24.36</v>
      </c>
      <c r="E225" s="1">
        <v>24.31</v>
      </c>
      <c r="F225" s="1" t="s">
        <v>176</v>
      </c>
      <c r="G225" s="3">
        <v>8.0000000000000004E-4</v>
      </c>
      <c r="H225" s="3">
        <f t="shared" si="3"/>
        <v>8.230452674897748E-4</v>
      </c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</row>
    <row r="226" spans="1:25" x14ac:dyDescent="0.3">
      <c r="A226" s="2">
        <v>45714</v>
      </c>
      <c r="B226" s="1">
        <v>24.33</v>
      </c>
      <c r="C226" s="1">
        <v>24.34</v>
      </c>
      <c r="D226" s="1">
        <v>24.38</v>
      </c>
      <c r="E226" s="1">
        <v>24.32</v>
      </c>
      <c r="F226" s="1" t="s">
        <v>177</v>
      </c>
      <c r="G226" s="3">
        <v>4.0000000000000002E-4</v>
      </c>
      <c r="H226" s="3">
        <f t="shared" si="3"/>
        <v>4.1118421052632748E-4</v>
      </c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</row>
    <row r="227" spans="1:25" x14ac:dyDescent="0.3">
      <c r="A227" s="2">
        <v>45715</v>
      </c>
      <c r="B227" s="1">
        <v>24.31</v>
      </c>
      <c r="C227" s="1">
        <v>24.33</v>
      </c>
      <c r="D227" s="1">
        <v>24.36</v>
      </c>
      <c r="E227" s="1">
        <v>24.3</v>
      </c>
      <c r="F227" s="1" t="s">
        <v>91</v>
      </c>
      <c r="G227" s="3">
        <v>-8.0000000000000004E-4</v>
      </c>
      <c r="H227" s="3">
        <f t="shared" si="3"/>
        <v>-8.2203041512529662E-4</v>
      </c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</row>
    <row r="228" spans="1:25" x14ac:dyDescent="0.3">
      <c r="A228" s="2">
        <v>45716</v>
      </c>
      <c r="B228" s="1">
        <v>24.29</v>
      </c>
      <c r="C228" s="1">
        <v>24.31</v>
      </c>
      <c r="D228" s="1">
        <v>24.34</v>
      </c>
      <c r="E228" s="1">
        <v>24.28</v>
      </c>
      <c r="F228" s="1" t="s">
        <v>100</v>
      </c>
      <c r="G228" s="3">
        <v>-8.0000000000000004E-4</v>
      </c>
      <c r="H228" s="3">
        <f t="shared" si="3"/>
        <v>-8.2270670505968369E-4</v>
      </c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</row>
    <row r="229" spans="1:25" x14ac:dyDescent="0.3">
      <c r="A229" s="2">
        <v>45719</v>
      </c>
      <c r="B229" s="1">
        <v>24.24</v>
      </c>
      <c r="C229" s="1">
        <v>24.3</v>
      </c>
      <c r="D229" s="1">
        <v>24.33</v>
      </c>
      <c r="E229" s="1">
        <v>24.21</v>
      </c>
      <c r="F229" s="1" t="s">
        <v>248</v>
      </c>
      <c r="G229" s="3">
        <v>-2.0999999999999999E-3</v>
      </c>
      <c r="H229" s="3">
        <f t="shared" si="3"/>
        <v>-2.0584602717167444E-3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</row>
    <row r="230" spans="1:25" x14ac:dyDescent="0.3">
      <c r="A230" s="2">
        <v>45720</v>
      </c>
      <c r="B230" s="1">
        <v>24.26</v>
      </c>
      <c r="C230" s="1">
        <v>24.28</v>
      </c>
      <c r="D230" s="1">
        <v>24.33</v>
      </c>
      <c r="E230" s="1">
        <v>24.25</v>
      </c>
      <c r="F230" s="1" t="s">
        <v>770</v>
      </c>
      <c r="G230" s="3">
        <v>8.0000000000000004E-4</v>
      </c>
      <c r="H230" s="3">
        <f t="shared" si="3"/>
        <v>8.2508250825097385E-4</v>
      </c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</row>
    <row r="231" spans="1:25" x14ac:dyDescent="0.3">
      <c r="A231" s="2">
        <v>45721</v>
      </c>
      <c r="B231" s="1">
        <v>24.36</v>
      </c>
      <c r="C231" s="1">
        <v>24.33</v>
      </c>
      <c r="D231" s="1">
        <v>24.4</v>
      </c>
      <c r="E231" s="1">
        <v>24.29</v>
      </c>
      <c r="F231" s="1" t="s">
        <v>117</v>
      </c>
      <c r="G231" s="3">
        <v>4.1000000000000003E-3</v>
      </c>
      <c r="H231" s="3">
        <f t="shared" si="3"/>
        <v>4.1220115416322756E-3</v>
      </c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</row>
    <row r="232" spans="1:25" x14ac:dyDescent="0.3">
      <c r="A232" s="2">
        <v>45722</v>
      </c>
      <c r="B232" s="1">
        <v>24.39</v>
      </c>
      <c r="C232" s="1">
        <v>24.31</v>
      </c>
      <c r="D232" s="1">
        <v>24.43</v>
      </c>
      <c r="E232" s="1">
        <v>24.31</v>
      </c>
      <c r="F232" s="1" t="s">
        <v>288</v>
      </c>
      <c r="G232" s="3">
        <v>1.1999999999999999E-3</v>
      </c>
      <c r="H232" s="3">
        <f t="shared" si="3"/>
        <v>1.2315270935960854E-3</v>
      </c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</row>
    <row r="233" spans="1:25" x14ac:dyDescent="0.3">
      <c r="A233" s="2">
        <v>45723</v>
      </c>
      <c r="B233" s="1">
        <v>24.45</v>
      </c>
      <c r="C233" s="1">
        <v>24.41</v>
      </c>
      <c r="D233" s="1">
        <v>24.49</v>
      </c>
      <c r="E233" s="1">
        <v>24.37</v>
      </c>
      <c r="F233" s="1" t="s">
        <v>200</v>
      </c>
      <c r="G233" s="3">
        <v>2.5000000000000001E-3</v>
      </c>
      <c r="H233" s="3">
        <f t="shared" si="3"/>
        <v>2.4600246002459691E-3</v>
      </c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</row>
    <row r="234" spans="1:25" x14ac:dyDescent="0.3">
      <c r="A234" s="2">
        <v>45726</v>
      </c>
      <c r="B234" s="1">
        <v>24.42</v>
      </c>
      <c r="C234" s="1">
        <v>24.39</v>
      </c>
      <c r="D234" s="1">
        <v>24.45</v>
      </c>
      <c r="E234" s="1">
        <v>24.34</v>
      </c>
      <c r="F234" s="1" t="s">
        <v>290</v>
      </c>
      <c r="G234" s="3">
        <v>-1.1999999999999999E-3</v>
      </c>
      <c r="H234" s="3">
        <f t="shared" si="3"/>
        <v>-1.2269938650305567E-3</v>
      </c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</row>
    <row r="235" spans="1:25" x14ac:dyDescent="0.3">
      <c r="A235" s="2">
        <v>45727</v>
      </c>
      <c r="B235" s="1">
        <v>24.23</v>
      </c>
      <c r="C235" s="1">
        <v>24.2</v>
      </c>
      <c r="D235" s="1">
        <v>24.31</v>
      </c>
      <c r="E235" s="1">
        <v>24.2</v>
      </c>
      <c r="F235" s="1" t="s">
        <v>439</v>
      </c>
      <c r="G235" s="3">
        <v>-7.7999999999999996E-3</v>
      </c>
      <c r="H235" s="3">
        <f t="shared" si="3"/>
        <v>-7.7805077805078726E-3</v>
      </c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</row>
    <row r="236" spans="1:25" x14ac:dyDescent="0.3">
      <c r="A236" s="2">
        <v>45728</v>
      </c>
      <c r="B236" s="1">
        <v>24.2</v>
      </c>
      <c r="C236" s="1">
        <v>24.24</v>
      </c>
      <c r="D236" s="1">
        <v>24.25</v>
      </c>
      <c r="E236" s="1">
        <v>24.2</v>
      </c>
      <c r="F236" s="1" t="s">
        <v>220</v>
      </c>
      <c r="G236" s="3">
        <v>-1.1999999999999999E-3</v>
      </c>
      <c r="H236" s="3">
        <f t="shared" si="3"/>
        <v>-1.2381345439538283E-3</v>
      </c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</row>
    <row r="237" spans="1:25" x14ac:dyDescent="0.3">
      <c r="A237" s="2">
        <v>45729</v>
      </c>
      <c r="B237" s="1">
        <v>24.22</v>
      </c>
      <c r="C237" s="1">
        <v>24.2</v>
      </c>
      <c r="D237" s="1">
        <v>24.24</v>
      </c>
      <c r="E237" s="1">
        <v>24.2</v>
      </c>
      <c r="F237" s="1" t="s">
        <v>40</v>
      </c>
      <c r="G237" s="3">
        <v>8.0000000000000004E-4</v>
      </c>
      <c r="H237" s="3">
        <f t="shared" si="3"/>
        <v>8.2644628099171058E-4</v>
      </c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</row>
    <row r="238" spans="1:25" x14ac:dyDescent="0.3">
      <c r="A238" s="2">
        <v>45730</v>
      </c>
      <c r="B238" s="1">
        <v>24.19</v>
      </c>
      <c r="C238" s="1">
        <v>24.24</v>
      </c>
      <c r="D238" s="1">
        <v>24.26</v>
      </c>
      <c r="E238" s="1">
        <v>24.15</v>
      </c>
      <c r="F238" s="1" t="s">
        <v>769</v>
      </c>
      <c r="G238" s="3">
        <v>-1.1999999999999999E-3</v>
      </c>
      <c r="H238" s="3">
        <f t="shared" si="3"/>
        <v>-1.2386457473161361E-3</v>
      </c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</row>
    <row r="239" spans="1:25" x14ac:dyDescent="0.3">
      <c r="A239" s="2">
        <v>45733</v>
      </c>
      <c r="B239" s="1">
        <v>24.23</v>
      </c>
      <c r="C239" s="1">
        <v>24.23</v>
      </c>
      <c r="D239" s="1">
        <v>24.26</v>
      </c>
      <c r="E239" s="1">
        <v>24.19</v>
      </c>
      <c r="F239" s="1" t="s">
        <v>296</v>
      </c>
      <c r="G239" s="3">
        <v>1.6999999999999999E-3</v>
      </c>
      <c r="H239" s="3">
        <f t="shared" si="3"/>
        <v>1.6535758577924664E-3</v>
      </c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3">
      <c r="A240" s="2">
        <v>45734</v>
      </c>
      <c r="B240" s="1">
        <v>24.24</v>
      </c>
      <c r="C240" s="1">
        <v>24.23</v>
      </c>
      <c r="D240" s="1">
        <v>24.25</v>
      </c>
      <c r="E240" s="1">
        <v>24.21</v>
      </c>
      <c r="F240" s="1" t="s">
        <v>107</v>
      </c>
      <c r="G240" s="3">
        <v>4.0000000000000002E-4</v>
      </c>
      <c r="H240" s="3">
        <f t="shared" si="3"/>
        <v>4.1271151465127609E-4</v>
      </c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</row>
    <row r="241" spans="1:25" x14ac:dyDescent="0.3">
      <c r="A241" s="2">
        <v>45735</v>
      </c>
      <c r="B241" s="1">
        <v>24.29</v>
      </c>
      <c r="C241" s="1">
        <v>24.25</v>
      </c>
      <c r="D241" s="1">
        <v>24.32</v>
      </c>
      <c r="E241" s="1">
        <v>24.24</v>
      </c>
      <c r="F241" s="1" t="s">
        <v>222</v>
      </c>
      <c r="G241" s="3">
        <v>2.0999999999999999E-3</v>
      </c>
      <c r="H241" s="3">
        <f t="shared" si="3"/>
        <v>2.0627062706271015E-3</v>
      </c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</row>
    <row r="242" spans="1:25" x14ac:dyDescent="0.3">
      <c r="A242" s="2">
        <v>45736</v>
      </c>
      <c r="B242" s="1">
        <v>24.31</v>
      </c>
      <c r="C242" s="1">
        <v>24.25</v>
      </c>
      <c r="D242" s="1">
        <v>24.33</v>
      </c>
      <c r="E242" s="1">
        <v>24.25</v>
      </c>
      <c r="F242" s="1" t="s">
        <v>67</v>
      </c>
      <c r="G242" s="3">
        <v>8.0000000000000004E-4</v>
      </c>
      <c r="H242" s="3">
        <f t="shared" si="3"/>
        <v>8.2338410868665335E-4</v>
      </c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</row>
    <row r="243" spans="1:25" x14ac:dyDescent="0.3">
      <c r="A243" s="2">
        <v>45737</v>
      </c>
      <c r="B243" s="1">
        <v>24.35</v>
      </c>
      <c r="C243" s="1">
        <v>24.27</v>
      </c>
      <c r="D243" s="1">
        <v>24.36</v>
      </c>
      <c r="E243" s="1">
        <v>24.17</v>
      </c>
      <c r="F243" s="1" t="s">
        <v>322</v>
      </c>
      <c r="G243" s="3">
        <v>1.6000000000000001E-3</v>
      </c>
      <c r="H243" s="3">
        <f t="shared" si="3"/>
        <v>1.6454134101193674E-3</v>
      </c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</row>
    <row r="244" spans="1:25" x14ac:dyDescent="0.3">
      <c r="A244" s="2">
        <v>45740</v>
      </c>
      <c r="B244" s="1">
        <v>24.37</v>
      </c>
      <c r="C244" s="1">
        <v>24.34</v>
      </c>
      <c r="D244" s="1">
        <v>24.39</v>
      </c>
      <c r="E244" s="1">
        <v>24.32</v>
      </c>
      <c r="F244" s="1" t="s">
        <v>90</v>
      </c>
      <c r="G244" s="3">
        <v>8.0000000000000004E-4</v>
      </c>
      <c r="H244" s="3">
        <f t="shared" si="3"/>
        <v>8.2135523613957595E-4</v>
      </c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</row>
    <row r="245" spans="1:25" x14ac:dyDescent="0.3">
      <c r="A245" s="2">
        <v>45741</v>
      </c>
      <c r="B245" s="1">
        <v>24.37</v>
      </c>
      <c r="C245" s="1">
        <v>24.4</v>
      </c>
      <c r="D245" s="1">
        <v>24.41</v>
      </c>
      <c r="E245" s="1">
        <v>24.37</v>
      </c>
      <c r="F245" s="1" t="s">
        <v>262</v>
      </c>
      <c r="G245" s="3">
        <v>0</v>
      </c>
      <c r="H245" s="3">
        <f t="shared" si="3"/>
        <v>0</v>
      </c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</row>
    <row r="246" spans="1:25" x14ac:dyDescent="0.3">
      <c r="A246" s="2">
        <v>45742</v>
      </c>
      <c r="B246" s="1">
        <v>24.43</v>
      </c>
      <c r="C246" s="1">
        <v>24.41</v>
      </c>
      <c r="D246" s="1">
        <v>24.45</v>
      </c>
      <c r="E246" s="1">
        <v>24.37</v>
      </c>
      <c r="F246" s="1" t="s">
        <v>123</v>
      </c>
      <c r="G246" s="3">
        <v>2.5000000000000001E-3</v>
      </c>
      <c r="H246" s="3">
        <f t="shared" si="3"/>
        <v>2.4620434961017956E-3</v>
      </c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</row>
    <row r="247" spans="1:25" x14ac:dyDescent="0.3">
      <c r="A247" s="2">
        <v>45743</v>
      </c>
      <c r="B247" s="1">
        <v>24.45</v>
      </c>
      <c r="C247" s="1">
        <v>24.42</v>
      </c>
      <c r="D247" s="1">
        <v>24.46</v>
      </c>
      <c r="E247" s="1">
        <v>24.42</v>
      </c>
      <c r="F247" s="1" t="s">
        <v>304</v>
      </c>
      <c r="G247" s="3">
        <v>8.0000000000000004E-4</v>
      </c>
      <c r="H247" s="3">
        <f t="shared" si="3"/>
        <v>8.1866557511256488E-4</v>
      </c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</row>
    <row r="248" spans="1:25" x14ac:dyDescent="0.3">
      <c r="A248" s="2">
        <v>45744</v>
      </c>
      <c r="B248" s="1">
        <v>24.46</v>
      </c>
      <c r="C248" s="1">
        <v>24.43</v>
      </c>
      <c r="D248" s="1">
        <v>24.48</v>
      </c>
      <c r="E248" s="1">
        <v>24.42</v>
      </c>
      <c r="F248" s="1" t="s">
        <v>768</v>
      </c>
      <c r="G248" s="3">
        <v>4.0000000000000002E-4</v>
      </c>
      <c r="H248" s="3">
        <f t="shared" si="3"/>
        <v>4.0899795501037062E-4</v>
      </c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</row>
    <row r="249" spans="1:25" x14ac:dyDescent="0.3">
      <c r="A249" s="2">
        <v>45747</v>
      </c>
      <c r="B249" s="1">
        <v>24.45</v>
      </c>
      <c r="C249" s="1">
        <v>24.42</v>
      </c>
      <c r="D249" s="1">
        <v>24.48</v>
      </c>
      <c r="E249" s="1">
        <v>24.42</v>
      </c>
      <c r="F249" s="1" t="s">
        <v>124</v>
      </c>
      <c r="G249" s="3">
        <v>-4.0000000000000002E-4</v>
      </c>
      <c r="H249" s="3">
        <f t="shared" si="3"/>
        <v>-4.0883074407205289E-4</v>
      </c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</row>
    <row r="250" spans="1:25" x14ac:dyDescent="0.3">
      <c r="A250" s="2">
        <v>45748</v>
      </c>
      <c r="B250" s="1">
        <v>24.46</v>
      </c>
      <c r="C250" s="1">
        <v>24.44</v>
      </c>
      <c r="D250" s="1">
        <v>24.48</v>
      </c>
      <c r="E250" s="1">
        <v>24.44</v>
      </c>
      <c r="F250" s="1" t="s">
        <v>88</v>
      </c>
      <c r="G250" s="3">
        <v>4.0000000000000002E-4</v>
      </c>
      <c r="H250" s="3">
        <f t="shared" si="3"/>
        <v>4.0899795501037062E-4</v>
      </c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</row>
    <row r="251" spans="1:25" x14ac:dyDescent="0.3">
      <c r="A251" s="2">
        <v>45749</v>
      </c>
      <c r="B251" s="1">
        <v>24.45</v>
      </c>
      <c r="C251" s="1">
        <v>24.42</v>
      </c>
      <c r="D251" s="1">
        <v>24.47</v>
      </c>
      <c r="E251" s="1">
        <v>24.42</v>
      </c>
      <c r="F251" s="1" t="s">
        <v>149</v>
      </c>
      <c r="G251" s="3">
        <v>-4.0000000000000002E-4</v>
      </c>
      <c r="H251" s="3">
        <f t="shared" si="3"/>
        <v>-4.0883074407205289E-4</v>
      </c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</row>
    <row r="252" spans="1:25" x14ac:dyDescent="0.3">
      <c r="A252" s="2">
        <v>45750</v>
      </c>
      <c r="B252" s="1">
        <v>23.96</v>
      </c>
      <c r="C252" s="1">
        <v>24.15</v>
      </c>
      <c r="D252" s="1">
        <v>24.41</v>
      </c>
      <c r="E252" s="1">
        <v>23.9</v>
      </c>
      <c r="F252" s="1" t="s">
        <v>767</v>
      </c>
      <c r="G252" s="3">
        <v>-0.02</v>
      </c>
      <c r="H252" s="3">
        <f t="shared" si="3"/>
        <v>-2.0040899795500944E-2</v>
      </c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</row>
    <row r="253" spans="1:25" x14ac:dyDescent="0.3">
      <c r="A253" s="2">
        <v>45751</v>
      </c>
      <c r="B253" s="1">
        <v>23.34</v>
      </c>
      <c r="C253" s="1">
        <v>23.39</v>
      </c>
      <c r="D253" s="1">
        <v>23.73</v>
      </c>
      <c r="E253" s="1">
        <v>23.03</v>
      </c>
      <c r="F253" s="1" t="s">
        <v>766</v>
      </c>
      <c r="G253" s="3">
        <v>-2.5899999999999999E-2</v>
      </c>
      <c r="H253" s="3">
        <f t="shared" si="3"/>
        <v>-2.5876460767946585E-2</v>
      </c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</row>
    <row r="254" spans="1:25" x14ac:dyDescent="0.3"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</row>
    <row r="255" spans="1:25" x14ac:dyDescent="0.3"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</row>
    <row r="256" spans="1:25" x14ac:dyDescent="0.3">
      <c r="O256" s="7"/>
      <c r="P256" s="7"/>
      <c r="Q256" s="7"/>
      <c r="R256" s="7"/>
      <c r="S256" s="7"/>
      <c r="T256" s="7"/>
      <c r="U256" s="7"/>
      <c r="V256" s="7"/>
      <c r="W256" s="7"/>
      <c r="X256" s="7"/>
    </row>
    <row r="257" spans="15:24" x14ac:dyDescent="0.3">
      <c r="O257" s="7"/>
      <c r="P257" s="7"/>
      <c r="Q257" s="7"/>
      <c r="R257" s="7"/>
      <c r="S257" s="7"/>
      <c r="T257" s="7"/>
      <c r="U257" s="7"/>
      <c r="V257" s="7"/>
      <c r="W257" s="7"/>
      <c r="X257" s="7"/>
    </row>
    <row r="258" spans="15:24" x14ac:dyDescent="0.3">
      <c r="O258" s="7"/>
      <c r="P258" s="7"/>
      <c r="Q258" s="7"/>
      <c r="R258" s="7"/>
      <c r="S258" s="7"/>
      <c r="T258" s="7"/>
      <c r="U258" s="7"/>
      <c r="V258" s="7"/>
      <c r="W258" s="7"/>
      <c r="X258" s="7"/>
    </row>
    <row r="259" spans="15:24" x14ac:dyDescent="0.3">
      <c r="O259" s="7"/>
      <c r="P259" s="7"/>
      <c r="Q259" s="7"/>
      <c r="R259" s="7"/>
      <c r="S259" s="7"/>
      <c r="T259" s="7"/>
      <c r="U259" s="7"/>
      <c r="V259" s="7"/>
      <c r="W259" s="7"/>
      <c r="X259" s="7"/>
    </row>
    <row r="260" spans="15:24" x14ac:dyDescent="0.3">
      <c r="O260" s="7"/>
      <c r="P260" s="7"/>
      <c r="Q260" s="7"/>
      <c r="R260" s="7"/>
      <c r="S260" s="7"/>
      <c r="T260" s="7"/>
      <c r="U260" s="7"/>
      <c r="V260" s="7"/>
      <c r="W260" s="7"/>
      <c r="X260" s="7"/>
    </row>
    <row r="261" spans="15:24" x14ac:dyDescent="0.3">
      <c r="O261" s="7"/>
      <c r="P261" s="7"/>
      <c r="Q261" s="7"/>
      <c r="R261" s="7"/>
      <c r="S261" s="7"/>
      <c r="T261" s="7"/>
      <c r="U261" s="7"/>
      <c r="V261" s="7"/>
      <c r="W261" s="7"/>
      <c r="X261" s="7"/>
    </row>
    <row r="262" spans="15:24" x14ac:dyDescent="0.3">
      <c r="O262" s="7"/>
      <c r="P262" s="7"/>
      <c r="Q262" s="7"/>
      <c r="R262" s="7"/>
      <c r="S262" s="7"/>
      <c r="T262" s="7"/>
      <c r="U262" s="7"/>
      <c r="V262" s="7"/>
      <c r="W262" s="7"/>
      <c r="X262" s="7"/>
    </row>
  </sheetData>
  <autoFilter ref="A1:G253" xr:uid="{053A6C23-D223-4E4D-ADF0-A5238B091442}">
    <sortState xmlns:xlrd2="http://schemas.microsoft.com/office/spreadsheetml/2017/richdata2" ref="A2:G253">
      <sortCondition ref="A1:A25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F3F8-4D2F-4D0A-8137-736D0FE08ED0}">
  <sheetPr codeName="Hoja2">
    <tabColor theme="7" tint="0.39997558519241921"/>
  </sheetPr>
  <dimension ref="A1:N253"/>
  <sheetViews>
    <sheetView topLeftCell="C1" workbookViewId="0">
      <selection activeCell="M15" sqref="M15"/>
    </sheetView>
  </sheetViews>
  <sheetFormatPr baseColWidth="10" defaultRowHeight="14.4" x14ac:dyDescent="0.3"/>
  <sheetData>
    <row r="1" spans="1:14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  <c r="N1" t="s">
        <v>1696</v>
      </c>
    </row>
    <row r="2" spans="1:14" x14ac:dyDescent="0.3">
      <c r="A2" s="7">
        <v>45371</v>
      </c>
      <c r="B2">
        <v>4.29</v>
      </c>
      <c r="C2">
        <v>4.28</v>
      </c>
      <c r="D2">
        <v>4.3099999999999996</v>
      </c>
      <c r="E2">
        <v>4.1900000000000004</v>
      </c>
      <c r="F2" t="s">
        <v>1695</v>
      </c>
      <c r="G2" s="8">
        <v>-9.1999999999999998E-3</v>
      </c>
      <c r="H2" s="3" t="s">
        <v>11</v>
      </c>
      <c r="J2" t="s">
        <v>12</v>
      </c>
      <c r="K2" s="4">
        <f>AVERAGE(H3:H253)</f>
        <v>1.4657071717349643E-3</v>
      </c>
      <c r="L2" s="5">
        <f>_xlfn.STDEV.S(H3:H253)</f>
        <v>3.6814440113096508E-2</v>
      </c>
      <c r="N2" t="s">
        <v>1697</v>
      </c>
    </row>
    <row r="3" spans="1:14" x14ac:dyDescent="0.3">
      <c r="A3" s="7">
        <v>45372</v>
      </c>
      <c r="B3">
        <v>4.3600000000000003</v>
      </c>
      <c r="C3">
        <v>4.29</v>
      </c>
      <c r="D3">
        <v>4.3899999999999997</v>
      </c>
      <c r="E3">
        <v>4.25</v>
      </c>
      <c r="F3" t="s">
        <v>1694</v>
      </c>
      <c r="G3" s="8">
        <v>1.6299999999999999E-2</v>
      </c>
      <c r="H3" s="3">
        <f>(B3/B2)-1</f>
        <v>1.631701631701632E-2</v>
      </c>
      <c r="J3" t="s">
        <v>14</v>
      </c>
      <c r="K3" s="6">
        <f>K2*252</f>
        <v>0.36935820727721097</v>
      </c>
      <c r="L3" s="6">
        <f>L2*SQRT(252)</f>
        <v>0.58441111917200372</v>
      </c>
    </row>
    <row r="4" spans="1:14" x14ac:dyDescent="0.3">
      <c r="A4" s="7">
        <v>45373</v>
      </c>
      <c r="B4">
        <v>4.18</v>
      </c>
      <c r="C4">
        <v>4.34</v>
      </c>
      <c r="D4">
        <v>4.3499999999999996</v>
      </c>
      <c r="E4">
        <v>4.1500000000000004</v>
      </c>
      <c r="F4" t="s">
        <v>494</v>
      </c>
      <c r="G4" s="8">
        <v>-4.1300000000000003E-2</v>
      </c>
      <c r="H4" s="3">
        <f t="shared" ref="H4:H67" si="0">(B4/B3)-1</f>
        <v>-4.1284403669724856E-2</v>
      </c>
    </row>
    <row r="5" spans="1:14" x14ac:dyDescent="0.3">
      <c r="A5" s="7">
        <v>45376</v>
      </c>
      <c r="B5">
        <v>4.08</v>
      </c>
      <c r="C5">
        <v>4.16</v>
      </c>
      <c r="D5">
        <v>4.22</v>
      </c>
      <c r="E5">
        <v>4.05</v>
      </c>
      <c r="F5" t="s">
        <v>1693</v>
      </c>
      <c r="G5" s="8">
        <v>-2.3900000000000001E-2</v>
      </c>
      <c r="H5" s="3">
        <f t="shared" si="0"/>
        <v>-2.3923444976076458E-2</v>
      </c>
    </row>
    <row r="6" spans="1:14" x14ac:dyDescent="0.3">
      <c r="A6" s="7">
        <v>45377</v>
      </c>
      <c r="B6">
        <v>4.1100000000000003</v>
      </c>
      <c r="C6">
        <v>4.08</v>
      </c>
      <c r="D6">
        <v>4.16</v>
      </c>
      <c r="E6">
        <v>4.04</v>
      </c>
      <c r="F6" t="s">
        <v>1145</v>
      </c>
      <c r="G6" s="8">
        <v>7.4000000000000003E-3</v>
      </c>
      <c r="H6" s="3">
        <f t="shared" si="0"/>
        <v>7.3529411764705621E-3</v>
      </c>
    </row>
    <row r="7" spans="1:14" x14ac:dyDescent="0.3">
      <c r="A7" s="7">
        <v>45378</v>
      </c>
      <c r="B7">
        <v>4.03</v>
      </c>
      <c r="C7">
        <v>4.12</v>
      </c>
      <c r="D7">
        <v>4.1399999999999997</v>
      </c>
      <c r="E7">
        <v>4.03</v>
      </c>
      <c r="F7" t="s">
        <v>1099</v>
      </c>
      <c r="G7" s="8">
        <v>-1.95E-2</v>
      </c>
      <c r="H7" s="3">
        <f t="shared" si="0"/>
        <v>-1.9464720194647178E-2</v>
      </c>
    </row>
    <row r="8" spans="1:14" x14ac:dyDescent="0.3">
      <c r="A8" s="7">
        <v>45379</v>
      </c>
      <c r="B8">
        <v>4.1500000000000004</v>
      </c>
      <c r="C8">
        <v>4.0199999999999996</v>
      </c>
      <c r="D8">
        <v>4.26</v>
      </c>
      <c r="E8">
        <v>4</v>
      </c>
      <c r="F8" t="s">
        <v>1692</v>
      </c>
      <c r="G8" s="8">
        <v>2.98E-2</v>
      </c>
      <c r="H8" s="3">
        <f t="shared" si="0"/>
        <v>2.977667493796532E-2</v>
      </c>
    </row>
    <row r="9" spans="1:14" x14ac:dyDescent="0.3">
      <c r="A9" s="7">
        <v>45380</v>
      </c>
      <c r="B9">
        <v>4.18</v>
      </c>
      <c r="C9">
        <v>4.1399999999999997</v>
      </c>
      <c r="D9">
        <v>4.22</v>
      </c>
      <c r="E9">
        <v>4.1100000000000003</v>
      </c>
      <c r="F9" t="s">
        <v>522</v>
      </c>
      <c r="G9" s="8">
        <v>7.1999999999999998E-3</v>
      </c>
      <c r="H9" s="3">
        <f t="shared" si="0"/>
        <v>7.2289156626503814E-3</v>
      </c>
    </row>
    <row r="10" spans="1:14" x14ac:dyDescent="0.3">
      <c r="A10" s="7">
        <v>45383</v>
      </c>
      <c r="B10">
        <v>4.28</v>
      </c>
      <c r="C10">
        <v>4.18</v>
      </c>
      <c r="D10">
        <v>4.28</v>
      </c>
      <c r="E10">
        <v>4.17</v>
      </c>
      <c r="F10" t="s">
        <v>1663</v>
      </c>
      <c r="G10" s="8">
        <v>2.3900000000000001E-2</v>
      </c>
      <c r="H10" s="3">
        <f t="shared" si="0"/>
        <v>2.3923444976076791E-2</v>
      </c>
    </row>
    <row r="11" spans="1:14" x14ac:dyDescent="0.3">
      <c r="A11" s="7">
        <v>45384</v>
      </c>
      <c r="B11">
        <v>4.3</v>
      </c>
      <c r="C11">
        <v>4.29</v>
      </c>
      <c r="D11">
        <v>4.32</v>
      </c>
      <c r="E11">
        <v>4.2300000000000004</v>
      </c>
      <c r="F11" t="s">
        <v>1691</v>
      </c>
      <c r="G11" s="8">
        <v>4.7000000000000002E-3</v>
      </c>
      <c r="H11" s="3">
        <f t="shared" si="0"/>
        <v>4.6728971962615162E-3</v>
      </c>
    </row>
    <row r="12" spans="1:14" x14ac:dyDescent="0.3">
      <c r="A12" s="7">
        <v>45385</v>
      </c>
      <c r="B12">
        <v>4.32</v>
      </c>
      <c r="C12">
        <v>4.28</v>
      </c>
      <c r="D12">
        <v>4.33</v>
      </c>
      <c r="E12">
        <v>4.2300000000000004</v>
      </c>
      <c r="F12" t="s">
        <v>1690</v>
      </c>
      <c r="G12" s="8">
        <v>4.7000000000000002E-3</v>
      </c>
      <c r="H12" s="3">
        <f t="shared" si="0"/>
        <v>4.6511627906977715E-3</v>
      </c>
    </row>
    <row r="13" spans="1:14" x14ac:dyDescent="0.3">
      <c r="A13" s="7">
        <v>45390</v>
      </c>
      <c r="B13">
        <v>4.24</v>
      </c>
      <c r="C13">
        <v>4.3099999999999996</v>
      </c>
      <c r="D13">
        <v>4.32</v>
      </c>
      <c r="E13">
        <v>4.22</v>
      </c>
      <c r="F13" t="s">
        <v>521</v>
      </c>
      <c r="G13" s="8">
        <v>-1.8499999999999999E-2</v>
      </c>
      <c r="H13" s="3">
        <f t="shared" si="0"/>
        <v>-1.851851851851849E-2</v>
      </c>
    </row>
    <row r="14" spans="1:14" x14ac:dyDescent="0.3">
      <c r="A14" s="7">
        <v>45391</v>
      </c>
      <c r="B14">
        <v>4.34</v>
      </c>
      <c r="C14">
        <v>4.25</v>
      </c>
      <c r="D14">
        <v>4.34</v>
      </c>
      <c r="E14">
        <v>4.18</v>
      </c>
      <c r="F14" t="s">
        <v>521</v>
      </c>
      <c r="G14" s="8">
        <v>2.3599999999999999E-2</v>
      </c>
      <c r="H14" s="3">
        <f t="shared" si="0"/>
        <v>2.3584905660377187E-2</v>
      </c>
    </row>
    <row r="15" spans="1:14" x14ac:dyDescent="0.3">
      <c r="A15" s="7">
        <v>45392</v>
      </c>
      <c r="B15">
        <v>4.1900000000000004</v>
      </c>
      <c r="C15">
        <v>4.33</v>
      </c>
      <c r="D15">
        <v>4.33</v>
      </c>
      <c r="E15">
        <v>4.1399999999999997</v>
      </c>
      <c r="F15" t="s">
        <v>1689</v>
      </c>
      <c r="G15" s="8">
        <v>-3.4599999999999999E-2</v>
      </c>
      <c r="H15" s="3">
        <f t="shared" si="0"/>
        <v>-3.4562211981566726E-2</v>
      </c>
    </row>
    <row r="16" spans="1:14" x14ac:dyDescent="0.3">
      <c r="A16" s="7">
        <v>45393</v>
      </c>
      <c r="B16">
        <v>4.1500000000000004</v>
      </c>
      <c r="C16">
        <v>4.17</v>
      </c>
      <c r="D16">
        <v>4.24</v>
      </c>
      <c r="E16">
        <v>4.13</v>
      </c>
      <c r="F16" t="s">
        <v>1688</v>
      </c>
      <c r="G16" s="8">
        <v>-9.4999999999999998E-3</v>
      </c>
      <c r="H16" s="3">
        <f t="shared" si="0"/>
        <v>-9.5465393794749165E-3</v>
      </c>
    </row>
    <row r="17" spans="1:8" x14ac:dyDescent="0.3">
      <c r="A17" s="7">
        <v>45394</v>
      </c>
      <c r="B17">
        <v>4.04</v>
      </c>
      <c r="C17">
        <v>4.1500000000000004</v>
      </c>
      <c r="D17">
        <v>4.17</v>
      </c>
      <c r="E17">
        <v>4.01</v>
      </c>
      <c r="F17" t="s">
        <v>1687</v>
      </c>
      <c r="G17" s="8">
        <v>-2.6499999999999999E-2</v>
      </c>
      <c r="H17" s="3">
        <f t="shared" si="0"/>
        <v>-2.6506024096385583E-2</v>
      </c>
    </row>
    <row r="18" spans="1:8" x14ac:dyDescent="0.3">
      <c r="A18" s="7">
        <v>45397</v>
      </c>
      <c r="B18">
        <v>3.64</v>
      </c>
      <c r="C18">
        <v>4</v>
      </c>
      <c r="D18">
        <v>4.0199999999999996</v>
      </c>
      <c r="E18">
        <v>3.64</v>
      </c>
      <c r="F18" t="s">
        <v>1070</v>
      </c>
      <c r="G18" s="8">
        <v>-9.9000000000000005E-2</v>
      </c>
      <c r="H18" s="3">
        <f t="shared" si="0"/>
        <v>-9.9009900990098987E-2</v>
      </c>
    </row>
    <row r="19" spans="1:8" x14ac:dyDescent="0.3">
      <c r="A19" s="7">
        <v>45398</v>
      </c>
      <c r="B19">
        <v>3.28</v>
      </c>
      <c r="C19">
        <v>3.4</v>
      </c>
      <c r="D19">
        <v>3.49</v>
      </c>
      <c r="E19">
        <v>3.28</v>
      </c>
      <c r="F19" t="s">
        <v>1556</v>
      </c>
      <c r="G19" s="8">
        <v>-9.8900000000000002E-2</v>
      </c>
      <c r="H19" s="3">
        <f t="shared" si="0"/>
        <v>-9.8901098901098994E-2</v>
      </c>
    </row>
    <row r="20" spans="1:8" x14ac:dyDescent="0.3">
      <c r="A20" s="7">
        <v>45399</v>
      </c>
      <c r="B20">
        <v>3.48</v>
      </c>
      <c r="C20">
        <v>3.25</v>
      </c>
      <c r="D20">
        <v>3.49</v>
      </c>
      <c r="E20">
        <v>3.25</v>
      </c>
      <c r="F20" t="s">
        <v>1686</v>
      </c>
      <c r="G20" s="8">
        <v>6.0999999999999999E-2</v>
      </c>
      <c r="H20" s="3">
        <f t="shared" si="0"/>
        <v>6.0975609756097615E-2</v>
      </c>
    </row>
    <row r="21" spans="1:8" x14ac:dyDescent="0.3">
      <c r="A21" s="7">
        <v>45400</v>
      </c>
      <c r="B21">
        <v>3.41</v>
      </c>
      <c r="C21">
        <v>3.47</v>
      </c>
      <c r="D21">
        <v>3.5</v>
      </c>
      <c r="E21">
        <v>3.33</v>
      </c>
      <c r="F21" t="s">
        <v>1685</v>
      </c>
      <c r="G21" s="8">
        <v>-2.01E-2</v>
      </c>
      <c r="H21" s="3">
        <f t="shared" si="0"/>
        <v>-2.011494252873558E-2</v>
      </c>
    </row>
    <row r="22" spans="1:8" x14ac:dyDescent="0.3">
      <c r="A22" s="7">
        <v>45401</v>
      </c>
      <c r="B22">
        <v>3.42</v>
      </c>
      <c r="C22">
        <v>3.38</v>
      </c>
      <c r="D22">
        <v>3.47</v>
      </c>
      <c r="E22">
        <v>3.35</v>
      </c>
      <c r="F22" t="s">
        <v>504</v>
      </c>
      <c r="G22" s="8">
        <v>2.8999999999999998E-3</v>
      </c>
      <c r="H22" s="3">
        <f t="shared" si="0"/>
        <v>2.9325513196480912E-3</v>
      </c>
    </row>
    <row r="23" spans="1:8" x14ac:dyDescent="0.3">
      <c r="A23" s="7">
        <v>45404</v>
      </c>
      <c r="B23">
        <v>3.38</v>
      </c>
      <c r="C23">
        <v>3.41</v>
      </c>
      <c r="D23">
        <v>3.47</v>
      </c>
      <c r="E23">
        <v>3.3</v>
      </c>
      <c r="F23" t="s">
        <v>486</v>
      </c>
      <c r="G23" s="8">
        <v>-1.17E-2</v>
      </c>
      <c r="H23" s="3">
        <f t="shared" si="0"/>
        <v>-1.1695906432748537E-2</v>
      </c>
    </row>
    <row r="24" spans="1:8" x14ac:dyDescent="0.3">
      <c r="A24" s="7">
        <v>45405</v>
      </c>
      <c r="B24">
        <v>3.44</v>
      </c>
      <c r="C24">
        <v>3.4</v>
      </c>
      <c r="D24">
        <v>3.5</v>
      </c>
      <c r="E24">
        <v>3.36</v>
      </c>
      <c r="F24" t="s">
        <v>1684</v>
      </c>
      <c r="G24" s="8">
        <v>1.78E-2</v>
      </c>
      <c r="H24" s="3">
        <f t="shared" si="0"/>
        <v>1.7751479289940919E-2</v>
      </c>
    </row>
    <row r="25" spans="1:8" x14ac:dyDescent="0.3">
      <c r="A25" s="7">
        <v>45406</v>
      </c>
      <c r="B25">
        <v>3.49</v>
      </c>
      <c r="C25">
        <v>3.43</v>
      </c>
      <c r="D25">
        <v>3.51</v>
      </c>
      <c r="E25">
        <v>3.42</v>
      </c>
      <c r="F25" t="s">
        <v>1683</v>
      </c>
      <c r="G25" s="8">
        <v>1.4500000000000001E-2</v>
      </c>
      <c r="H25" s="3">
        <f t="shared" si="0"/>
        <v>1.4534883720930258E-2</v>
      </c>
    </row>
    <row r="26" spans="1:8" x14ac:dyDescent="0.3">
      <c r="A26" s="7">
        <v>45407</v>
      </c>
      <c r="B26">
        <v>3.54</v>
      </c>
      <c r="C26">
        <v>3.49</v>
      </c>
      <c r="D26">
        <v>3.56</v>
      </c>
      <c r="E26">
        <v>3.46</v>
      </c>
      <c r="F26" t="s">
        <v>1109</v>
      </c>
      <c r="G26" s="8">
        <v>1.43E-2</v>
      </c>
      <c r="H26" s="3">
        <f t="shared" si="0"/>
        <v>1.4326647564469885E-2</v>
      </c>
    </row>
    <row r="27" spans="1:8" x14ac:dyDescent="0.3">
      <c r="A27" s="7">
        <v>45408</v>
      </c>
      <c r="B27">
        <v>3.58</v>
      </c>
      <c r="C27">
        <v>3.54</v>
      </c>
      <c r="D27">
        <v>3.6</v>
      </c>
      <c r="E27">
        <v>3.48</v>
      </c>
      <c r="F27" t="s">
        <v>498</v>
      </c>
      <c r="G27" s="8">
        <v>1.1299999999999999E-2</v>
      </c>
      <c r="H27" s="3">
        <f t="shared" si="0"/>
        <v>1.1299435028248705E-2</v>
      </c>
    </row>
    <row r="28" spans="1:8" x14ac:dyDescent="0.3">
      <c r="A28" s="7">
        <v>45411</v>
      </c>
      <c r="B28">
        <v>3.69</v>
      </c>
      <c r="C28">
        <v>3.57</v>
      </c>
      <c r="D28">
        <v>3.71</v>
      </c>
      <c r="E28">
        <v>3.56</v>
      </c>
      <c r="F28" t="s">
        <v>1682</v>
      </c>
      <c r="G28" s="8">
        <v>3.0700000000000002E-2</v>
      </c>
      <c r="H28" s="3">
        <f t="shared" si="0"/>
        <v>3.0726256983240274E-2</v>
      </c>
    </row>
    <row r="29" spans="1:8" x14ac:dyDescent="0.3">
      <c r="A29" s="7">
        <v>45412</v>
      </c>
      <c r="B29">
        <v>3.7</v>
      </c>
      <c r="C29">
        <v>3.69</v>
      </c>
      <c r="D29">
        <v>3.76</v>
      </c>
      <c r="E29">
        <v>3.62</v>
      </c>
      <c r="F29" t="s">
        <v>517</v>
      </c>
      <c r="G29" s="8">
        <v>2.7000000000000001E-3</v>
      </c>
      <c r="H29" s="3">
        <f t="shared" si="0"/>
        <v>2.7100271002711285E-3</v>
      </c>
    </row>
    <row r="30" spans="1:8" x14ac:dyDescent="0.3">
      <c r="A30" s="7">
        <v>45418</v>
      </c>
      <c r="B30">
        <v>3.79</v>
      </c>
      <c r="C30">
        <v>3.73</v>
      </c>
      <c r="D30">
        <v>3.8</v>
      </c>
      <c r="E30">
        <v>3.73</v>
      </c>
      <c r="F30" t="s">
        <v>1681</v>
      </c>
      <c r="G30" s="8">
        <v>2.4299999999999999E-2</v>
      </c>
      <c r="H30" s="3">
        <f t="shared" si="0"/>
        <v>2.4324324324324298E-2</v>
      </c>
    </row>
    <row r="31" spans="1:8" x14ac:dyDescent="0.3">
      <c r="A31" s="7">
        <v>45419</v>
      </c>
      <c r="B31">
        <v>3.79</v>
      </c>
      <c r="C31">
        <v>3.8</v>
      </c>
      <c r="D31">
        <v>3.81</v>
      </c>
      <c r="E31">
        <v>3.75</v>
      </c>
      <c r="F31" t="s">
        <v>1680</v>
      </c>
      <c r="G31" s="8">
        <v>0</v>
      </c>
      <c r="H31" s="3">
        <f t="shared" si="0"/>
        <v>0</v>
      </c>
    </row>
    <row r="32" spans="1:8" x14ac:dyDescent="0.3">
      <c r="A32" s="7">
        <v>45420</v>
      </c>
      <c r="B32">
        <v>3.82</v>
      </c>
      <c r="C32">
        <v>3.8</v>
      </c>
      <c r="D32">
        <v>3.84</v>
      </c>
      <c r="E32">
        <v>3.75</v>
      </c>
      <c r="F32" t="s">
        <v>519</v>
      </c>
      <c r="G32" s="8">
        <v>7.9000000000000008E-3</v>
      </c>
      <c r="H32" s="3">
        <f t="shared" si="0"/>
        <v>7.9155672823219003E-3</v>
      </c>
    </row>
    <row r="33" spans="1:8" x14ac:dyDescent="0.3">
      <c r="A33" s="7">
        <v>45421</v>
      </c>
      <c r="B33">
        <v>3.89</v>
      </c>
      <c r="C33">
        <v>3.83</v>
      </c>
      <c r="D33">
        <v>3.91</v>
      </c>
      <c r="E33">
        <v>3.8</v>
      </c>
      <c r="F33" t="s">
        <v>527</v>
      </c>
      <c r="G33" s="8">
        <v>1.83E-2</v>
      </c>
      <c r="H33" s="3">
        <f t="shared" si="0"/>
        <v>1.832460732984309E-2</v>
      </c>
    </row>
    <row r="34" spans="1:8" x14ac:dyDescent="0.3">
      <c r="A34" s="7">
        <v>45422</v>
      </c>
      <c r="B34">
        <v>3.83</v>
      </c>
      <c r="C34">
        <v>3.9</v>
      </c>
      <c r="D34">
        <v>3.97</v>
      </c>
      <c r="E34">
        <v>3.82</v>
      </c>
      <c r="F34" t="s">
        <v>1679</v>
      </c>
      <c r="G34" s="8">
        <v>-1.54E-2</v>
      </c>
      <c r="H34" s="3">
        <f t="shared" si="0"/>
        <v>-1.5424164524421635E-2</v>
      </c>
    </row>
    <row r="35" spans="1:8" x14ac:dyDescent="0.3">
      <c r="A35" s="7">
        <v>45425</v>
      </c>
      <c r="B35">
        <v>3.78</v>
      </c>
      <c r="C35">
        <v>3.81</v>
      </c>
      <c r="D35">
        <v>3.86</v>
      </c>
      <c r="E35">
        <v>3.75</v>
      </c>
      <c r="F35" t="s">
        <v>1678</v>
      </c>
      <c r="G35" s="8">
        <v>-1.3100000000000001E-2</v>
      </c>
      <c r="H35" s="3">
        <f t="shared" si="0"/>
        <v>-1.3054830287206332E-2</v>
      </c>
    </row>
    <row r="36" spans="1:8" x14ac:dyDescent="0.3">
      <c r="A36" s="7">
        <v>45426</v>
      </c>
      <c r="B36">
        <v>3.91</v>
      </c>
      <c r="C36">
        <v>3.77</v>
      </c>
      <c r="D36">
        <v>3.91</v>
      </c>
      <c r="E36">
        <v>3.77</v>
      </c>
      <c r="F36" t="s">
        <v>521</v>
      </c>
      <c r="G36" s="8">
        <v>3.44E-2</v>
      </c>
      <c r="H36" s="3">
        <f t="shared" si="0"/>
        <v>3.4391534391534417E-2</v>
      </c>
    </row>
    <row r="37" spans="1:8" x14ac:dyDescent="0.3">
      <c r="A37" s="7">
        <v>45427</v>
      </c>
      <c r="B37">
        <v>3.84</v>
      </c>
      <c r="C37">
        <v>3.91</v>
      </c>
      <c r="D37">
        <v>3.93</v>
      </c>
      <c r="E37">
        <v>3.82</v>
      </c>
      <c r="F37" t="s">
        <v>63</v>
      </c>
      <c r="G37" s="8">
        <v>-1.7899999999999999E-2</v>
      </c>
      <c r="H37" s="3">
        <f t="shared" si="0"/>
        <v>-1.7902813299232823E-2</v>
      </c>
    </row>
    <row r="38" spans="1:8" x14ac:dyDescent="0.3">
      <c r="A38" s="7">
        <v>45428</v>
      </c>
      <c r="B38">
        <v>3.94</v>
      </c>
      <c r="C38">
        <v>3.85</v>
      </c>
      <c r="D38">
        <v>4.1500000000000004</v>
      </c>
      <c r="E38">
        <v>3.84</v>
      </c>
      <c r="F38" t="s">
        <v>1677</v>
      </c>
      <c r="G38" s="8">
        <v>2.5999999999999999E-2</v>
      </c>
      <c r="H38" s="3">
        <f t="shared" si="0"/>
        <v>2.6041666666666741E-2</v>
      </c>
    </row>
    <row r="39" spans="1:8" x14ac:dyDescent="0.3">
      <c r="A39" s="7">
        <v>45429</v>
      </c>
      <c r="B39">
        <v>3.91</v>
      </c>
      <c r="C39">
        <v>3.94</v>
      </c>
      <c r="D39">
        <v>4.04</v>
      </c>
      <c r="E39">
        <v>3.86</v>
      </c>
      <c r="F39" t="s">
        <v>1676</v>
      </c>
      <c r="G39" s="8">
        <v>-7.6E-3</v>
      </c>
      <c r="H39" s="3">
        <f t="shared" si="0"/>
        <v>-7.6142131979695105E-3</v>
      </c>
    </row>
    <row r="40" spans="1:8" x14ac:dyDescent="0.3">
      <c r="A40" s="7">
        <v>45432</v>
      </c>
      <c r="B40">
        <v>3.87</v>
      </c>
      <c r="C40">
        <v>3.91</v>
      </c>
      <c r="D40">
        <v>3.99</v>
      </c>
      <c r="E40">
        <v>3.85</v>
      </c>
      <c r="F40" t="s">
        <v>1116</v>
      </c>
      <c r="G40" s="8">
        <v>-1.0200000000000001E-2</v>
      </c>
      <c r="H40" s="3">
        <f t="shared" si="0"/>
        <v>-1.0230179028132946E-2</v>
      </c>
    </row>
    <row r="41" spans="1:8" x14ac:dyDescent="0.3">
      <c r="A41" s="7">
        <v>45433</v>
      </c>
      <c r="B41">
        <v>3.84</v>
      </c>
      <c r="C41">
        <v>3.86</v>
      </c>
      <c r="D41">
        <v>3.89</v>
      </c>
      <c r="E41">
        <v>3.8</v>
      </c>
      <c r="F41" t="s">
        <v>1675</v>
      </c>
      <c r="G41" s="8">
        <v>-7.7999999999999996E-3</v>
      </c>
      <c r="H41" s="3">
        <f t="shared" si="0"/>
        <v>-7.7519379844961378E-3</v>
      </c>
    </row>
    <row r="42" spans="1:8" x14ac:dyDescent="0.3">
      <c r="A42" s="7">
        <v>45434</v>
      </c>
      <c r="B42">
        <v>3.83</v>
      </c>
      <c r="C42">
        <v>3.85</v>
      </c>
      <c r="D42">
        <v>3.9</v>
      </c>
      <c r="E42">
        <v>3.8</v>
      </c>
      <c r="F42" t="s">
        <v>22</v>
      </c>
      <c r="G42" s="8">
        <v>-2.5999999999999999E-3</v>
      </c>
      <c r="H42" s="3">
        <f t="shared" si="0"/>
        <v>-2.6041666666666297E-3</v>
      </c>
    </row>
    <row r="43" spans="1:8" x14ac:dyDescent="0.3">
      <c r="A43" s="7">
        <v>45435</v>
      </c>
      <c r="B43">
        <v>3.74</v>
      </c>
      <c r="C43">
        <v>3.82</v>
      </c>
      <c r="D43">
        <v>3.85</v>
      </c>
      <c r="E43">
        <v>3.72</v>
      </c>
      <c r="F43" t="s">
        <v>1674</v>
      </c>
      <c r="G43" s="8">
        <v>-2.35E-2</v>
      </c>
      <c r="H43" s="3">
        <f t="shared" si="0"/>
        <v>-2.3498694516971286E-2</v>
      </c>
    </row>
    <row r="44" spans="1:8" x14ac:dyDescent="0.3">
      <c r="A44" s="7">
        <v>45436</v>
      </c>
      <c r="B44">
        <v>3.78</v>
      </c>
      <c r="C44">
        <v>3.76</v>
      </c>
      <c r="D44">
        <v>3.83</v>
      </c>
      <c r="E44">
        <v>3.76</v>
      </c>
      <c r="F44" t="s">
        <v>371</v>
      </c>
      <c r="G44" s="8">
        <v>1.0699999999999999E-2</v>
      </c>
      <c r="H44" s="3">
        <f t="shared" si="0"/>
        <v>1.0695187165775222E-2</v>
      </c>
    </row>
    <row r="45" spans="1:8" x14ac:dyDescent="0.3">
      <c r="A45" s="7">
        <v>45439</v>
      </c>
      <c r="B45">
        <v>3.77</v>
      </c>
      <c r="C45">
        <v>3.78</v>
      </c>
      <c r="D45">
        <v>3.82</v>
      </c>
      <c r="E45">
        <v>3.72</v>
      </c>
      <c r="F45" t="s">
        <v>409</v>
      </c>
      <c r="G45" s="8">
        <v>-2.5999999999999999E-3</v>
      </c>
      <c r="H45" s="3">
        <f t="shared" si="0"/>
        <v>-2.6455026455025621E-3</v>
      </c>
    </row>
    <row r="46" spans="1:8" x14ac:dyDescent="0.3">
      <c r="A46" s="7">
        <v>45440</v>
      </c>
      <c r="B46">
        <v>3.66</v>
      </c>
      <c r="C46">
        <v>3.77</v>
      </c>
      <c r="D46">
        <v>3.78</v>
      </c>
      <c r="E46">
        <v>3.65</v>
      </c>
      <c r="F46" t="s">
        <v>514</v>
      </c>
      <c r="G46" s="8">
        <v>-2.92E-2</v>
      </c>
      <c r="H46" s="3">
        <f t="shared" si="0"/>
        <v>-2.917771883289122E-2</v>
      </c>
    </row>
    <row r="47" spans="1:8" x14ac:dyDescent="0.3">
      <c r="A47" s="7">
        <v>45441</v>
      </c>
      <c r="B47">
        <v>3.66</v>
      </c>
      <c r="C47">
        <v>3.67</v>
      </c>
      <c r="D47">
        <v>3.71</v>
      </c>
      <c r="E47">
        <v>3.64</v>
      </c>
      <c r="F47" t="s">
        <v>343</v>
      </c>
      <c r="G47" s="8">
        <v>0</v>
      </c>
      <c r="H47" s="3">
        <f t="shared" si="0"/>
        <v>0</v>
      </c>
    </row>
    <row r="48" spans="1:8" x14ac:dyDescent="0.3">
      <c r="A48" s="7">
        <v>45442</v>
      </c>
      <c r="B48">
        <v>3.6</v>
      </c>
      <c r="C48">
        <v>3.65</v>
      </c>
      <c r="D48">
        <v>3.69</v>
      </c>
      <c r="E48">
        <v>3.58</v>
      </c>
      <c r="F48" t="s">
        <v>1091</v>
      </c>
      <c r="G48" s="8">
        <v>-1.6400000000000001E-2</v>
      </c>
      <c r="H48" s="3">
        <f t="shared" si="0"/>
        <v>-1.6393442622950838E-2</v>
      </c>
    </row>
    <row r="49" spans="1:8" x14ac:dyDescent="0.3">
      <c r="A49" s="7">
        <v>45443</v>
      </c>
      <c r="B49">
        <v>3.57</v>
      </c>
      <c r="C49">
        <v>3.62</v>
      </c>
      <c r="D49">
        <v>3.62</v>
      </c>
      <c r="E49">
        <v>3.55</v>
      </c>
      <c r="F49" t="s">
        <v>784</v>
      </c>
      <c r="G49" s="8">
        <v>-8.3000000000000001E-3</v>
      </c>
      <c r="H49" s="3">
        <f t="shared" si="0"/>
        <v>-8.3333333333334147E-3</v>
      </c>
    </row>
    <row r="50" spans="1:8" x14ac:dyDescent="0.3">
      <c r="A50" s="7">
        <v>45446</v>
      </c>
      <c r="B50">
        <v>3.5</v>
      </c>
      <c r="C50">
        <v>3.57</v>
      </c>
      <c r="D50">
        <v>3.59</v>
      </c>
      <c r="E50">
        <v>3.45</v>
      </c>
      <c r="F50" t="s">
        <v>468</v>
      </c>
      <c r="G50" s="8">
        <v>-1.9599999999999999E-2</v>
      </c>
      <c r="H50" s="3">
        <f t="shared" si="0"/>
        <v>-1.9607843137254832E-2</v>
      </c>
    </row>
    <row r="51" spans="1:8" x14ac:dyDescent="0.3">
      <c r="A51" s="7">
        <v>45447</v>
      </c>
      <c r="B51">
        <v>3.41</v>
      </c>
      <c r="C51">
        <v>3.49</v>
      </c>
      <c r="D51">
        <v>3.49</v>
      </c>
      <c r="E51">
        <v>3.38</v>
      </c>
      <c r="F51" t="s">
        <v>376</v>
      </c>
      <c r="G51" s="8">
        <v>-2.5700000000000001E-2</v>
      </c>
      <c r="H51" s="3">
        <f t="shared" si="0"/>
        <v>-2.571428571428569E-2</v>
      </c>
    </row>
    <row r="52" spans="1:8" x14ac:dyDescent="0.3">
      <c r="A52" s="7">
        <v>45448</v>
      </c>
      <c r="B52">
        <v>3.3</v>
      </c>
      <c r="C52">
        <v>3.4</v>
      </c>
      <c r="D52">
        <v>3.4</v>
      </c>
      <c r="E52">
        <v>3.3</v>
      </c>
      <c r="F52" t="s">
        <v>482</v>
      </c>
      <c r="G52" s="8">
        <v>-3.2300000000000002E-2</v>
      </c>
      <c r="H52" s="3">
        <f t="shared" si="0"/>
        <v>-3.2258064516129115E-2</v>
      </c>
    </row>
    <row r="53" spans="1:8" x14ac:dyDescent="0.3">
      <c r="A53" s="7">
        <v>45449</v>
      </c>
      <c r="B53">
        <v>3.12</v>
      </c>
      <c r="C53">
        <v>3.3</v>
      </c>
      <c r="D53">
        <v>3.33</v>
      </c>
      <c r="E53">
        <v>3.08</v>
      </c>
      <c r="F53" t="s">
        <v>1673</v>
      </c>
      <c r="G53" s="8">
        <v>-5.45E-2</v>
      </c>
      <c r="H53" s="3">
        <f t="shared" si="0"/>
        <v>-5.4545454545454453E-2</v>
      </c>
    </row>
    <row r="54" spans="1:8" x14ac:dyDescent="0.3">
      <c r="A54" s="7">
        <v>45450</v>
      </c>
      <c r="B54">
        <v>3.27</v>
      </c>
      <c r="C54">
        <v>3.13</v>
      </c>
      <c r="D54">
        <v>3.29</v>
      </c>
      <c r="E54">
        <v>3.13</v>
      </c>
      <c r="F54" t="s">
        <v>1116</v>
      </c>
      <c r="G54" s="8">
        <v>4.8099999999999997E-2</v>
      </c>
      <c r="H54" s="3">
        <f t="shared" si="0"/>
        <v>4.8076923076923128E-2</v>
      </c>
    </row>
    <row r="55" spans="1:8" x14ac:dyDescent="0.3">
      <c r="A55" s="7">
        <v>45454</v>
      </c>
      <c r="B55">
        <v>3.22</v>
      </c>
      <c r="C55">
        <v>3.29</v>
      </c>
      <c r="D55">
        <v>3.29</v>
      </c>
      <c r="E55">
        <v>3.16</v>
      </c>
      <c r="F55" t="s">
        <v>503</v>
      </c>
      <c r="G55" s="8">
        <v>-1.5299999999999999E-2</v>
      </c>
      <c r="H55" s="3">
        <f t="shared" si="0"/>
        <v>-1.5290519877675823E-2</v>
      </c>
    </row>
    <row r="56" spans="1:8" x14ac:dyDescent="0.3">
      <c r="A56" s="7">
        <v>45455</v>
      </c>
      <c r="B56">
        <v>3.27</v>
      </c>
      <c r="C56">
        <v>3.22</v>
      </c>
      <c r="D56">
        <v>3.29</v>
      </c>
      <c r="E56">
        <v>3.2</v>
      </c>
      <c r="F56" t="s">
        <v>1672</v>
      </c>
      <c r="G56" s="8">
        <v>1.55E-2</v>
      </c>
      <c r="H56" s="3">
        <f t="shared" si="0"/>
        <v>1.552795031055898E-2</v>
      </c>
    </row>
    <row r="57" spans="1:8" x14ac:dyDescent="0.3">
      <c r="A57" s="7">
        <v>45456</v>
      </c>
      <c r="B57">
        <v>3.22</v>
      </c>
      <c r="C57">
        <v>3.28</v>
      </c>
      <c r="D57">
        <v>3.29</v>
      </c>
      <c r="E57">
        <v>3.2</v>
      </c>
      <c r="F57" t="s">
        <v>328</v>
      </c>
      <c r="G57" s="8">
        <v>-1.5299999999999999E-2</v>
      </c>
      <c r="H57" s="3">
        <f t="shared" si="0"/>
        <v>-1.5290519877675823E-2</v>
      </c>
    </row>
    <row r="58" spans="1:8" x14ac:dyDescent="0.3">
      <c r="A58" s="7">
        <v>45457</v>
      </c>
      <c r="B58">
        <v>3.23</v>
      </c>
      <c r="C58">
        <v>3.22</v>
      </c>
      <c r="D58">
        <v>3.28</v>
      </c>
      <c r="E58">
        <v>3.18</v>
      </c>
      <c r="F58" t="s">
        <v>328</v>
      </c>
      <c r="G58" s="8">
        <v>3.0999999999999999E-3</v>
      </c>
      <c r="H58" s="3">
        <f t="shared" si="0"/>
        <v>3.1055900621117516E-3</v>
      </c>
    </row>
    <row r="59" spans="1:8" x14ac:dyDescent="0.3">
      <c r="A59" s="7">
        <v>45460</v>
      </c>
      <c r="B59">
        <v>3.14</v>
      </c>
      <c r="C59">
        <v>3.22</v>
      </c>
      <c r="D59">
        <v>3.22</v>
      </c>
      <c r="E59">
        <v>3.12</v>
      </c>
      <c r="F59" t="s">
        <v>464</v>
      </c>
      <c r="G59" s="8">
        <v>-2.7900000000000001E-2</v>
      </c>
      <c r="H59" s="3">
        <f t="shared" si="0"/>
        <v>-2.786377708978327E-2</v>
      </c>
    </row>
    <row r="60" spans="1:8" x14ac:dyDescent="0.3">
      <c r="A60" s="7">
        <v>45461</v>
      </c>
      <c r="B60">
        <v>3.16</v>
      </c>
      <c r="C60">
        <v>3.14</v>
      </c>
      <c r="D60">
        <v>3.18</v>
      </c>
      <c r="E60">
        <v>3.12</v>
      </c>
      <c r="F60" t="s">
        <v>462</v>
      </c>
      <c r="G60" s="8">
        <v>6.4000000000000003E-3</v>
      </c>
      <c r="H60" s="3">
        <f t="shared" si="0"/>
        <v>6.3694267515923553E-3</v>
      </c>
    </row>
    <row r="61" spans="1:8" x14ac:dyDescent="0.3">
      <c r="A61" s="7">
        <v>45462</v>
      </c>
      <c r="B61">
        <v>3.14</v>
      </c>
      <c r="C61">
        <v>3.16</v>
      </c>
      <c r="D61">
        <v>3.18</v>
      </c>
      <c r="E61">
        <v>3.13</v>
      </c>
      <c r="F61" t="s">
        <v>441</v>
      </c>
      <c r="G61" s="8">
        <v>-6.3E-3</v>
      </c>
      <c r="H61" s="3">
        <f t="shared" si="0"/>
        <v>-6.3291139240506666E-3</v>
      </c>
    </row>
    <row r="62" spans="1:8" x14ac:dyDescent="0.3">
      <c r="A62" s="7">
        <v>45463</v>
      </c>
      <c r="B62">
        <v>3.06</v>
      </c>
      <c r="C62">
        <v>3.14</v>
      </c>
      <c r="D62">
        <v>3.16</v>
      </c>
      <c r="E62">
        <v>3.04</v>
      </c>
      <c r="F62" t="s">
        <v>1671</v>
      </c>
      <c r="G62" s="8">
        <v>-2.5499999999999998E-2</v>
      </c>
      <c r="H62" s="3">
        <f t="shared" si="0"/>
        <v>-2.5477707006369421E-2</v>
      </c>
    </row>
    <row r="63" spans="1:8" x14ac:dyDescent="0.3">
      <c r="A63" s="7">
        <v>45464</v>
      </c>
      <c r="B63">
        <v>3.06</v>
      </c>
      <c r="C63">
        <v>3.05</v>
      </c>
      <c r="D63">
        <v>3.1</v>
      </c>
      <c r="E63">
        <v>3.03</v>
      </c>
      <c r="F63" t="s">
        <v>195</v>
      </c>
      <c r="G63" s="8">
        <v>0</v>
      </c>
      <c r="H63" s="3">
        <f t="shared" si="0"/>
        <v>0</v>
      </c>
    </row>
    <row r="64" spans="1:8" x14ac:dyDescent="0.3">
      <c r="A64" s="7">
        <v>45467</v>
      </c>
      <c r="B64">
        <v>2.92</v>
      </c>
      <c r="C64">
        <v>3.05</v>
      </c>
      <c r="D64">
        <v>3.05</v>
      </c>
      <c r="E64">
        <v>2.89</v>
      </c>
      <c r="F64" t="s">
        <v>1670</v>
      </c>
      <c r="G64" s="8">
        <v>-4.58E-2</v>
      </c>
      <c r="H64" s="3">
        <f t="shared" si="0"/>
        <v>-4.5751633986928164E-2</v>
      </c>
    </row>
    <row r="65" spans="1:8" x14ac:dyDescent="0.3">
      <c r="A65" s="7">
        <v>45468</v>
      </c>
      <c r="B65">
        <v>2.96</v>
      </c>
      <c r="C65">
        <v>2.92</v>
      </c>
      <c r="D65">
        <v>2.99</v>
      </c>
      <c r="E65">
        <v>2.91</v>
      </c>
      <c r="F65" t="s">
        <v>1669</v>
      </c>
      <c r="G65" s="8">
        <v>1.37E-2</v>
      </c>
      <c r="H65" s="3">
        <f t="shared" si="0"/>
        <v>1.3698630136986356E-2</v>
      </c>
    </row>
    <row r="66" spans="1:8" x14ac:dyDescent="0.3">
      <c r="A66" s="7">
        <v>45469</v>
      </c>
      <c r="B66">
        <v>3.07</v>
      </c>
      <c r="C66">
        <v>2.96</v>
      </c>
      <c r="D66">
        <v>3.08</v>
      </c>
      <c r="E66">
        <v>2.91</v>
      </c>
      <c r="F66" t="s">
        <v>1668</v>
      </c>
      <c r="G66" s="8">
        <v>3.7199999999999997E-2</v>
      </c>
      <c r="H66" s="3">
        <f t="shared" si="0"/>
        <v>3.716216216216206E-2</v>
      </c>
    </row>
    <row r="67" spans="1:8" x14ac:dyDescent="0.3">
      <c r="A67" s="7">
        <v>45470</v>
      </c>
      <c r="B67">
        <v>3.01</v>
      </c>
      <c r="C67">
        <v>3.07</v>
      </c>
      <c r="D67">
        <v>3.1</v>
      </c>
      <c r="E67">
        <v>3.01</v>
      </c>
      <c r="F67" t="s">
        <v>468</v>
      </c>
      <c r="G67" s="8">
        <v>-1.95E-2</v>
      </c>
      <c r="H67" s="3">
        <f t="shared" si="0"/>
        <v>-1.9543973941368087E-2</v>
      </c>
    </row>
    <row r="68" spans="1:8" x14ac:dyDescent="0.3">
      <c r="A68" s="7">
        <v>45471</v>
      </c>
      <c r="B68">
        <v>3.01</v>
      </c>
      <c r="C68">
        <v>3</v>
      </c>
      <c r="D68">
        <v>3.06</v>
      </c>
      <c r="E68">
        <v>3</v>
      </c>
      <c r="F68" t="s">
        <v>38</v>
      </c>
      <c r="G68" s="8">
        <v>0</v>
      </c>
      <c r="H68" s="3">
        <f t="shared" ref="H68:H131" si="1">(B68/B67)-1</f>
        <v>0</v>
      </c>
    </row>
    <row r="69" spans="1:8" x14ac:dyDescent="0.3">
      <c r="A69" s="7">
        <v>45474</v>
      </c>
      <c r="B69">
        <v>3.07</v>
      </c>
      <c r="C69">
        <v>3.01</v>
      </c>
      <c r="D69">
        <v>3.07</v>
      </c>
      <c r="E69">
        <v>2.99</v>
      </c>
      <c r="F69" t="s">
        <v>431</v>
      </c>
      <c r="G69" s="8">
        <v>1.9900000000000001E-2</v>
      </c>
      <c r="H69" s="3">
        <f t="shared" si="1"/>
        <v>1.9933554817275656E-2</v>
      </c>
    </row>
    <row r="70" spans="1:8" x14ac:dyDescent="0.3">
      <c r="A70" s="7">
        <v>45475</v>
      </c>
      <c r="B70">
        <v>3.14</v>
      </c>
      <c r="C70">
        <v>3.07</v>
      </c>
      <c r="D70">
        <v>3.15</v>
      </c>
      <c r="E70">
        <v>3.04</v>
      </c>
      <c r="F70" t="s">
        <v>267</v>
      </c>
      <c r="G70" s="8">
        <v>2.2800000000000001E-2</v>
      </c>
      <c r="H70" s="3">
        <f t="shared" si="1"/>
        <v>2.2801302931596101E-2</v>
      </c>
    </row>
    <row r="71" spans="1:8" x14ac:dyDescent="0.3">
      <c r="A71" s="7">
        <v>45476</v>
      </c>
      <c r="B71">
        <v>3.14</v>
      </c>
      <c r="C71">
        <v>3.15</v>
      </c>
      <c r="D71">
        <v>3.19</v>
      </c>
      <c r="E71">
        <v>3.12</v>
      </c>
      <c r="F71" t="s">
        <v>1667</v>
      </c>
      <c r="G71" s="8">
        <v>0</v>
      </c>
      <c r="H71" s="3">
        <f t="shared" si="1"/>
        <v>0</v>
      </c>
    </row>
    <row r="72" spans="1:8" x14ac:dyDescent="0.3">
      <c r="A72" s="7">
        <v>45477</v>
      </c>
      <c r="B72">
        <v>2.99</v>
      </c>
      <c r="C72">
        <v>3.15</v>
      </c>
      <c r="D72">
        <v>3.15</v>
      </c>
      <c r="E72">
        <v>2.97</v>
      </c>
      <c r="F72" t="s">
        <v>371</v>
      </c>
      <c r="G72" s="8">
        <v>-4.7800000000000002E-2</v>
      </c>
      <c r="H72" s="3">
        <f t="shared" si="1"/>
        <v>-4.7770700636942665E-2</v>
      </c>
    </row>
    <row r="73" spans="1:8" x14ac:dyDescent="0.3">
      <c r="A73" s="7">
        <v>45478</v>
      </c>
      <c r="B73">
        <v>3.02</v>
      </c>
      <c r="C73">
        <v>3</v>
      </c>
      <c r="D73">
        <v>3.04</v>
      </c>
      <c r="E73">
        <v>2.94</v>
      </c>
      <c r="F73" t="s">
        <v>1666</v>
      </c>
      <c r="G73" s="8">
        <v>0.01</v>
      </c>
      <c r="H73" s="3">
        <f t="shared" si="1"/>
        <v>1.0033444816053505E-2</v>
      </c>
    </row>
    <row r="74" spans="1:8" x14ac:dyDescent="0.3">
      <c r="A74" s="7">
        <v>45481</v>
      </c>
      <c r="B74">
        <v>2.92</v>
      </c>
      <c r="C74">
        <v>3.01</v>
      </c>
      <c r="D74">
        <v>3.02</v>
      </c>
      <c r="E74">
        <v>2.9</v>
      </c>
      <c r="F74" t="s">
        <v>1665</v>
      </c>
      <c r="G74" s="8">
        <v>-3.3099999999999997E-2</v>
      </c>
      <c r="H74" s="3">
        <f t="shared" si="1"/>
        <v>-3.3112582781457012E-2</v>
      </c>
    </row>
    <row r="75" spans="1:8" x14ac:dyDescent="0.3">
      <c r="A75" s="7">
        <v>45482</v>
      </c>
      <c r="B75">
        <v>2.87</v>
      </c>
      <c r="C75">
        <v>2.9</v>
      </c>
      <c r="D75">
        <v>2.95</v>
      </c>
      <c r="E75">
        <v>2.78</v>
      </c>
      <c r="F75" t="s">
        <v>454</v>
      </c>
      <c r="G75" s="8">
        <v>-1.7100000000000001E-2</v>
      </c>
      <c r="H75" s="3">
        <f t="shared" si="1"/>
        <v>-1.7123287671232834E-2</v>
      </c>
    </row>
    <row r="76" spans="1:8" x14ac:dyDescent="0.3">
      <c r="A76" s="7">
        <v>45483</v>
      </c>
      <c r="B76">
        <v>2.81</v>
      </c>
      <c r="C76">
        <v>2.84</v>
      </c>
      <c r="D76">
        <v>2.86</v>
      </c>
      <c r="E76">
        <v>2.79</v>
      </c>
      <c r="F76" t="s">
        <v>402</v>
      </c>
      <c r="G76" s="8">
        <v>-2.0899999999999998E-2</v>
      </c>
      <c r="H76" s="3">
        <f t="shared" si="1"/>
        <v>-2.0905923344947785E-2</v>
      </c>
    </row>
    <row r="77" spans="1:8" x14ac:dyDescent="0.3">
      <c r="A77" s="7">
        <v>45484</v>
      </c>
      <c r="B77">
        <v>2.97</v>
      </c>
      <c r="C77">
        <v>2.85</v>
      </c>
      <c r="D77">
        <v>2.98</v>
      </c>
      <c r="E77">
        <v>2.85</v>
      </c>
      <c r="F77" t="s">
        <v>1664</v>
      </c>
      <c r="G77" s="8">
        <v>5.6899999999999999E-2</v>
      </c>
      <c r="H77" s="3">
        <f t="shared" si="1"/>
        <v>5.6939501779359469E-2</v>
      </c>
    </row>
    <row r="78" spans="1:8" x14ac:dyDescent="0.3">
      <c r="A78" s="7">
        <v>45485</v>
      </c>
      <c r="B78">
        <v>3.08</v>
      </c>
      <c r="C78">
        <v>2.95</v>
      </c>
      <c r="D78">
        <v>3.08</v>
      </c>
      <c r="E78">
        <v>2.93</v>
      </c>
      <c r="F78" t="s">
        <v>1663</v>
      </c>
      <c r="G78" s="8">
        <v>3.6999999999999998E-2</v>
      </c>
      <c r="H78" s="3">
        <f t="shared" si="1"/>
        <v>3.7037037037036979E-2</v>
      </c>
    </row>
    <row r="79" spans="1:8" x14ac:dyDescent="0.3">
      <c r="A79" s="7">
        <v>45488</v>
      </c>
      <c r="B79">
        <v>2.92</v>
      </c>
      <c r="C79">
        <v>3.04</v>
      </c>
      <c r="D79">
        <v>3.04</v>
      </c>
      <c r="E79">
        <v>2.89</v>
      </c>
      <c r="F79" t="s">
        <v>1662</v>
      </c>
      <c r="G79" s="8">
        <v>-5.1900000000000002E-2</v>
      </c>
      <c r="H79" s="3">
        <f t="shared" si="1"/>
        <v>-5.1948051948051965E-2</v>
      </c>
    </row>
    <row r="80" spans="1:8" x14ac:dyDescent="0.3">
      <c r="A80" s="7">
        <v>45489</v>
      </c>
      <c r="B80">
        <v>3.21</v>
      </c>
      <c r="C80">
        <v>2.91</v>
      </c>
      <c r="D80">
        <v>3.21</v>
      </c>
      <c r="E80">
        <v>2.88</v>
      </c>
      <c r="F80" t="s">
        <v>1661</v>
      </c>
      <c r="G80" s="8">
        <v>9.9299999999999999E-2</v>
      </c>
      <c r="H80" s="3">
        <f t="shared" si="1"/>
        <v>9.9315068493150749E-2</v>
      </c>
    </row>
    <row r="81" spans="1:8" x14ac:dyDescent="0.3">
      <c r="A81" s="7">
        <v>45490</v>
      </c>
      <c r="B81">
        <v>3.53</v>
      </c>
      <c r="C81">
        <v>3.31</v>
      </c>
      <c r="D81">
        <v>3.53</v>
      </c>
      <c r="E81">
        <v>3.3</v>
      </c>
      <c r="F81" t="s">
        <v>1660</v>
      </c>
      <c r="G81" s="8">
        <v>9.9699999999999997E-2</v>
      </c>
      <c r="H81" s="3">
        <f t="shared" si="1"/>
        <v>9.9688473520249232E-2</v>
      </c>
    </row>
    <row r="82" spans="1:8" x14ac:dyDescent="0.3">
      <c r="A82" s="7">
        <v>45491</v>
      </c>
      <c r="B82">
        <v>3.88</v>
      </c>
      <c r="C82">
        <v>3.88</v>
      </c>
      <c r="D82">
        <v>3.88</v>
      </c>
      <c r="E82">
        <v>3.88</v>
      </c>
      <c r="F82" t="s">
        <v>1659</v>
      </c>
      <c r="G82" s="8">
        <v>9.9199999999999997E-2</v>
      </c>
      <c r="H82" s="3">
        <f t="shared" si="1"/>
        <v>9.9150141643059575E-2</v>
      </c>
    </row>
    <row r="83" spans="1:8" x14ac:dyDescent="0.3">
      <c r="A83" s="7">
        <v>45492</v>
      </c>
      <c r="B83">
        <v>3.64</v>
      </c>
      <c r="C83">
        <v>3.8</v>
      </c>
      <c r="D83">
        <v>3.92</v>
      </c>
      <c r="E83">
        <v>3.55</v>
      </c>
      <c r="F83" t="s">
        <v>1658</v>
      </c>
      <c r="G83" s="8">
        <v>-6.1899999999999997E-2</v>
      </c>
      <c r="H83" s="3">
        <f t="shared" si="1"/>
        <v>-6.1855670103092675E-2</v>
      </c>
    </row>
    <row r="84" spans="1:8" x14ac:dyDescent="0.3">
      <c r="A84" s="7">
        <v>45495</v>
      </c>
      <c r="B84">
        <v>3.28</v>
      </c>
      <c r="C84">
        <v>3.56</v>
      </c>
      <c r="D84">
        <v>3.63</v>
      </c>
      <c r="E84">
        <v>3.28</v>
      </c>
      <c r="F84" t="s">
        <v>1657</v>
      </c>
      <c r="G84" s="8">
        <v>-9.8900000000000002E-2</v>
      </c>
      <c r="H84" s="3">
        <f t="shared" si="1"/>
        <v>-9.8901098901098994E-2</v>
      </c>
    </row>
    <row r="85" spans="1:8" x14ac:dyDescent="0.3">
      <c r="A85" s="7">
        <v>45496</v>
      </c>
      <c r="B85">
        <v>3.17</v>
      </c>
      <c r="C85">
        <v>3.15</v>
      </c>
      <c r="D85">
        <v>3.24</v>
      </c>
      <c r="E85">
        <v>3.12</v>
      </c>
      <c r="F85" t="s">
        <v>1656</v>
      </c>
      <c r="G85" s="8">
        <v>-3.3500000000000002E-2</v>
      </c>
      <c r="H85" s="3">
        <f t="shared" si="1"/>
        <v>-3.3536585365853577E-2</v>
      </c>
    </row>
    <row r="86" spans="1:8" x14ac:dyDescent="0.3">
      <c r="A86" s="7">
        <v>45497</v>
      </c>
      <c r="B86">
        <v>3.08</v>
      </c>
      <c r="C86">
        <v>3.11</v>
      </c>
      <c r="D86">
        <v>3.17</v>
      </c>
      <c r="E86">
        <v>3</v>
      </c>
      <c r="F86" t="s">
        <v>1655</v>
      </c>
      <c r="G86" s="8">
        <v>-2.8400000000000002E-2</v>
      </c>
      <c r="H86" s="3">
        <f t="shared" si="1"/>
        <v>-2.8391167192428957E-2</v>
      </c>
    </row>
    <row r="87" spans="1:8" x14ac:dyDescent="0.3">
      <c r="A87" s="7">
        <v>45498</v>
      </c>
      <c r="B87">
        <v>3.02</v>
      </c>
      <c r="C87">
        <v>3.03</v>
      </c>
      <c r="D87">
        <v>3.07</v>
      </c>
      <c r="E87">
        <v>2.97</v>
      </c>
      <c r="F87" t="s">
        <v>488</v>
      </c>
      <c r="G87" s="8">
        <v>-1.95E-2</v>
      </c>
      <c r="H87" s="3">
        <f t="shared" si="1"/>
        <v>-1.9480519480519543E-2</v>
      </c>
    </row>
    <row r="88" spans="1:8" x14ac:dyDescent="0.3">
      <c r="A88" s="7">
        <v>45499</v>
      </c>
      <c r="B88">
        <v>3.04</v>
      </c>
      <c r="C88">
        <v>3.02</v>
      </c>
      <c r="D88">
        <v>3.05</v>
      </c>
      <c r="E88">
        <v>3.01</v>
      </c>
      <c r="F88" t="s">
        <v>1654</v>
      </c>
      <c r="G88" s="8">
        <v>6.6E-3</v>
      </c>
      <c r="H88" s="3">
        <f t="shared" si="1"/>
        <v>6.6225165562914245E-3</v>
      </c>
    </row>
    <row r="89" spans="1:8" x14ac:dyDescent="0.3">
      <c r="A89" s="7">
        <v>45502</v>
      </c>
      <c r="B89">
        <v>3.04</v>
      </c>
      <c r="C89">
        <v>3.02</v>
      </c>
      <c r="D89">
        <v>3.08</v>
      </c>
      <c r="E89">
        <v>2.98</v>
      </c>
      <c r="F89" t="s">
        <v>1608</v>
      </c>
      <c r="G89" s="8">
        <v>0</v>
      </c>
      <c r="H89" s="3">
        <f t="shared" si="1"/>
        <v>0</v>
      </c>
    </row>
    <row r="90" spans="1:8" x14ac:dyDescent="0.3">
      <c r="A90" s="7">
        <v>45503</v>
      </c>
      <c r="B90">
        <v>3.07</v>
      </c>
      <c r="C90">
        <v>3.03</v>
      </c>
      <c r="D90">
        <v>3.1</v>
      </c>
      <c r="E90">
        <v>3.01</v>
      </c>
      <c r="F90" t="s">
        <v>497</v>
      </c>
      <c r="G90" s="8">
        <v>9.9000000000000008E-3</v>
      </c>
      <c r="H90" s="3">
        <f t="shared" si="1"/>
        <v>9.8684210526314153E-3</v>
      </c>
    </row>
    <row r="91" spans="1:8" x14ac:dyDescent="0.3">
      <c r="A91" s="7">
        <v>45504</v>
      </c>
      <c r="B91">
        <v>3.18</v>
      </c>
      <c r="C91">
        <v>3.08</v>
      </c>
      <c r="D91">
        <v>3.18</v>
      </c>
      <c r="E91">
        <v>3.05</v>
      </c>
      <c r="F91" t="s">
        <v>1653</v>
      </c>
      <c r="G91" s="8">
        <v>3.5799999999999998E-2</v>
      </c>
      <c r="H91" s="3">
        <f t="shared" si="1"/>
        <v>3.5830618892508159E-2</v>
      </c>
    </row>
    <row r="92" spans="1:8" x14ac:dyDescent="0.3">
      <c r="A92" s="7">
        <v>45505</v>
      </c>
      <c r="B92">
        <v>3.13</v>
      </c>
      <c r="C92">
        <v>3.18</v>
      </c>
      <c r="D92">
        <v>3.19</v>
      </c>
      <c r="E92">
        <v>3.12</v>
      </c>
      <c r="F92" t="s">
        <v>1652</v>
      </c>
      <c r="G92" s="8">
        <v>-1.5699999999999999E-2</v>
      </c>
      <c r="H92" s="3">
        <f t="shared" si="1"/>
        <v>-1.572327044025168E-2</v>
      </c>
    </row>
    <row r="93" spans="1:8" x14ac:dyDescent="0.3">
      <c r="A93" s="7">
        <v>45506</v>
      </c>
      <c r="B93">
        <v>3.17</v>
      </c>
      <c r="C93">
        <v>3.12</v>
      </c>
      <c r="D93">
        <v>3.22</v>
      </c>
      <c r="E93">
        <v>3.09</v>
      </c>
      <c r="F93" t="s">
        <v>1625</v>
      </c>
      <c r="G93" s="8">
        <v>1.2800000000000001E-2</v>
      </c>
      <c r="H93" s="3">
        <f t="shared" si="1"/>
        <v>1.2779552715654896E-2</v>
      </c>
    </row>
    <row r="94" spans="1:8" x14ac:dyDescent="0.3">
      <c r="A94" s="7">
        <v>45509</v>
      </c>
      <c r="B94">
        <v>3.08</v>
      </c>
      <c r="C94">
        <v>3.18</v>
      </c>
      <c r="D94">
        <v>3.23</v>
      </c>
      <c r="E94">
        <v>3.08</v>
      </c>
      <c r="F94" t="s">
        <v>1651</v>
      </c>
      <c r="G94" s="8">
        <v>-2.8400000000000002E-2</v>
      </c>
      <c r="H94" s="3">
        <f t="shared" si="1"/>
        <v>-2.8391167192428957E-2</v>
      </c>
    </row>
    <row r="95" spans="1:8" x14ac:dyDescent="0.3">
      <c r="A95" s="7">
        <v>45510</v>
      </c>
      <c r="B95">
        <v>3.18</v>
      </c>
      <c r="C95">
        <v>3.11</v>
      </c>
      <c r="D95">
        <v>3.19</v>
      </c>
      <c r="E95">
        <v>3.1</v>
      </c>
      <c r="F95" t="s">
        <v>1650</v>
      </c>
      <c r="G95" s="8">
        <v>3.2500000000000001E-2</v>
      </c>
      <c r="H95" s="3">
        <f t="shared" si="1"/>
        <v>3.2467532467532534E-2</v>
      </c>
    </row>
    <row r="96" spans="1:8" x14ac:dyDescent="0.3">
      <c r="A96" s="7">
        <v>45511</v>
      </c>
      <c r="B96">
        <v>3.18</v>
      </c>
      <c r="C96">
        <v>3.19</v>
      </c>
      <c r="D96">
        <v>3.23</v>
      </c>
      <c r="E96">
        <v>3.14</v>
      </c>
      <c r="F96" t="s">
        <v>1649</v>
      </c>
      <c r="G96" s="8">
        <v>0</v>
      </c>
      <c r="H96" s="3">
        <f t="shared" si="1"/>
        <v>0</v>
      </c>
    </row>
    <row r="97" spans="1:8" x14ac:dyDescent="0.3">
      <c r="A97" s="7">
        <v>45512</v>
      </c>
      <c r="B97">
        <v>3.37</v>
      </c>
      <c r="C97">
        <v>3.16</v>
      </c>
      <c r="D97">
        <v>3.5</v>
      </c>
      <c r="E97">
        <v>3.15</v>
      </c>
      <c r="F97" t="s">
        <v>1648</v>
      </c>
      <c r="G97" s="8">
        <v>5.9700000000000003E-2</v>
      </c>
      <c r="H97" s="3">
        <f t="shared" si="1"/>
        <v>5.9748427672955851E-2</v>
      </c>
    </row>
    <row r="98" spans="1:8" x14ac:dyDescent="0.3">
      <c r="A98" s="7">
        <v>45513</v>
      </c>
      <c r="B98">
        <v>3.24</v>
      </c>
      <c r="C98">
        <v>3.3</v>
      </c>
      <c r="D98">
        <v>3.34</v>
      </c>
      <c r="E98">
        <v>3.23</v>
      </c>
      <c r="F98" t="s">
        <v>1647</v>
      </c>
      <c r="G98" s="8">
        <v>-3.8600000000000002E-2</v>
      </c>
      <c r="H98" s="3">
        <f t="shared" si="1"/>
        <v>-3.857566765578635E-2</v>
      </c>
    </row>
    <row r="99" spans="1:8" x14ac:dyDescent="0.3">
      <c r="A99" s="7">
        <v>45516</v>
      </c>
      <c r="B99">
        <v>3.28</v>
      </c>
      <c r="C99">
        <v>3.27</v>
      </c>
      <c r="D99">
        <v>3.35</v>
      </c>
      <c r="E99">
        <v>3.25</v>
      </c>
      <c r="F99" t="s">
        <v>1646</v>
      </c>
      <c r="G99" s="8">
        <v>1.23E-2</v>
      </c>
      <c r="H99" s="3">
        <f t="shared" si="1"/>
        <v>1.2345679012345512E-2</v>
      </c>
    </row>
    <row r="100" spans="1:8" x14ac:dyDescent="0.3">
      <c r="A100" s="7">
        <v>45517</v>
      </c>
      <c r="B100">
        <v>3.36</v>
      </c>
      <c r="C100">
        <v>3.24</v>
      </c>
      <c r="D100">
        <v>3.59</v>
      </c>
      <c r="E100">
        <v>3.24</v>
      </c>
      <c r="F100" t="s">
        <v>1645</v>
      </c>
      <c r="G100" s="8">
        <v>2.4400000000000002E-2</v>
      </c>
      <c r="H100" s="3">
        <f t="shared" si="1"/>
        <v>2.4390243902439046E-2</v>
      </c>
    </row>
    <row r="101" spans="1:8" x14ac:dyDescent="0.3">
      <c r="A101" s="7">
        <v>45518</v>
      </c>
      <c r="B101">
        <v>3.36</v>
      </c>
      <c r="C101">
        <v>3.47</v>
      </c>
      <c r="D101">
        <v>3.52</v>
      </c>
      <c r="E101">
        <v>3.31</v>
      </c>
      <c r="F101" t="s">
        <v>1644</v>
      </c>
      <c r="G101" s="8">
        <v>0</v>
      </c>
      <c r="H101" s="3">
        <f t="shared" si="1"/>
        <v>0</v>
      </c>
    </row>
    <row r="102" spans="1:8" x14ac:dyDescent="0.3">
      <c r="A102" s="7">
        <v>45519</v>
      </c>
      <c r="B102">
        <v>3.37</v>
      </c>
      <c r="C102">
        <v>3.33</v>
      </c>
      <c r="D102">
        <v>3.42</v>
      </c>
      <c r="E102">
        <v>3.3</v>
      </c>
      <c r="F102" t="s">
        <v>1643</v>
      </c>
      <c r="G102" s="8">
        <v>3.0000000000000001E-3</v>
      </c>
      <c r="H102" s="3">
        <f t="shared" si="1"/>
        <v>2.9761904761904656E-3</v>
      </c>
    </row>
    <row r="103" spans="1:8" x14ac:dyDescent="0.3">
      <c r="A103" s="7">
        <v>45520</v>
      </c>
      <c r="B103">
        <v>3.43</v>
      </c>
      <c r="C103">
        <v>3.5</v>
      </c>
      <c r="D103">
        <v>3.67</v>
      </c>
      <c r="E103">
        <v>3.38</v>
      </c>
      <c r="F103" t="s">
        <v>1642</v>
      </c>
      <c r="G103" s="8">
        <v>1.78E-2</v>
      </c>
      <c r="H103" s="3">
        <f t="shared" si="1"/>
        <v>1.7804154302670572E-2</v>
      </c>
    </row>
    <row r="104" spans="1:8" x14ac:dyDescent="0.3">
      <c r="A104" s="7">
        <v>45523</v>
      </c>
      <c r="B104">
        <v>3.77</v>
      </c>
      <c r="C104">
        <v>3.64</v>
      </c>
      <c r="D104">
        <v>3.77</v>
      </c>
      <c r="E104">
        <v>3.48</v>
      </c>
      <c r="F104" t="s">
        <v>1641</v>
      </c>
      <c r="G104" s="8">
        <v>9.9099999999999994E-2</v>
      </c>
      <c r="H104" s="3">
        <f t="shared" si="1"/>
        <v>9.9125364431486895E-2</v>
      </c>
    </row>
    <row r="105" spans="1:8" x14ac:dyDescent="0.3">
      <c r="A105" s="7">
        <v>45524</v>
      </c>
      <c r="B105">
        <v>3.54</v>
      </c>
      <c r="C105">
        <v>3.68</v>
      </c>
      <c r="D105">
        <v>3.74</v>
      </c>
      <c r="E105">
        <v>3.54</v>
      </c>
      <c r="F105" t="s">
        <v>1640</v>
      </c>
      <c r="G105" s="8">
        <v>-6.0999999999999999E-2</v>
      </c>
      <c r="H105" s="3">
        <f t="shared" si="1"/>
        <v>-6.1007957559681691E-2</v>
      </c>
    </row>
    <row r="106" spans="1:8" x14ac:dyDescent="0.3">
      <c r="A106" s="7">
        <v>45525</v>
      </c>
      <c r="B106">
        <v>3.36</v>
      </c>
      <c r="C106">
        <v>3.47</v>
      </c>
      <c r="D106">
        <v>3.53</v>
      </c>
      <c r="E106">
        <v>3.33</v>
      </c>
      <c r="F106" t="s">
        <v>1639</v>
      </c>
      <c r="G106" s="8">
        <v>-5.0799999999999998E-2</v>
      </c>
      <c r="H106" s="3">
        <f t="shared" si="1"/>
        <v>-5.0847457627118731E-2</v>
      </c>
    </row>
    <row r="107" spans="1:8" x14ac:dyDescent="0.3">
      <c r="A107" s="7">
        <v>45526</v>
      </c>
      <c r="B107">
        <v>3.18</v>
      </c>
      <c r="C107">
        <v>3.35</v>
      </c>
      <c r="D107">
        <v>3.35</v>
      </c>
      <c r="E107">
        <v>3.18</v>
      </c>
      <c r="F107" t="s">
        <v>1638</v>
      </c>
      <c r="G107" s="8">
        <v>-5.3600000000000002E-2</v>
      </c>
      <c r="H107" s="3">
        <f t="shared" si="1"/>
        <v>-5.3571428571428492E-2</v>
      </c>
    </row>
    <row r="108" spans="1:8" x14ac:dyDescent="0.3">
      <c r="A108" s="7">
        <v>45527</v>
      </c>
      <c r="B108">
        <v>3.12</v>
      </c>
      <c r="C108">
        <v>3.2</v>
      </c>
      <c r="D108">
        <v>3.21</v>
      </c>
      <c r="E108">
        <v>3.09</v>
      </c>
      <c r="F108" t="s">
        <v>1549</v>
      </c>
      <c r="G108" s="8">
        <v>-1.89E-2</v>
      </c>
      <c r="H108" s="3">
        <f t="shared" si="1"/>
        <v>-1.8867924528301883E-2</v>
      </c>
    </row>
    <row r="109" spans="1:8" x14ac:dyDescent="0.3">
      <c r="A109" s="7">
        <v>45530</v>
      </c>
      <c r="B109">
        <v>3.24</v>
      </c>
      <c r="C109">
        <v>3.13</v>
      </c>
      <c r="D109">
        <v>3.32</v>
      </c>
      <c r="E109">
        <v>3.11</v>
      </c>
      <c r="F109" t="s">
        <v>1637</v>
      </c>
      <c r="G109" s="8">
        <v>3.85E-2</v>
      </c>
      <c r="H109" s="3">
        <f t="shared" si="1"/>
        <v>3.8461538461538547E-2</v>
      </c>
    </row>
    <row r="110" spans="1:8" x14ac:dyDescent="0.3">
      <c r="A110" s="7">
        <v>45531</v>
      </c>
      <c r="B110">
        <v>3.28</v>
      </c>
      <c r="C110">
        <v>3.26</v>
      </c>
      <c r="D110">
        <v>3.45</v>
      </c>
      <c r="E110">
        <v>3.22</v>
      </c>
      <c r="F110" t="s">
        <v>1636</v>
      </c>
      <c r="G110" s="8">
        <v>1.23E-2</v>
      </c>
      <c r="H110" s="3">
        <f t="shared" si="1"/>
        <v>1.2345679012345512E-2</v>
      </c>
    </row>
    <row r="111" spans="1:8" x14ac:dyDescent="0.3">
      <c r="A111" s="7">
        <v>45532</v>
      </c>
      <c r="B111">
        <v>3.23</v>
      </c>
      <c r="C111">
        <v>3.25</v>
      </c>
      <c r="D111">
        <v>3.32</v>
      </c>
      <c r="E111">
        <v>3.13</v>
      </c>
      <c r="F111" t="s">
        <v>1635</v>
      </c>
      <c r="G111" s="8">
        <v>-1.52E-2</v>
      </c>
      <c r="H111" s="3">
        <f t="shared" si="1"/>
        <v>-1.5243902439024293E-2</v>
      </c>
    </row>
    <row r="112" spans="1:8" x14ac:dyDescent="0.3">
      <c r="A112" s="7">
        <v>45533</v>
      </c>
      <c r="B112">
        <v>3.19</v>
      </c>
      <c r="C112">
        <v>3.2</v>
      </c>
      <c r="D112">
        <v>3.21</v>
      </c>
      <c r="E112">
        <v>3.14</v>
      </c>
      <c r="F112" t="s">
        <v>1592</v>
      </c>
      <c r="G112" s="8">
        <v>-1.24E-2</v>
      </c>
      <c r="H112" s="3">
        <f t="shared" si="1"/>
        <v>-1.2383900928792602E-2</v>
      </c>
    </row>
    <row r="113" spans="1:8" x14ac:dyDescent="0.3">
      <c r="A113" s="7">
        <v>45534</v>
      </c>
      <c r="B113">
        <v>3.27</v>
      </c>
      <c r="C113">
        <v>3.18</v>
      </c>
      <c r="D113">
        <v>3.33</v>
      </c>
      <c r="E113">
        <v>3.14</v>
      </c>
      <c r="F113" t="s">
        <v>1634</v>
      </c>
      <c r="G113" s="8">
        <v>2.5100000000000001E-2</v>
      </c>
      <c r="H113" s="3">
        <f t="shared" si="1"/>
        <v>2.5078369905956244E-2</v>
      </c>
    </row>
    <row r="114" spans="1:8" x14ac:dyDescent="0.3">
      <c r="A114" s="7">
        <v>45537</v>
      </c>
      <c r="B114">
        <v>3.24</v>
      </c>
      <c r="C114">
        <v>3.27</v>
      </c>
      <c r="D114">
        <v>3.4</v>
      </c>
      <c r="E114">
        <v>3.22</v>
      </c>
      <c r="F114" t="s">
        <v>1633</v>
      </c>
      <c r="G114" s="8">
        <v>-9.1999999999999998E-3</v>
      </c>
      <c r="H114" s="3">
        <f t="shared" si="1"/>
        <v>-9.1743119266054496E-3</v>
      </c>
    </row>
    <row r="115" spans="1:8" x14ac:dyDescent="0.3">
      <c r="A115" s="7">
        <v>45538</v>
      </c>
      <c r="B115">
        <v>3.36</v>
      </c>
      <c r="C115">
        <v>3.22</v>
      </c>
      <c r="D115">
        <v>3.4</v>
      </c>
      <c r="E115">
        <v>3.19</v>
      </c>
      <c r="F115" t="s">
        <v>490</v>
      </c>
      <c r="G115" s="8">
        <v>3.6999999999999998E-2</v>
      </c>
      <c r="H115" s="3">
        <f t="shared" si="1"/>
        <v>3.7037037037036979E-2</v>
      </c>
    </row>
    <row r="116" spans="1:8" x14ac:dyDescent="0.3">
      <c r="A116" s="7">
        <v>45539</v>
      </c>
      <c r="B116">
        <v>3.29</v>
      </c>
      <c r="C116">
        <v>3.34</v>
      </c>
      <c r="D116">
        <v>3.45</v>
      </c>
      <c r="E116">
        <v>3.27</v>
      </c>
      <c r="F116" t="s">
        <v>1632</v>
      </c>
      <c r="G116" s="8">
        <v>-2.0799999999999999E-2</v>
      </c>
      <c r="H116" s="3">
        <f t="shared" si="1"/>
        <v>-2.0833333333333259E-2</v>
      </c>
    </row>
    <row r="117" spans="1:8" x14ac:dyDescent="0.3">
      <c r="A117" s="7">
        <v>45540</v>
      </c>
      <c r="B117">
        <v>3.28</v>
      </c>
      <c r="C117">
        <v>3.27</v>
      </c>
      <c r="D117">
        <v>3.31</v>
      </c>
      <c r="E117">
        <v>3.25</v>
      </c>
      <c r="F117" t="s">
        <v>1631</v>
      </c>
      <c r="G117" s="8">
        <v>-3.0000000000000001E-3</v>
      </c>
      <c r="H117" s="3">
        <f t="shared" si="1"/>
        <v>-3.0395136778116338E-3</v>
      </c>
    </row>
    <row r="118" spans="1:8" x14ac:dyDescent="0.3">
      <c r="A118" s="7">
        <v>45541</v>
      </c>
      <c r="B118">
        <v>3.23</v>
      </c>
      <c r="C118">
        <v>3.26</v>
      </c>
      <c r="D118">
        <v>3.28</v>
      </c>
      <c r="E118">
        <v>3.19</v>
      </c>
      <c r="F118" t="s">
        <v>1630</v>
      </c>
      <c r="G118" s="8">
        <v>-1.52E-2</v>
      </c>
      <c r="H118" s="3">
        <f t="shared" si="1"/>
        <v>-1.5243902439024293E-2</v>
      </c>
    </row>
    <row r="119" spans="1:8" x14ac:dyDescent="0.3">
      <c r="A119" s="7">
        <v>45544</v>
      </c>
      <c r="B119">
        <v>3.25</v>
      </c>
      <c r="C119">
        <v>3.2</v>
      </c>
      <c r="D119">
        <v>3.28</v>
      </c>
      <c r="E119">
        <v>3.17</v>
      </c>
      <c r="F119" t="s">
        <v>1629</v>
      </c>
      <c r="G119" s="8">
        <v>6.1999999999999998E-3</v>
      </c>
      <c r="H119" s="3">
        <f t="shared" si="1"/>
        <v>6.1919504643963563E-3</v>
      </c>
    </row>
    <row r="120" spans="1:8" x14ac:dyDescent="0.3">
      <c r="A120" s="7">
        <v>45545</v>
      </c>
      <c r="B120">
        <v>3.23</v>
      </c>
      <c r="C120">
        <v>3.26</v>
      </c>
      <c r="D120">
        <v>3.28</v>
      </c>
      <c r="E120">
        <v>3.17</v>
      </c>
      <c r="F120" t="s">
        <v>1628</v>
      </c>
      <c r="G120" s="8">
        <v>-6.1999999999999998E-3</v>
      </c>
      <c r="H120" s="3">
        <f t="shared" si="1"/>
        <v>-6.1538461538461764E-3</v>
      </c>
    </row>
    <row r="121" spans="1:8" x14ac:dyDescent="0.3">
      <c r="A121" s="7">
        <v>45546</v>
      </c>
      <c r="B121">
        <v>3.16</v>
      </c>
      <c r="C121">
        <v>3.2</v>
      </c>
      <c r="D121">
        <v>3.23</v>
      </c>
      <c r="E121">
        <v>3.13</v>
      </c>
      <c r="F121" t="s">
        <v>501</v>
      </c>
      <c r="G121" s="8">
        <v>-2.1700000000000001E-2</v>
      </c>
      <c r="H121" s="3">
        <f t="shared" si="1"/>
        <v>-2.1671826625386914E-2</v>
      </c>
    </row>
    <row r="122" spans="1:8" x14ac:dyDescent="0.3">
      <c r="A122" s="7">
        <v>45547</v>
      </c>
      <c r="B122">
        <v>3.13</v>
      </c>
      <c r="C122">
        <v>3.16</v>
      </c>
      <c r="D122">
        <v>3.2</v>
      </c>
      <c r="E122">
        <v>3.13</v>
      </c>
      <c r="F122" t="s">
        <v>110</v>
      </c>
      <c r="G122" s="8">
        <v>-9.4999999999999998E-3</v>
      </c>
      <c r="H122" s="3">
        <f t="shared" si="1"/>
        <v>-9.493670886076E-3</v>
      </c>
    </row>
    <row r="123" spans="1:8" x14ac:dyDescent="0.3">
      <c r="A123" s="7">
        <v>45548</v>
      </c>
      <c r="B123">
        <v>3.11</v>
      </c>
      <c r="C123">
        <v>3.13</v>
      </c>
      <c r="D123">
        <v>3.16</v>
      </c>
      <c r="E123">
        <v>3.1</v>
      </c>
      <c r="F123" t="s">
        <v>514</v>
      </c>
      <c r="G123" s="8">
        <v>-6.4000000000000003E-3</v>
      </c>
      <c r="H123" s="3">
        <f t="shared" si="1"/>
        <v>-6.389776357827448E-3</v>
      </c>
    </row>
    <row r="124" spans="1:8" x14ac:dyDescent="0.3">
      <c r="A124" s="7">
        <v>45553</v>
      </c>
      <c r="B124">
        <v>3.06</v>
      </c>
      <c r="C124">
        <v>3.11</v>
      </c>
      <c r="D124">
        <v>3.12</v>
      </c>
      <c r="E124">
        <v>3</v>
      </c>
      <c r="F124" t="s">
        <v>493</v>
      </c>
      <c r="G124" s="8">
        <v>-1.61E-2</v>
      </c>
      <c r="H124" s="3">
        <f t="shared" si="1"/>
        <v>-1.6077170418006381E-2</v>
      </c>
    </row>
    <row r="125" spans="1:8" x14ac:dyDescent="0.3">
      <c r="A125" s="7">
        <v>45554</v>
      </c>
      <c r="B125">
        <v>3.37</v>
      </c>
      <c r="C125">
        <v>3.12</v>
      </c>
      <c r="D125">
        <v>3.37</v>
      </c>
      <c r="E125">
        <v>3.12</v>
      </c>
      <c r="F125" t="s">
        <v>1627</v>
      </c>
      <c r="G125" s="8">
        <v>0.1013</v>
      </c>
      <c r="H125" s="3">
        <f t="shared" si="1"/>
        <v>0.10130718954248374</v>
      </c>
    </row>
    <row r="126" spans="1:8" x14ac:dyDescent="0.3">
      <c r="A126" s="7">
        <v>45555</v>
      </c>
      <c r="B126">
        <v>3.4</v>
      </c>
      <c r="C126">
        <v>3.38</v>
      </c>
      <c r="D126">
        <v>3.46</v>
      </c>
      <c r="E126">
        <v>3.28</v>
      </c>
      <c r="F126" t="s">
        <v>1626</v>
      </c>
      <c r="G126" s="8">
        <v>8.8999999999999999E-3</v>
      </c>
      <c r="H126" s="3">
        <f t="shared" si="1"/>
        <v>8.9020771513352859E-3</v>
      </c>
    </row>
    <row r="127" spans="1:8" x14ac:dyDescent="0.3">
      <c r="A127" s="7">
        <v>45558</v>
      </c>
      <c r="B127">
        <v>3.39</v>
      </c>
      <c r="C127">
        <v>3.42</v>
      </c>
      <c r="D127">
        <v>3.45</v>
      </c>
      <c r="E127">
        <v>3.33</v>
      </c>
      <c r="F127" t="s">
        <v>1625</v>
      </c>
      <c r="G127" s="8">
        <v>-2.8999999999999998E-3</v>
      </c>
      <c r="H127" s="3">
        <f t="shared" si="1"/>
        <v>-2.9411764705882248E-3</v>
      </c>
    </row>
    <row r="128" spans="1:8" x14ac:dyDescent="0.3">
      <c r="A128" s="7">
        <v>45559</v>
      </c>
      <c r="B128">
        <v>3.45</v>
      </c>
      <c r="C128">
        <v>3.38</v>
      </c>
      <c r="D128">
        <v>3.48</v>
      </c>
      <c r="E128">
        <v>3.36</v>
      </c>
      <c r="F128" t="s">
        <v>1624</v>
      </c>
      <c r="G128" s="8">
        <v>1.77E-2</v>
      </c>
      <c r="H128" s="3">
        <f t="shared" si="1"/>
        <v>1.7699115044247815E-2</v>
      </c>
    </row>
    <row r="129" spans="1:8" x14ac:dyDescent="0.3">
      <c r="A129" s="7">
        <v>45560</v>
      </c>
      <c r="B129">
        <v>3.44</v>
      </c>
      <c r="C129">
        <v>3.46</v>
      </c>
      <c r="D129">
        <v>3.51</v>
      </c>
      <c r="E129">
        <v>3.43</v>
      </c>
      <c r="F129" t="s">
        <v>1623</v>
      </c>
      <c r="G129" s="8">
        <v>-2.8999999999999998E-3</v>
      </c>
      <c r="H129" s="3">
        <f t="shared" si="1"/>
        <v>-2.8985507246377384E-3</v>
      </c>
    </row>
    <row r="130" spans="1:8" x14ac:dyDescent="0.3">
      <c r="A130" s="7">
        <v>45561</v>
      </c>
      <c r="B130">
        <v>3.54</v>
      </c>
      <c r="C130">
        <v>3.43</v>
      </c>
      <c r="D130">
        <v>3.56</v>
      </c>
      <c r="E130">
        <v>3.41</v>
      </c>
      <c r="F130" t="s">
        <v>1622</v>
      </c>
      <c r="G130" s="8">
        <v>2.9100000000000001E-2</v>
      </c>
      <c r="H130" s="3">
        <f t="shared" si="1"/>
        <v>2.9069767441860517E-2</v>
      </c>
    </row>
    <row r="131" spans="1:8" x14ac:dyDescent="0.3">
      <c r="A131" s="7">
        <v>45562</v>
      </c>
      <c r="B131">
        <v>3.67</v>
      </c>
      <c r="C131">
        <v>3.58</v>
      </c>
      <c r="D131">
        <v>3.69</v>
      </c>
      <c r="E131">
        <v>3.51</v>
      </c>
      <c r="F131" t="s">
        <v>1579</v>
      </c>
      <c r="G131" s="8">
        <v>3.6700000000000003E-2</v>
      </c>
      <c r="H131" s="3">
        <f t="shared" si="1"/>
        <v>3.672316384180796E-2</v>
      </c>
    </row>
    <row r="132" spans="1:8" x14ac:dyDescent="0.3">
      <c r="A132" s="7">
        <v>45565</v>
      </c>
      <c r="B132">
        <v>3.99</v>
      </c>
      <c r="C132">
        <v>3.82</v>
      </c>
      <c r="D132">
        <v>4</v>
      </c>
      <c r="E132">
        <v>3.69</v>
      </c>
      <c r="F132" t="s">
        <v>1621</v>
      </c>
      <c r="G132" s="8">
        <v>8.72E-2</v>
      </c>
      <c r="H132" s="3">
        <f t="shared" ref="H132:H195" si="2">(B132/B131)-1</f>
        <v>8.7193460490463393E-2</v>
      </c>
    </row>
    <row r="133" spans="1:8" x14ac:dyDescent="0.3">
      <c r="A133" s="7">
        <v>45573</v>
      </c>
      <c r="B133">
        <v>4.12</v>
      </c>
      <c r="C133">
        <v>4.3899999999999997</v>
      </c>
      <c r="D133">
        <v>4.3899999999999997</v>
      </c>
      <c r="E133">
        <v>3.89</v>
      </c>
      <c r="F133" t="s">
        <v>1171</v>
      </c>
      <c r="G133" s="8">
        <v>3.2599999999999997E-2</v>
      </c>
      <c r="H133" s="3">
        <f t="shared" si="2"/>
        <v>3.2581453634085156E-2</v>
      </c>
    </row>
    <row r="134" spans="1:8" x14ac:dyDescent="0.3">
      <c r="A134" s="7">
        <v>45574</v>
      </c>
      <c r="B134">
        <v>3.73</v>
      </c>
      <c r="C134">
        <v>4.08</v>
      </c>
      <c r="D134">
        <v>4.08</v>
      </c>
      <c r="E134">
        <v>3.73</v>
      </c>
      <c r="F134" t="s">
        <v>1620</v>
      </c>
      <c r="G134" s="8">
        <v>-9.4700000000000006E-2</v>
      </c>
      <c r="H134" s="3">
        <f t="shared" si="2"/>
        <v>-9.4660194174757351E-2</v>
      </c>
    </row>
    <row r="135" spans="1:8" x14ac:dyDescent="0.3">
      <c r="A135" s="7">
        <v>45575</v>
      </c>
      <c r="B135">
        <v>3.82</v>
      </c>
      <c r="C135">
        <v>3.77</v>
      </c>
      <c r="D135">
        <v>3.9</v>
      </c>
      <c r="E135">
        <v>3.77</v>
      </c>
      <c r="F135" t="s">
        <v>1619</v>
      </c>
      <c r="G135" s="8">
        <v>2.41E-2</v>
      </c>
      <c r="H135" s="3">
        <f t="shared" si="2"/>
        <v>2.4128686327077764E-2</v>
      </c>
    </row>
    <row r="136" spans="1:8" x14ac:dyDescent="0.3">
      <c r="A136" s="7">
        <v>45576</v>
      </c>
      <c r="B136">
        <v>3.69</v>
      </c>
      <c r="C136">
        <v>3.82</v>
      </c>
      <c r="D136">
        <v>3.85</v>
      </c>
      <c r="E136">
        <v>3.66</v>
      </c>
      <c r="F136" t="s">
        <v>1618</v>
      </c>
      <c r="G136" s="8">
        <v>-3.4000000000000002E-2</v>
      </c>
      <c r="H136" s="3">
        <f t="shared" si="2"/>
        <v>-3.4031413612565453E-2</v>
      </c>
    </row>
    <row r="137" spans="1:8" x14ac:dyDescent="0.3">
      <c r="A137" s="7">
        <v>45579</v>
      </c>
      <c r="B137">
        <v>3.84</v>
      </c>
      <c r="C137">
        <v>3.75</v>
      </c>
      <c r="D137">
        <v>3.86</v>
      </c>
      <c r="E137">
        <v>3.71</v>
      </c>
      <c r="F137" t="s">
        <v>1617</v>
      </c>
      <c r="G137" s="8">
        <v>4.07E-2</v>
      </c>
      <c r="H137" s="3">
        <f t="shared" si="2"/>
        <v>4.0650406504064929E-2</v>
      </c>
    </row>
    <row r="138" spans="1:8" x14ac:dyDescent="0.3">
      <c r="A138" s="7">
        <v>45580</v>
      </c>
      <c r="B138">
        <v>3.81</v>
      </c>
      <c r="C138">
        <v>3.8</v>
      </c>
      <c r="D138">
        <v>3.92</v>
      </c>
      <c r="E138">
        <v>3.75</v>
      </c>
      <c r="F138" t="s">
        <v>1616</v>
      </c>
      <c r="G138" s="8">
        <v>-7.7999999999999996E-3</v>
      </c>
      <c r="H138" s="3">
        <f t="shared" si="2"/>
        <v>-7.8125E-3</v>
      </c>
    </row>
    <row r="139" spans="1:8" x14ac:dyDescent="0.3">
      <c r="A139" s="7">
        <v>45581</v>
      </c>
      <c r="B139">
        <v>3.91</v>
      </c>
      <c r="C139">
        <v>3.78</v>
      </c>
      <c r="D139">
        <v>4.0599999999999996</v>
      </c>
      <c r="E139">
        <v>3.75</v>
      </c>
      <c r="F139" t="s">
        <v>1615</v>
      </c>
      <c r="G139" s="8">
        <v>2.6200000000000001E-2</v>
      </c>
      <c r="H139" s="3">
        <f t="shared" si="2"/>
        <v>2.6246719160105014E-2</v>
      </c>
    </row>
    <row r="140" spans="1:8" x14ac:dyDescent="0.3">
      <c r="A140" s="7">
        <v>45582</v>
      </c>
      <c r="B140">
        <v>3.87</v>
      </c>
      <c r="C140">
        <v>3.87</v>
      </c>
      <c r="D140">
        <v>4.04</v>
      </c>
      <c r="E140">
        <v>3.82</v>
      </c>
      <c r="F140" t="s">
        <v>1614</v>
      </c>
      <c r="G140" s="8">
        <v>-1.0200000000000001E-2</v>
      </c>
      <c r="H140" s="3">
        <f t="shared" si="2"/>
        <v>-1.0230179028132946E-2</v>
      </c>
    </row>
    <row r="141" spans="1:8" x14ac:dyDescent="0.3">
      <c r="A141" s="7">
        <v>45583</v>
      </c>
      <c r="B141">
        <v>4.03</v>
      </c>
      <c r="C141">
        <v>3.85</v>
      </c>
      <c r="D141">
        <v>4.0999999999999996</v>
      </c>
      <c r="E141">
        <v>3.78</v>
      </c>
      <c r="F141" t="s">
        <v>1613</v>
      </c>
      <c r="G141" s="8">
        <v>4.1300000000000003E-2</v>
      </c>
      <c r="H141" s="3">
        <f t="shared" si="2"/>
        <v>4.134366925064592E-2</v>
      </c>
    </row>
    <row r="142" spans="1:8" x14ac:dyDescent="0.3">
      <c r="A142" s="7">
        <v>45586</v>
      </c>
      <c r="B142">
        <v>4.16</v>
      </c>
      <c r="C142">
        <v>4.0199999999999996</v>
      </c>
      <c r="D142">
        <v>4.4000000000000004</v>
      </c>
      <c r="E142">
        <v>4.0199999999999996</v>
      </c>
      <c r="F142" t="s">
        <v>1612</v>
      </c>
      <c r="G142" s="8">
        <v>3.2300000000000002E-2</v>
      </c>
      <c r="H142" s="3">
        <f t="shared" si="2"/>
        <v>3.2258064516129004E-2</v>
      </c>
    </row>
    <row r="143" spans="1:8" x14ac:dyDescent="0.3">
      <c r="A143" s="7">
        <v>45587</v>
      </c>
      <c r="B143">
        <v>4.4000000000000004</v>
      </c>
      <c r="C143">
        <v>4.2</v>
      </c>
      <c r="D143">
        <v>4.53</v>
      </c>
      <c r="E143">
        <v>4.17</v>
      </c>
      <c r="F143" t="s">
        <v>489</v>
      </c>
      <c r="G143" s="8">
        <v>5.7700000000000001E-2</v>
      </c>
      <c r="H143" s="3">
        <f t="shared" si="2"/>
        <v>5.7692307692307709E-2</v>
      </c>
    </row>
    <row r="144" spans="1:8" x14ac:dyDescent="0.3">
      <c r="A144" s="7">
        <v>45588</v>
      </c>
      <c r="B144">
        <v>4.46</v>
      </c>
      <c r="C144">
        <v>4.3899999999999997</v>
      </c>
      <c r="D144">
        <v>4.5999999999999996</v>
      </c>
      <c r="E144">
        <v>4.28</v>
      </c>
      <c r="F144" t="s">
        <v>1611</v>
      </c>
      <c r="G144" s="8">
        <v>1.3599999999999999E-2</v>
      </c>
      <c r="H144" s="3">
        <f t="shared" si="2"/>
        <v>1.3636363636363447E-2</v>
      </c>
    </row>
    <row r="145" spans="1:8" x14ac:dyDescent="0.3">
      <c r="A145" s="7">
        <v>45589</v>
      </c>
      <c r="B145">
        <v>4.38</v>
      </c>
      <c r="C145">
        <v>4.4000000000000004</v>
      </c>
      <c r="D145">
        <v>4.4800000000000004</v>
      </c>
      <c r="E145">
        <v>4.33</v>
      </c>
      <c r="F145" t="s">
        <v>1610</v>
      </c>
      <c r="G145" s="8">
        <v>-1.7899999999999999E-2</v>
      </c>
      <c r="H145" s="3">
        <f t="shared" si="2"/>
        <v>-1.7937219730941756E-2</v>
      </c>
    </row>
    <row r="146" spans="1:8" x14ac:dyDescent="0.3">
      <c r="A146" s="7">
        <v>45590</v>
      </c>
      <c r="B146">
        <v>4.72</v>
      </c>
      <c r="C146">
        <v>4.38</v>
      </c>
      <c r="D146">
        <v>4.8</v>
      </c>
      <c r="E146">
        <v>4.34</v>
      </c>
      <c r="F146" t="s">
        <v>1609</v>
      </c>
      <c r="G146" s="8">
        <v>7.7600000000000002E-2</v>
      </c>
      <c r="H146" s="3">
        <f t="shared" si="2"/>
        <v>7.7625570776255648E-2</v>
      </c>
    </row>
    <row r="147" spans="1:8" x14ac:dyDescent="0.3">
      <c r="A147" s="7">
        <v>45593</v>
      </c>
      <c r="B147">
        <v>5.19</v>
      </c>
      <c r="C147">
        <v>4.88</v>
      </c>
      <c r="D147">
        <v>5.19</v>
      </c>
      <c r="E147">
        <v>4.8099999999999996</v>
      </c>
      <c r="F147" t="s">
        <v>1608</v>
      </c>
      <c r="G147" s="8">
        <v>9.9599999999999994E-2</v>
      </c>
      <c r="H147" s="3">
        <f t="shared" si="2"/>
        <v>9.9576271186440746E-2</v>
      </c>
    </row>
    <row r="148" spans="1:8" x14ac:dyDescent="0.3">
      <c r="A148" s="7">
        <v>45594</v>
      </c>
      <c r="B148">
        <v>5.0999999999999996</v>
      </c>
      <c r="C148">
        <v>5.7</v>
      </c>
      <c r="D148">
        <v>5.7</v>
      </c>
      <c r="E148">
        <v>5.05</v>
      </c>
      <c r="F148" t="s">
        <v>1607</v>
      </c>
      <c r="G148" s="8">
        <v>-1.7299999999999999E-2</v>
      </c>
      <c r="H148" s="3">
        <f t="shared" si="2"/>
        <v>-1.7341040462427904E-2</v>
      </c>
    </row>
    <row r="149" spans="1:8" x14ac:dyDescent="0.3">
      <c r="A149" s="7">
        <v>45595</v>
      </c>
      <c r="B149">
        <v>5.46</v>
      </c>
      <c r="C149">
        <v>5.01</v>
      </c>
      <c r="D149">
        <v>5.61</v>
      </c>
      <c r="E149">
        <v>4.93</v>
      </c>
      <c r="F149" t="s">
        <v>1606</v>
      </c>
      <c r="G149" s="8">
        <v>7.0599999999999996E-2</v>
      </c>
      <c r="H149" s="3">
        <f t="shared" si="2"/>
        <v>7.0588235294117618E-2</v>
      </c>
    </row>
    <row r="150" spans="1:8" x14ac:dyDescent="0.3">
      <c r="A150" s="7">
        <v>45596</v>
      </c>
      <c r="B150">
        <v>5.25</v>
      </c>
      <c r="C150">
        <v>5.27</v>
      </c>
      <c r="D150">
        <v>5.41</v>
      </c>
      <c r="E150">
        <v>5.1100000000000003</v>
      </c>
      <c r="F150" t="s">
        <v>1605</v>
      </c>
      <c r="G150" s="8">
        <v>-3.85E-2</v>
      </c>
      <c r="H150" s="3">
        <f t="shared" si="2"/>
        <v>-3.8461538461538436E-2</v>
      </c>
    </row>
    <row r="151" spans="1:8" x14ac:dyDescent="0.3">
      <c r="A151" s="7">
        <v>45597</v>
      </c>
      <c r="B151">
        <v>4.96</v>
      </c>
      <c r="C151">
        <v>5</v>
      </c>
      <c r="D151">
        <v>5.29</v>
      </c>
      <c r="E151">
        <v>4.91</v>
      </c>
      <c r="F151" t="s">
        <v>1604</v>
      </c>
      <c r="G151" s="8">
        <v>-5.5199999999999999E-2</v>
      </c>
      <c r="H151" s="3">
        <f t="shared" si="2"/>
        <v>-5.5238095238095197E-2</v>
      </c>
    </row>
    <row r="152" spans="1:8" x14ac:dyDescent="0.3">
      <c r="A152" s="7">
        <v>45600</v>
      </c>
      <c r="B152">
        <v>4.82</v>
      </c>
      <c r="C152">
        <v>4.8499999999999996</v>
      </c>
      <c r="D152">
        <v>4.8899999999999997</v>
      </c>
      <c r="E152">
        <v>4.63</v>
      </c>
      <c r="F152" t="s">
        <v>1172</v>
      </c>
      <c r="G152" s="8">
        <v>-2.8199999999999999E-2</v>
      </c>
      <c r="H152" s="3">
        <f t="shared" si="2"/>
        <v>-2.8225806451612878E-2</v>
      </c>
    </row>
    <row r="153" spans="1:8" x14ac:dyDescent="0.3">
      <c r="A153" s="7">
        <v>45601</v>
      </c>
      <c r="B153">
        <v>4.97</v>
      </c>
      <c r="C153">
        <v>4.8099999999999996</v>
      </c>
      <c r="D153">
        <v>5.04</v>
      </c>
      <c r="E153">
        <v>4.8</v>
      </c>
      <c r="F153" t="s">
        <v>1603</v>
      </c>
      <c r="G153" s="8">
        <v>3.1099999999999999E-2</v>
      </c>
      <c r="H153" s="3">
        <f t="shared" si="2"/>
        <v>3.1120331950207358E-2</v>
      </c>
    </row>
    <row r="154" spans="1:8" x14ac:dyDescent="0.3">
      <c r="A154" s="7">
        <v>45602</v>
      </c>
      <c r="B154">
        <v>5.47</v>
      </c>
      <c r="C154">
        <v>5</v>
      </c>
      <c r="D154">
        <v>5.47</v>
      </c>
      <c r="E154">
        <v>4.97</v>
      </c>
      <c r="F154" t="s">
        <v>1602</v>
      </c>
      <c r="G154" s="8">
        <v>0.10059999999999999</v>
      </c>
      <c r="H154" s="3">
        <f t="shared" si="2"/>
        <v>0.10060362173038229</v>
      </c>
    </row>
    <row r="155" spans="1:8" x14ac:dyDescent="0.3">
      <c r="A155" s="7">
        <v>45603</v>
      </c>
      <c r="B155">
        <v>5.85</v>
      </c>
      <c r="C155">
        <v>5.59</v>
      </c>
      <c r="D155">
        <v>6.02</v>
      </c>
      <c r="E155">
        <v>5.5</v>
      </c>
      <c r="F155" t="s">
        <v>1601</v>
      </c>
      <c r="G155" s="8">
        <v>6.9500000000000006E-2</v>
      </c>
      <c r="H155" s="3">
        <f t="shared" si="2"/>
        <v>6.9469835466179131E-2</v>
      </c>
    </row>
    <row r="156" spans="1:8" x14ac:dyDescent="0.3">
      <c r="A156" s="7">
        <v>45604</v>
      </c>
      <c r="B156">
        <v>5.4</v>
      </c>
      <c r="C156">
        <v>5.6</v>
      </c>
      <c r="D156">
        <v>5.69</v>
      </c>
      <c r="E156">
        <v>5.35</v>
      </c>
      <c r="F156" t="s">
        <v>1600</v>
      </c>
      <c r="G156" s="8">
        <v>-7.6899999999999996E-2</v>
      </c>
      <c r="H156" s="3">
        <f t="shared" si="2"/>
        <v>-7.6923076923076761E-2</v>
      </c>
    </row>
    <row r="157" spans="1:8" x14ac:dyDescent="0.3">
      <c r="A157" s="7">
        <v>45607</v>
      </c>
      <c r="B157">
        <v>5.26</v>
      </c>
      <c r="C157">
        <v>5.22</v>
      </c>
      <c r="D157">
        <v>5.3</v>
      </c>
      <c r="E157">
        <v>5.0999999999999996</v>
      </c>
      <c r="F157" t="s">
        <v>1599</v>
      </c>
      <c r="G157" s="8">
        <v>-2.5899999999999999E-2</v>
      </c>
      <c r="H157" s="3">
        <f t="shared" si="2"/>
        <v>-2.5925925925926019E-2</v>
      </c>
    </row>
    <row r="158" spans="1:8" x14ac:dyDescent="0.3">
      <c r="A158" s="7">
        <v>45608</v>
      </c>
      <c r="B158">
        <v>5.15</v>
      </c>
      <c r="C158">
        <v>5.18</v>
      </c>
      <c r="D158">
        <v>5.3</v>
      </c>
      <c r="E158">
        <v>5.12</v>
      </c>
      <c r="F158" t="s">
        <v>1598</v>
      </c>
      <c r="G158" s="8">
        <v>-2.0899999999999998E-2</v>
      </c>
      <c r="H158" s="3">
        <f t="shared" si="2"/>
        <v>-2.0912547528517011E-2</v>
      </c>
    </row>
    <row r="159" spans="1:8" x14ac:dyDescent="0.3">
      <c r="A159" s="7">
        <v>45609</v>
      </c>
      <c r="B159">
        <v>5.21</v>
      </c>
      <c r="C159">
        <v>5.16</v>
      </c>
      <c r="D159">
        <v>5.34</v>
      </c>
      <c r="E159">
        <v>5.0599999999999996</v>
      </c>
      <c r="F159" t="s">
        <v>1597</v>
      </c>
      <c r="G159" s="8">
        <v>1.17E-2</v>
      </c>
      <c r="H159" s="3">
        <f t="shared" si="2"/>
        <v>1.1650485436893065E-2</v>
      </c>
    </row>
    <row r="160" spans="1:8" x14ac:dyDescent="0.3">
      <c r="A160" s="7">
        <v>45610</v>
      </c>
      <c r="B160">
        <v>5.09</v>
      </c>
      <c r="C160">
        <v>5.13</v>
      </c>
      <c r="D160">
        <v>5.3</v>
      </c>
      <c r="E160">
        <v>5.0599999999999996</v>
      </c>
      <c r="F160" t="s">
        <v>1596</v>
      </c>
      <c r="G160" s="8">
        <v>-2.3E-2</v>
      </c>
      <c r="H160" s="3">
        <f t="shared" si="2"/>
        <v>-2.303262955854124E-2</v>
      </c>
    </row>
    <row r="161" spans="1:8" x14ac:dyDescent="0.3">
      <c r="A161" s="7">
        <v>45611</v>
      </c>
      <c r="B161">
        <v>4.7699999999999996</v>
      </c>
      <c r="C161">
        <v>5.07</v>
      </c>
      <c r="D161">
        <v>5.09</v>
      </c>
      <c r="E161">
        <v>4.76</v>
      </c>
      <c r="F161" t="s">
        <v>1595</v>
      </c>
      <c r="G161" s="8">
        <v>-6.2899999999999998E-2</v>
      </c>
      <c r="H161" s="3">
        <f t="shared" si="2"/>
        <v>-6.286836935166995E-2</v>
      </c>
    </row>
    <row r="162" spans="1:8" x14ac:dyDescent="0.3">
      <c r="A162" s="7">
        <v>45614</v>
      </c>
      <c r="B162">
        <v>4.57</v>
      </c>
      <c r="C162">
        <v>4.83</v>
      </c>
      <c r="D162">
        <v>4.8499999999999996</v>
      </c>
      <c r="E162">
        <v>4.53</v>
      </c>
      <c r="F162" t="s">
        <v>1170</v>
      </c>
      <c r="G162" s="8">
        <v>-4.19E-2</v>
      </c>
      <c r="H162" s="3">
        <f t="shared" si="2"/>
        <v>-4.1928721174004036E-2</v>
      </c>
    </row>
    <row r="163" spans="1:8" x14ac:dyDescent="0.3">
      <c r="A163" s="7">
        <v>45615</v>
      </c>
      <c r="B163">
        <v>4.6399999999999997</v>
      </c>
      <c r="C163">
        <v>4.5599999999999996</v>
      </c>
      <c r="D163">
        <v>4.6399999999999997</v>
      </c>
      <c r="E163">
        <v>4.47</v>
      </c>
      <c r="F163" t="s">
        <v>1594</v>
      </c>
      <c r="G163" s="8">
        <v>1.5299999999999999E-2</v>
      </c>
      <c r="H163" s="3">
        <f t="shared" si="2"/>
        <v>1.5317286652078543E-2</v>
      </c>
    </row>
    <row r="164" spans="1:8" x14ac:dyDescent="0.3">
      <c r="A164" s="7">
        <v>45616</v>
      </c>
      <c r="B164">
        <v>4.67</v>
      </c>
      <c r="C164">
        <v>4.5999999999999996</v>
      </c>
      <c r="D164">
        <v>4.6900000000000004</v>
      </c>
      <c r="E164">
        <v>4.5599999999999996</v>
      </c>
      <c r="F164" t="s">
        <v>1593</v>
      </c>
      <c r="G164" s="8">
        <v>6.4999999999999997E-3</v>
      </c>
      <c r="H164" s="3">
        <f t="shared" si="2"/>
        <v>6.4655172413794482E-3</v>
      </c>
    </row>
    <row r="165" spans="1:8" x14ac:dyDescent="0.3">
      <c r="A165" s="7">
        <v>45617</v>
      </c>
      <c r="B165">
        <v>4.6500000000000004</v>
      </c>
      <c r="C165">
        <v>4.66</v>
      </c>
      <c r="D165">
        <v>4.68</v>
      </c>
      <c r="E165">
        <v>4.59</v>
      </c>
      <c r="F165" t="s">
        <v>1592</v>
      </c>
      <c r="G165" s="8">
        <v>-4.3E-3</v>
      </c>
      <c r="H165" s="3">
        <f t="shared" si="2"/>
        <v>-4.282655246252598E-3</v>
      </c>
    </row>
    <row r="166" spans="1:8" x14ac:dyDescent="0.3">
      <c r="A166" s="7">
        <v>45618</v>
      </c>
      <c r="B166">
        <v>4.83</v>
      </c>
      <c r="C166">
        <v>4.6399999999999997</v>
      </c>
      <c r="D166">
        <v>4.96</v>
      </c>
      <c r="E166">
        <v>4.53</v>
      </c>
      <c r="F166" t="s">
        <v>491</v>
      </c>
      <c r="G166" s="8">
        <v>3.8699999999999998E-2</v>
      </c>
      <c r="H166" s="3">
        <f t="shared" si="2"/>
        <v>3.8709677419354716E-2</v>
      </c>
    </row>
    <row r="167" spans="1:8" x14ac:dyDescent="0.3">
      <c r="A167" s="7">
        <v>45621</v>
      </c>
      <c r="B167">
        <v>4.6399999999999997</v>
      </c>
      <c r="C167">
        <v>4.6900000000000004</v>
      </c>
      <c r="D167">
        <v>4.7300000000000004</v>
      </c>
      <c r="E167">
        <v>4.4800000000000004</v>
      </c>
      <c r="F167" t="s">
        <v>1591</v>
      </c>
      <c r="G167" s="8">
        <v>-3.9300000000000002E-2</v>
      </c>
      <c r="H167" s="3">
        <f t="shared" si="2"/>
        <v>-3.9337474120082927E-2</v>
      </c>
    </row>
    <row r="168" spans="1:8" x14ac:dyDescent="0.3">
      <c r="A168" s="7">
        <v>45622</v>
      </c>
      <c r="B168">
        <v>4.68</v>
      </c>
      <c r="C168">
        <v>4.75</v>
      </c>
      <c r="D168">
        <v>4.8600000000000003</v>
      </c>
      <c r="E168">
        <v>4.6500000000000004</v>
      </c>
      <c r="F168" t="s">
        <v>1590</v>
      </c>
      <c r="G168" s="8">
        <v>8.6E-3</v>
      </c>
      <c r="H168" s="3">
        <f t="shared" si="2"/>
        <v>8.6206896551723755E-3</v>
      </c>
    </row>
    <row r="169" spans="1:8" x14ac:dyDescent="0.3">
      <c r="A169" s="7">
        <v>45623</v>
      </c>
      <c r="B169">
        <v>4.66</v>
      </c>
      <c r="C169">
        <v>4.63</v>
      </c>
      <c r="D169">
        <v>4.67</v>
      </c>
      <c r="E169">
        <v>4.45</v>
      </c>
      <c r="F169" t="s">
        <v>1589</v>
      </c>
      <c r="G169" s="8">
        <v>-4.3E-3</v>
      </c>
      <c r="H169" s="3">
        <f t="shared" si="2"/>
        <v>-4.2735042735041473E-3</v>
      </c>
    </row>
    <row r="170" spans="1:8" x14ac:dyDescent="0.3">
      <c r="A170" s="7">
        <v>45624</v>
      </c>
      <c r="B170">
        <v>4.72</v>
      </c>
      <c r="C170">
        <v>4.6100000000000003</v>
      </c>
      <c r="D170">
        <v>4.82</v>
      </c>
      <c r="E170">
        <v>4.5999999999999996</v>
      </c>
      <c r="F170" t="s">
        <v>1588</v>
      </c>
      <c r="G170" s="8">
        <v>1.29E-2</v>
      </c>
      <c r="H170" s="3">
        <f t="shared" si="2"/>
        <v>1.2875536480686511E-2</v>
      </c>
    </row>
    <row r="171" spans="1:8" x14ac:dyDescent="0.3">
      <c r="A171" s="7">
        <v>45625</v>
      </c>
      <c r="B171">
        <v>4.97</v>
      </c>
      <c r="C171">
        <v>4.6900000000000004</v>
      </c>
      <c r="D171">
        <v>5.0999999999999996</v>
      </c>
      <c r="E171">
        <v>4.68</v>
      </c>
      <c r="F171" t="s">
        <v>1587</v>
      </c>
      <c r="G171" s="8">
        <v>5.2999999999999999E-2</v>
      </c>
      <c r="H171" s="3">
        <f t="shared" si="2"/>
        <v>5.2966101694915224E-2</v>
      </c>
    </row>
    <row r="172" spans="1:8" x14ac:dyDescent="0.3">
      <c r="A172" s="7">
        <v>45628</v>
      </c>
      <c r="B172">
        <v>5.08</v>
      </c>
      <c r="C172">
        <v>4.97</v>
      </c>
      <c r="D172">
        <v>5.09</v>
      </c>
      <c r="E172">
        <v>4.91</v>
      </c>
      <c r="F172" t="s">
        <v>1586</v>
      </c>
      <c r="G172" s="8">
        <v>2.2100000000000002E-2</v>
      </c>
      <c r="H172" s="3">
        <f t="shared" si="2"/>
        <v>2.2132796780684139E-2</v>
      </c>
    </row>
    <row r="173" spans="1:8" x14ac:dyDescent="0.3">
      <c r="A173" s="7">
        <v>45629</v>
      </c>
      <c r="B173">
        <v>5.09</v>
      </c>
      <c r="C173">
        <v>5.03</v>
      </c>
      <c r="D173">
        <v>5.13</v>
      </c>
      <c r="E173">
        <v>5</v>
      </c>
      <c r="F173" t="s">
        <v>1585</v>
      </c>
      <c r="G173" s="8">
        <v>2E-3</v>
      </c>
      <c r="H173" s="3">
        <f t="shared" si="2"/>
        <v>1.9685039370078705E-3</v>
      </c>
    </row>
    <row r="174" spans="1:8" x14ac:dyDescent="0.3">
      <c r="A174" s="7">
        <v>45630</v>
      </c>
      <c r="B174">
        <v>5.12</v>
      </c>
      <c r="C174">
        <v>5.09</v>
      </c>
      <c r="D174">
        <v>5.25</v>
      </c>
      <c r="E174">
        <v>5</v>
      </c>
      <c r="F174" t="s">
        <v>1584</v>
      </c>
      <c r="G174" s="8">
        <v>5.8999999999999999E-3</v>
      </c>
      <c r="H174" s="3">
        <f t="shared" si="2"/>
        <v>5.893909626719207E-3</v>
      </c>
    </row>
    <row r="175" spans="1:8" x14ac:dyDescent="0.3">
      <c r="A175" s="7">
        <v>45631</v>
      </c>
      <c r="B175">
        <v>5.07</v>
      </c>
      <c r="C175">
        <v>5.05</v>
      </c>
      <c r="D175">
        <v>5.0999999999999996</v>
      </c>
      <c r="E175">
        <v>4.9800000000000004</v>
      </c>
      <c r="F175" t="s">
        <v>1583</v>
      </c>
      <c r="G175" s="8">
        <v>-9.7999999999999997E-3</v>
      </c>
      <c r="H175" s="3">
        <f t="shared" si="2"/>
        <v>-9.765625E-3</v>
      </c>
    </row>
    <row r="176" spans="1:8" x14ac:dyDescent="0.3">
      <c r="A176" s="7">
        <v>45632</v>
      </c>
      <c r="B176">
        <v>5.1100000000000003</v>
      </c>
      <c r="C176">
        <v>5.03</v>
      </c>
      <c r="D176">
        <v>5.13</v>
      </c>
      <c r="E176">
        <v>5</v>
      </c>
      <c r="F176" t="s">
        <v>1582</v>
      </c>
      <c r="G176" s="8">
        <v>7.9000000000000008E-3</v>
      </c>
      <c r="H176" s="3">
        <f t="shared" si="2"/>
        <v>7.8895463510848529E-3</v>
      </c>
    </row>
    <row r="177" spans="1:8" x14ac:dyDescent="0.3">
      <c r="A177" s="7">
        <v>45635</v>
      </c>
      <c r="B177">
        <v>5.19</v>
      </c>
      <c r="C177">
        <v>5.1100000000000003</v>
      </c>
      <c r="D177">
        <v>5.22</v>
      </c>
      <c r="E177">
        <v>5.09</v>
      </c>
      <c r="F177" t="s">
        <v>1581</v>
      </c>
      <c r="G177" s="8">
        <v>1.5699999999999999E-2</v>
      </c>
      <c r="H177" s="3">
        <f t="shared" si="2"/>
        <v>1.5655577299412915E-2</v>
      </c>
    </row>
    <row r="178" spans="1:8" x14ac:dyDescent="0.3">
      <c r="A178" s="7">
        <v>45636</v>
      </c>
      <c r="B178">
        <v>5.16</v>
      </c>
      <c r="C178">
        <v>5.32</v>
      </c>
      <c r="D178">
        <v>5.47</v>
      </c>
      <c r="E178">
        <v>5.16</v>
      </c>
      <c r="F178" t="s">
        <v>1580</v>
      </c>
      <c r="G178" s="8">
        <v>-5.7999999999999996E-3</v>
      </c>
      <c r="H178" s="3">
        <f t="shared" si="2"/>
        <v>-5.7803468208093012E-3</v>
      </c>
    </row>
    <row r="179" spans="1:8" x14ac:dyDescent="0.3">
      <c r="A179" s="7">
        <v>45637</v>
      </c>
      <c r="B179">
        <v>5.25</v>
      </c>
      <c r="C179">
        <v>5.15</v>
      </c>
      <c r="D179">
        <v>5.25</v>
      </c>
      <c r="E179">
        <v>5.13</v>
      </c>
      <c r="F179" t="s">
        <v>1579</v>
      </c>
      <c r="G179" s="8">
        <v>1.7399999999999999E-2</v>
      </c>
      <c r="H179" s="3">
        <f t="shared" si="2"/>
        <v>1.744186046511631E-2</v>
      </c>
    </row>
    <row r="180" spans="1:8" x14ac:dyDescent="0.3">
      <c r="A180" s="7">
        <v>45638</v>
      </c>
      <c r="B180">
        <v>5.51</v>
      </c>
      <c r="C180">
        <v>5.25</v>
      </c>
      <c r="D180">
        <v>5.59</v>
      </c>
      <c r="E180">
        <v>5.22</v>
      </c>
      <c r="F180" t="s">
        <v>1578</v>
      </c>
      <c r="G180" s="8">
        <v>4.9500000000000002E-2</v>
      </c>
      <c r="H180" s="3">
        <f t="shared" si="2"/>
        <v>4.9523809523809526E-2</v>
      </c>
    </row>
    <row r="181" spans="1:8" x14ac:dyDescent="0.3">
      <c r="A181" s="7">
        <v>45639</v>
      </c>
      <c r="B181">
        <v>5.32</v>
      </c>
      <c r="C181">
        <v>5.45</v>
      </c>
      <c r="D181">
        <v>5.49</v>
      </c>
      <c r="E181">
        <v>5.3</v>
      </c>
      <c r="F181" t="s">
        <v>1577</v>
      </c>
      <c r="G181" s="8">
        <v>-3.4500000000000003E-2</v>
      </c>
      <c r="H181" s="3">
        <f t="shared" si="2"/>
        <v>-3.4482758620689613E-2</v>
      </c>
    </row>
    <row r="182" spans="1:8" x14ac:dyDescent="0.3">
      <c r="A182" s="7">
        <v>45642</v>
      </c>
      <c r="B182">
        <v>5.36</v>
      </c>
      <c r="C182">
        <v>5.32</v>
      </c>
      <c r="D182">
        <v>5.42</v>
      </c>
      <c r="E182">
        <v>5.27</v>
      </c>
      <c r="F182" t="s">
        <v>1576</v>
      </c>
      <c r="G182" s="8">
        <v>7.4999999999999997E-3</v>
      </c>
      <c r="H182" s="3">
        <f t="shared" si="2"/>
        <v>7.5187969924812581E-3</v>
      </c>
    </row>
    <row r="183" spans="1:8" x14ac:dyDescent="0.3">
      <c r="A183" s="7">
        <v>45643</v>
      </c>
      <c r="B183">
        <v>5.04</v>
      </c>
      <c r="C183">
        <v>5.3</v>
      </c>
      <c r="D183">
        <v>5.33</v>
      </c>
      <c r="E183">
        <v>5.03</v>
      </c>
      <c r="F183" t="s">
        <v>1575</v>
      </c>
      <c r="G183" s="8">
        <v>-5.9700000000000003E-2</v>
      </c>
      <c r="H183" s="3">
        <f t="shared" si="2"/>
        <v>-5.9701492537313494E-2</v>
      </c>
    </row>
    <row r="184" spans="1:8" x14ac:dyDescent="0.3">
      <c r="A184" s="7">
        <v>45644</v>
      </c>
      <c r="B184">
        <v>4.97</v>
      </c>
      <c r="C184">
        <v>5.04</v>
      </c>
      <c r="D184">
        <v>5.0599999999999996</v>
      </c>
      <c r="E184">
        <v>4.83</v>
      </c>
      <c r="F184" t="s">
        <v>1574</v>
      </c>
      <c r="G184" s="8">
        <v>-1.3899999999999999E-2</v>
      </c>
      <c r="H184" s="3">
        <f t="shared" si="2"/>
        <v>-1.3888888888888951E-2</v>
      </c>
    </row>
    <row r="185" spans="1:8" x14ac:dyDescent="0.3">
      <c r="A185" s="7">
        <v>45645</v>
      </c>
      <c r="B185">
        <v>4.87</v>
      </c>
      <c r="C185">
        <v>4.93</v>
      </c>
      <c r="D185">
        <v>4.97</v>
      </c>
      <c r="E185">
        <v>4.7699999999999996</v>
      </c>
      <c r="F185" t="s">
        <v>1573</v>
      </c>
      <c r="G185" s="8">
        <v>-2.01E-2</v>
      </c>
      <c r="H185" s="3">
        <f t="shared" si="2"/>
        <v>-2.0120724346076369E-2</v>
      </c>
    </row>
    <row r="186" spans="1:8" x14ac:dyDescent="0.3">
      <c r="A186" s="7">
        <v>45646</v>
      </c>
      <c r="B186">
        <v>4.91</v>
      </c>
      <c r="C186">
        <v>4.87</v>
      </c>
      <c r="D186">
        <v>4.95</v>
      </c>
      <c r="E186">
        <v>4.8499999999999996</v>
      </c>
      <c r="F186" t="s">
        <v>1572</v>
      </c>
      <c r="G186" s="8">
        <v>8.2000000000000007E-3</v>
      </c>
      <c r="H186" s="3">
        <f t="shared" si="2"/>
        <v>8.2135523613962036E-3</v>
      </c>
    </row>
    <row r="187" spans="1:8" x14ac:dyDescent="0.3">
      <c r="A187" s="7">
        <v>45649</v>
      </c>
      <c r="B187">
        <v>4.54</v>
      </c>
      <c r="C187">
        <v>4.8899999999999997</v>
      </c>
      <c r="D187">
        <v>4.91</v>
      </c>
      <c r="E187">
        <v>4.4800000000000004</v>
      </c>
      <c r="F187" t="s">
        <v>1571</v>
      </c>
      <c r="G187" s="8">
        <v>-7.5399999999999995E-2</v>
      </c>
      <c r="H187" s="3">
        <f t="shared" si="2"/>
        <v>-7.5356415478615046E-2</v>
      </c>
    </row>
    <row r="188" spans="1:8" x14ac:dyDescent="0.3">
      <c r="A188" s="7">
        <v>45650</v>
      </c>
      <c r="B188">
        <v>4.45</v>
      </c>
      <c r="C188">
        <v>4.5</v>
      </c>
      <c r="D188">
        <v>4.57</v>
      </c>
      <c r="E188">
        <v>4.3600000000000003</v>
      </c>
      <c r="F188" t="s">
        <v>1570</v>
      </c>
      <c r="G188" s="8">
        <v>-1.9800000000000002E-2</v>
      </c>
      <c r="H188" s="3">
        <f t="shared" si="2"/>
        <v>-1.9823788546255439E-2</v>
      </c>
    </row>
    <row r="189" spans="1:8" x14ac:dyDescent="0.3">
      <c r="A189" s="7">
        <v>45651</v>
      </c>
      <c r="B189">
        <v>4.34</v>
      </c>
      <c r="C189">
        <v>4.4400000000000004</v>
      </c>
      <c r="D189">
        <v>4.46</v>
      </c>
      <c r="E189">
        <v>4.24</v>
      </c>
      <c r="F189" t="s">
        <v>1569</v>
      </c>
      <c r="G189" s="8">
        <v>-2.47E-2</v>
      </c>
      <c r="H189" s="3">
        <f t="shared" si="2"/>
        <v>-2.4719101123595544E-2</v>
      </c>
    </row>
    <row r="190" spans="1:8" x14ac:dyDescent="0.3">
      <c r="A190" s="7">
        <v>45652</v>
      </c>
      <c r="B190">
        <v>4.3600000000000003</v>
      </c>
      <c r="C190">
        <v>4.34</v>
      </c>
      <c r="D190">
        <v>4.42</v>
      </c>
      <c r="E190">
        <v>4.3099999999999996</v>
      </c>
      <c r="F190" t="s">
        <v>796</v>
      </c>
      <c r="G190" s="8">
        <v>4.5999999999999999E-3</v>
      </c>
      <c r="H190" s="3">
        <f t="shared" si="2"/>
        <v>4.6082949308756671E-3</v>
      </c>
    </row>
    <row r="191" spans="1:8" x14ac:dyDescent="0.3">
      <c r="A191" s="7">
        <v>45653</v>
      </c>
      <c r="B191">
        <v>4.5599999999999996</v>
      </c>
      <c r="C191">
        <v>4.37</v>
      </c>
      <c r="D191">
        <v>4.6100000000000003</v>
      </c>
      <c r="E191">
        <v>4.33</v>
      </c>
      <c r="F191" t="s">
        <v>1568</v>
      </c>
      <c r="G191" s="8">
        <v>4.5900000000000003E-2</v>
      </c>
      <c r="H191" s="3">
        <f t="shared" si="2"/>
        <v>4.5871559633027248E-2</v>
      </c>
    </row>
    <row r="192" spans="1:8" x14ac:dyDescent="0.3">
      <c r="A192" s="7">
        <v>45656</v>
      </c>
      <c r="B192">
        <v>4.3099999999999996</v>
      </c>
      <c r="C192">
        <v>4.5199999999999996</v>
      </c>
      <c r="D192">
        <v>4.55</v>
      </c>
      <c r="E192">
        <v>4.3</v>
      </c>
      <c r="F192" t="s">
        <v>1567</v>
      </c>
      <c r="G192" s="8">
        <v>-5.4800000000000001E-2</v>
      </c>
      <c r="H192" s="3">
        <f t="shared" si="2"/>
        <v>-5.4824561403508776E-2</v>
      </c>
    </row>
    <row r="193" spans="1:8" x14ac:dyDescent="0.3">
      <c r="A193" s="7">
        <v>45657</v>
      </c>
      <c r="B193">
        <v>4.2699999999999996</v>
      </c>
      <c r="C193">
        <v>4.32</v>
      </c>
      <c r="D193">
        <v>4.41</v>
      </c>
      <c r="E193">
        <v>4.26</v>
      </c>
      <c r="F193" t="s">
        <v>1082</v>
      </c>
      <c r="G193" s="8">
        <v>-9.2999999999999992E-3</v>
      </c>
      <c r="H193" s="3">
        <f t="shared" si="2"/>
        <v>-9.2807424593968069E-3</v>
      </c>
    </row>
    <row r="194" spans="1:8" x14ac:dyDescent="0.3">
      <c r="A194" s="7">
        <v>45659</v>
      </c>
      <c r="B194">
        <v>4.3</v>
      </c>
      <c r="C194">
        <v>4.28</v>
      </c>
      <c r="D194">
        <v>4.45</v>
      </c>
      <c r="E194">
        <v>4.25</v>
      </c>
      <c r="F194" t="s">
        <v>1566</v>
      </c>
      <c r="G194" s="8">
        <v>7.0000000000000001E-3</v>
      </c>
      <c r="H194" s="3">
        <f t="shared" si="2"/>
        <v>7.0257611241217877E-3</v>
      </c>
    </row>
    <row r="195" spans="1:8" x14ac:dyDescent="0.3">
      <c r="A195" s="7">
        <v>45660</v>
      </c>
      <c r="B195">
        <v>4.04</v>
      </c>
      <c r="C195">
        <v>4.3</v>
      </c>
      <c r="D195">
        <v>4.32</v>
      </c>
      <c r="E195">
        <v>4.01</v>
      </c>
      <c r="F195" t="s">
        <v>1565</v>
      </c>
      <c r="G195" s="8">
        <v>-6.0499999999999998E-2</v>
      </c>
      <c r="H195" s="3">
        <f t="shared" si="2"/>
        <v>-6.0465116279069697E-2</v>
      </c>
    </row>
    <row r="196" spans="1:8" x14ac:dyDescent="0.3">
      <c r="A196" s="7">
        <v>45663</v>
      </c>
      <c r="B196">
        <v>4</v>
      </c>
      <c r="C196">
        <v>4.04</v>
      </c>
      <c r="D196">
        <v>4.09</v>
      </c>
      <c r="E196">
        <v>3.81</v>
      </c>
      <c r="F196" t="s">
        <v>1564</v>
      </c>
      <c r="G196" s="8">
        <v>-9.9000000000000008E-3</v>
      </c>
      <c r="H196" s="3">
        <f t="shared" ref="H196:H253" si="3">(B196/B195)-1</f>
        <v>-9.9009900990099098E-3</v>
      </c>
    </row>
    <row r="197" spans="1:8" x14ac:dyDescent="0.3">
      <c r="A197" s="7">
        <v>45664</v>
      </c>
      <c r="B197">
        <v>4.1399999999999997</v>
      </c>
      <c r="C197">
        <v>4.01</v>
      </c>
      <c r="D197">
        <v>4.17</v>
      </c>
      <c r="E197">
        <v>3.99</v>
      </c>
      <c r="F197" t="s">
        <v>496</v>
      </c>
      <c r="G197" s="8">
        <v>3.5000000000000003E-2</v>
      </c>
      <c r="H197" s="3">
        <f t="shared" si="3"/>
        <v>3.499999999999992E-2</v>
      </c>
    </row>
    <row r="198" spans="1:8" x14ac:dyDescent="0.3">
      <c r="A198" s="7">
        <v>45665</v>
      </c>
      <c r="B198">
        <v>4.1399999999999997</v>
      </c>
      <c r="C198">
        <v>4.1399999999999997</v>
      </c>
      <c r="D198">
        <v>4.18</v>
      </c>
      <c r="E198">
        <v>4.01</v>
      </c>
      <c r="F198" t="s">
        <v>1563</v>
      </c>
      <c r="G198" s="8">
        <v>0</v>
      </c>
      <c r="H198" s="3">
        <f t="shared" si="3"/>
        <v>0</v>
      </c>
    </row>
    <row r="199" spans="1:8" x14ac:dyDescent="0.3">
      <c r="A199" s="7">
        <v>45666</v>
      </c>
      <c r="B199">
        <v>4.55</v>
      </c>
      <c r="C199">
        <v>4.13</v>
      </c>
      <c r="D199">
        <v>4.55</v>
      </c>
      <c r="E199">
        <v>4.1100000000000003</v>
      </c>
      <c r="F199" t="s">
        <v>1562</v>
      </c>
      <c r="G199" s="8">
        <v>9.9000000000000005E-2</v>
      </c>
      <c r="H199" s="3">
        <f t="shared" si="3"/>
        <v>9.9033816425120769E-2</v>
      </c>
    </row>
    <row r="200" spans="1:8" x14ac:dyDescent="0.3">
      <c r="A200" s="7">
        <v>45667</v>
      </c>
      <c r="B200">
        <v>4.37</v>
      </c>
      <c r="C200">
        <v>4.54</v>
      </c>
      <c r="D200">
        <v>4.57</v>
      </c>
      <c r="E200">
        <v>4.3499999999999996</v>
      </c>
      <c r="F200" t="s">
        <v>1561</v>
      </c>
      <c r="G200" s="8">
        <v>-3.9600000000000003E-2</v>
      </c>
      <c r="H200" s="3">
        <f t="shared" si="3"/>
        <v>-3.9560439560439531E-2</v>
      </c>
    </row>
    <row r="201" spans="1:8" x14ac:dyDescent="0.3">
      <c r="A201" s="7">
        <v>45670</v>
      </c>
      <c r="B201">
        <v>4.4800000000000004</v>
      </c>
      <c r="C201">
        <v>4.37</v>
      </c>
      <c r="D201">
        <v>4.6399999999999997</v>
      </c>
      <c r="E201">
        <v>4.3099999999999996</v>
      </c>
      <c r="F201" t="s">
        <v>1066</v>
      </c>
      <c r="G201" s="8">
        <v>2.52E-2</v>
      </c>
      <c r="H201" s="3">
        <f t="shared" si="3"/>
        <v>2.517162471395884E-2</v>
      </c>
    </row>
    <row r="202" spans="1:8" x14ac:dyDescent="0.3">
      <c r="A202" s="7">
        <v>45671</v>
      </c>
      <c r="B202">
        <v>4.63</v>
      </c>
      <c r="C202">
        <v>4.47</v>
      </c>
      <c r="D202">
        <v>4.63</v>
      </c>
      <c r="E202">
        <v>4.43</v>
      </c>
      <c r="F202" t="s">
        <v>1560</v>
      </c>
      <c r="G202" s="8">
        <v>3.3500000000000002E-2</v>
      </c>
      <c r="H202" s="3">
        <f t="shared" si="3"/>
        <v>3.3482142857142794E-2</v>
      </c>
    </row>
    <row r="203" spans="1:8" x14ac:dyDescent="0.3">
      <c r="A203" s="7">
        <v>45672</v>
      </c>
      <c r="B203">
        <v>4.6500000000000004</v>
      </c>
      <c r="C203">
        <v>4.58</v>
      </c>
      <c r="D203">
        <v>4.6500000000000004</v>
      </c>
      <c r="E203">
        <v>4.51</v>
      </c>
      <c r="F203" t="s">
        <v>1559</v>
      </c>
      <c r="G203" s="8">
        <v>4.3E-3</v>
      </c>
      <c r="H203" s="3">
        <f t="shared" si="3"/>
        <v>4.3196544276458138E-3</v>
      </c>
    </row>
    <row r="204" spans="1:8" x14ac:dyDescent="0.3">
      <c r="A204" s="7">
        <v>45673</v>
      </c>
      <c r="B204">
        <v>4.6500000000000004</v>
      </c>
      <c r="C204">
        <v>4.63</v>
      </c>
      <c r="D204">
        <v>4.79</v>
      </c>
      <c r="E204">
        <v>4.58</v>
      </c>
      <c r="F204" t="s">
        <v>487</v>
      </c>
      <c r="G204" s="8">
        <v>0</v>
      </c>
      <c r="H204" s="3">
        <f t="shared" si="3"/>
        <v>0</v>
      </c>
    </row>
    <row r="205" spans="1:8" x14ac:dyDescent="0.3">
      <c r="A205" s="7">
        <v>45674</v>
      </c>
      <c r="B205">
        <v>4.57</v>
      </c>
      <c r="C205">
        <v>4.62</v>
      </c>
      <c r="D205">
        <v>4.66</v>
      </c>
      <c r="E205">
        <v>4.5599999999999996</v>
      </c>
      <c r="F205" t="s">
        <v>1558</v>
      </c>
      <c r="G205" s="8">
        <v>-1.72E-2</v>
      </c>
      <c r="H205" s="3">
        <f t="shared" si="3"/>
        <v>-1.7204301075268824E-2</v>
      </c>
    </row>
    <row r="206" spans="1:8" x14ac:dyDescent="0.3">
      <c r="A206" s="7">
        <v>45677</v>
      </c>
      <c r="B206">
        <v>4.53</v>
      </c>
      <c r="C206">
        <v>4.55</v>
      </c>
      <c r="D206">
        <v>4.58</v>
      </c>
      <c r="E206">
        <v>4.43</v>
      </c>
      <c r="F206" t="s">
        <v>1557</v>
      </c>
      <c r="G206" s="8">
        <v>-8.8000000000000005E-3</v>
      </c>
      <c r="H206" s="3">
        <f t="shared" si="3"/>
        <v>-8.7527352297592786E-3</v>
      </c>
    </row>
    <row r="207" spans="1:8" x14ac:dyDescent="0.3">
      <c r="A207" s="7">
        <v>45678</v>
      </c>
      <c r="B207">
        <v>4.42</v>
      </c>
      <c r="C207">
        <v>4.54</v>
      </c>
      <c r="D207">
        <v>4.5999999999999996</v>
      </c>
      <c r="E207">
        <v>4.37</v>
      </c>
      <c r="F207" t="s">
        <v>1556</v>
      </c>
      <c r="G207" s="8">
        <v>-2.4299999999999999E-2</v>
      </c>
      <c r="H207" s="3">
        <f t="shared" si="3"/>
        <v>-2.428256070640189E-2</v>
      </c>
    </row>
    <row r="208" spans="1:8" x14ac:dyDescent="0.3">
      <c r="A208" s="7">
        <v>45679</v>
      </c>
      <c r="B208">
        <v>4.47</v>
      </c>
      <c r="C208">
        <v>4.4000000000000004</v>
      </c>
      <c r="D208">
        <v>4.6399999999999997</v>
      </c>
      <c r="E208">
        <v>4.32</v>
      </c>
      <c r="F208" t="s">
        <v>1555</v>
      </c>
      <c r="G208" s="8">
        <v>1.1299999999999999E-2</v>
      </c>
      <c r="H208" s="3">
        <f t="shared" si="3"/>
        <v>1.1312217194570096E-2</v>
      </c>
    </row>
    <row r="209" spans="1:8" x14ac:dyDescent="0.3">
      <c r="A209" s="7">
        <v>45680</v>
      </c>
      <c r="B209">
        <v>4.51</v>
      </c>
      <c r="C209">
        <v>4.49</v>
      </c>
      <c r="D209">
        <v>4.9000000000000004</v>
      </c>
      <c r="E209">
        <v>4.49</v>
      </c>
      <c r="F209" t="s">
        <v>1554</v>
      </c>
      <c r="G209" s="8">
        <v>8.8999999999999999E-3</v>
      </c>
      <c r="H209" s="3">
        <f t="shared" si="3"/>
        <v>8.9485458612974522E-3</v>
      </c>
    </row>
    <row r="210" spans="1:8" x14ac:dyDescent="0.3">
      <c r="A210" s="7">
        <v>45681</v>
      </c>
      <c r="B210">
        <v>4.43</v>
      </c>
      <c r="C210">
        <v>4.47</v>
      </c>
      <c r="D210">
        <v>4.54</v>
      </c>
      <c r="E210">
        <v>4.3600000000000003</v>
      </c>
      <c r="F210" t="s">
        <v>1553</v>
      </c>
      <c r="G210" s="8">
        <v>-1.77E-2</v>
      </c>
      <c r="H210" s="3">
        <f t="shared" si="3"/>
        <v>-1.7738359201773801E-2</v>
      </c>
    </row>
    <row r="211" spans="1:8" x14ac:dyDescent="0.3">
      <c r="A211" s="7">
        <v>45684</v>
      </c>
      <c r="B211">
        <v>4.41</v>
      </c>
      <c r="C211">
        <v>4.4000000000000004</v>
      </c>
      <c r="D211">
        <v>4.63</v>
      </c>
      <c r="E211">
        <v>4.4000000000000004</v>
      </c>
      <c r="F211" t="s">
        <v>1552</v>
      </c>
      <c r="G211" s="8">
        <v>-4.4999999999999997E-3</v>
      </c>
      <c r="H211" s="3">
        <f t="shared" si="3"/>
        <v>-4.5146726862301811E-3</v>
      </c>
    </row>
    <row r="212" spans="1:8" x14ac:dyDescent="0.3">
      <c r="A212" s="7">
        <v>45693</v>
      </c>
      <c r="B212">
        <v>4.46</v>
      </c>
      <c r="C212">
        <v>4.41</v>
      </c>
      <c r="D212">
        <v>4.51</v>
      </c>
      <c r="E212">
        <v>4.4000000000000004</v>
      </c>
      <c r="F212" t="s">
        <v>1551</v>
      </c>
      <c r="G212" s="8">
        <v>1.1299999999999999E-2</v>
      </c>
      <c r="H212" s="3">
        <f t="shared" si="3"/>
        <v>1.1337868480725488E-2</v>
      </c>
    </row>
    <row r="213" spans="1:8" x14ac:dyDescent="0.3">
      <c r="A213" s="7">
        <v>45694</v>
      </c>
      <c r="B213">
        <v>4.5</v>
      </c>
      <c r="C213">
        <v>4.4400000000000004</v>
      </c>
      <c r="D213">
        <v>4.51</v>
      </c>
      <c r="E213">
        <v>4.38</v>
      </c>
      <c r="F213" t="s">
        <v>1550</v>
      </c>
      <c r="G213" s="8">
        <v>8.9999999999999993E-3</v>
      </c>
      <c r="H213" s="3">
        <f t="shared" si="3"/>
        <v>8.9686098654708779E-3</v>
      </c>
    </row>
    <row r="214" spans="1:8" x14ac:dyDescent="0.3">
      <c r="A214" s="7">
        <v>45695</v>
      </c>
      <c r="B214">
        <v>4.5</v>
      </c>
      <c r="C214">
        <v>4.47</v>
      </c>
      <c r="D214">
        <v>4.57</v>
      </c>
      <c r="E214">
        <v>4.45</v>
      </c>
      <c r="F214" t="s">
        <v>1549</v>
      </c>
      <c r="G214" s="8">
        <v>0</v>
      </c>
      <c r="H214" s="3">
        <f t="shared" si="3"/>
        <v>0</v>
      </c>
    </row>
    <row r="215" spans="1:8" x14ac:dyDescent="0.3">
      <c r="A215" s="7">
        <v>45698</v>
      </c>
      <c r="B215">
        <v>4.6399999999999997</v>
      </c>
      <c r="C215">
        <v>4.51</v>
      </c>
      <c r="D215">
        <v>4.6399999999999997</v>
      </c>
      <c r="E215">
        <v>4.51</v>
      </c>
      <c r="F215" t="s">
        <v>1548</v>
      </c>
      <c r="G215" s="8">
        <v>3.1099999999999999E-2</v>
      </c>
      <c r="H215" s="3">
        <f t="shared" si="3"/>
        <v>3.1111111111111089E-2</v>
      </c>
    </row>
    <row r="216" spans="1:8" x14ac:dyDescent="0.3">
      <c r="A216" s="7">
        <v>45699</v>
      </c>
      <c r="B216">
        <v>4.54</v>
      </c>
      <c r="C216">
        <v>4.6100000000000003</v>
      </c>
      <c r="D216">
        <v>4.6500000000000004</v>
      </c>
      <c r="E216">
        <v>4.5199999999999996</v>
      </c>
      <c r="F216" t="s">
        <v>1547</v>
      </c>
      <c r="G216" s="8">
        <v>-2.1600000000000001E-2</v>
      </c>
      <c r="H216" s="3">
        <f t="shared" si="3"/>
        <v>-2.1551724137930939E-2</v>
      </c>
    </row>
    <row r="217" spans="1:8" x14ac:dyDescent="0.3">
      <c r="A217" s="7">
        <v>45700</v>
      </c>
      <c r="B217">
        <v>4.51</v>
      </c>
      <c r="C217">
        <v>4.54</v>
      </c>
      <c r="D217">
        <v>4.55</v>
      </c>
      <c r="E217">
        <v>4.45</v>
      </c>
      <c r="F217" t="s">
        <v>1546</v>
      </c>
      <c r="G217" s="8">
        <v>-6.6E-3</v>
      </c>
      <c r="H217" s="3">
        <f t="shared" si="3"/>
        <v>-6.6079295154185536E-3</v>
      </c>
    </row>
    <row r="218" spans="1:8" x14ac:dyDescent="0.3">
      <c r="A218" s="7">
        <v>45701</v>
      </c>
      <c r="B218">
        <v>4.47</v>
      </c>
      <c r="C218">
        <v>4.51</v>
      </c>
      <c r="D218">
        <v>4.5999999999999996</v>
      </c>
      <c r="E218">
        <v>4.45</v>
      </c>
      <c r="F218" t="s">
        <v>1164</v>
      </c>
      <c r="G218" s="8">
        <v>-8.8999999999999999E-3</v>
      </c>
      <c r="H218" s="3">
        <f t="shared" si="3"/>
        <v>-8.8691796008869561E-3</v>
      </c>
    </row>
    <row r="219" spans="1:8" x14ac:dyDescent="0.3">
      <c r="A219" s="7">
        <v>45702</v>
      </c>
      <c r="B219">
        <v>4.4000000000000004</v>
      </c>
      <c r="C219">
        <v>4.47</v>
      </c>
      <c r="D219">
        <v>4.49</v>
      </c>
      <c r="E219">
        <v>4.38</v>
      </c>
      <c r="F219" t="s">
        <v>1545</v>
      </c>
      <c r="G219" s="8">
        <v>-1.5699999999999999E-2</v>
      </c>
      <c r="H219" s="3">
        <f t="shared" si="3"/>
        <v>-1.5659955257270597E-2</v>
      </c>
    </row>
    <row r="220" spans="1:8" x14ac:dyDescent="0.3">
      <c r="A220" s="7">
        <v>45705</v>
      </c>
      <c r="B220">
        <v>4.5599999999999996</v>
      </c>
      <c r="C220">
        <v>4.4000000000000004</v>
      </c>
      <c r="D220">
        <v>4.5599999999999996</v>
      </c>
      <c r="E220">
        <v>4.4000000000000004</v>
      </c>
      <c r="F220" t="s">
        <v>1544</v>
      </c>
      <c r="G220" s="8">
        <v>3.6400000000000002E-2</v>
      </c>
      <c r="H220" s="3">
        <f t="shared" si="3"/>
        <v>3.6363636363636154E-2</v>
      </c>
    </row>
    <row r="221" spans="1:8" x14ac:dyDescent="0.3">
      <c r="A221" s="7">
        <v>45706</v>
      </c>
      <c r="B221">
        <v>4.32</v>
      </c>
      <c r="C221">
        <v>4.5599999999999996</v>
      </c>
      <c r="D221">
        <v>4.5599999999999996</v>
      </c>
      <c r="E221">
        <v>4.28</v>
      </c>
      <c r="F221" t="s">
        <v>1543</v>
      </c>
      <c r="G221" s="8">
        <v>-5.2600000000000001E-2</v>
      </c>
      <c r="H221" s="3">
        <f t="shared" si="3"/>
        <v>-5.2631578947368252E-2</v>
      </c>
    </row>
    <row r="222" spans="1:8" x14ac:dyDescent="0.3">
      <c r="A222" s="7">
        <v>45707</v>
      </c>
      <c r="B222">
        <v>4.34</v>
      </c>
      <c r="C222">
        <v>4.29</v>
      </c>
      <c r="D222">
        <v>4.34</v>
      </c>
      <c r="E222">
        <v>4.25</v>
      </c>
      <c r="F222" t="s">
        <v>1542</v>
      </c>
      <c r="G222" s="8">
        <v>4.5999999999999999E-3</v>
      </c>
      <c r="H222" s="3">
        <f t="shared" si="3"/>
        <v>4.6296296296295392E-3</v>
      </c>
    </row>
    <row r="223" spans="1:8" x14ac:dyDescent="0.3">
      <c r="A223" s="7">
        <v>45708</v>
      </c>
      <c r="B223">
        <v>4.41</v>
      </c>
      <c r="C223">
        <v>4.34</v>
      </c>
      <c r="D223">
        <v>4.47</v>
      </c>
      <c r="E223">
        <v>4.3</v>
      </c>
      <c r="F223" t="s">
        <v>1541</v>
      </c>
      <c r="G223" s="8">
        <v>1.61E-2</v>
      </c>
      <c r="H223" s="3">
        <f t="shared" si="3"/>
        <v>1.6129032258064502E-2</v>
      </c>
    </row>
    <row r="224" spans="1:8" x14ac:dyDescent="0.3">
      <c r="A224" s="7">
        <v>45709</v>
      </c>
      <c r="B224">
        <v>4.38</v>
      </c>
      <c r="C224">
        <v>4.42</v>
      </c>
      <c r="D224">
        <v>4.42</v>
      </c>
      <c r="E224">
        <v>4.32</v>
      </c>
      <c r="F224" t="s">
        <v>1540</v>
      </c>
      <c r="G224" s="8">
        <v>-6.7999999999999996E-3</v>
      </c>
      <c r="H224" s="3">
        <f t="shared" si="3"/>
        <v>-6.8027210884353817E-3</v>
      </c>
    </row>
    <row r="225" spans="1:8" x14ac:dyDescent="0.3">
      <c r="A225" s="7">
        <v>45712</v>
      </c>
      <c r="B225">
        <v>4.4400000000000004</v>
      </c>
      <c r="C225">
        <v>4.5199999999999996</v>
      </c>
      <c r="D225">
        <v>4.59</v>
      </c>
      <c r="E225">
        <v>4.43</v>
      </c>
      <c r="F225" t="s">
        <v>1539</v>
      </c>
      <c r="G225" s="8">
        <v>1.37E-2</v>
      </c>
      <c r="H225" s="3">
        <f t="shared" si="3"/>
        <v>1.3698630136986356E-2</v>
      </c>
    </row>
    <row r="226" spans="1:8" x14ac:dyDescent="0.3">
      <c r="A226" s="7">
        <v>45713</v>
      </c>
      <c r="B226">
        <v>4.37</v>
      </c>
      <c r="C226">
        <v>4.3600000000000003</v>
      </c>
      <c r="D226">
        <v>4.41</v>
      </c>
      <c r="E226">
        <v>4.34</v>
      </c>
      <c r="F226" t="s">
        <v>495</v>
      </c>
      <c r="G226" s="8">
        <v>-1.5800000000000002E-2</v>
      </c>
      <c r="H226" s="3">
        <f t="shared" si="3"/>
        <v>-1.5765765765765827E-2</v>
      </c>
    </row>
    <row r="227" spans="1:8" x14ac:dyDescent="0.3">
      <c r="A227" s="7">
        <v>45714</v>
      </c>
      <c r="B227">
        <v>4.42</v>
      </c>
      <c r="C227">
        <v>4.41</v>
      </c>
      <c r="D227">
        <v>4.5</v>
      </c>
      <c r="E227">
        <v>4.37</v>
      </c>
      <c r="F227" t="s">
        <v>1538</v>
      </c>
      <c r="G227" s="8">
        <v>1.14E-2</v>
      </c>
      <c r="H227" s="3">
        <f t="shared" si="3"/>
        <v>1.1441647597253857E-2</v>
      </c>
    </row>
    <row r="228" spans="1:8" x14ac:dyDescent="0.3">
      <c r="A228" s="7">
        <v>45715</v>
      </c>
      <c r="B228">
        <v>4.8600000000000003</v>
      </c>
      <c r="C228">
        <v>4.47</v>
      </c>
      <c r="D228">
        <v>4.8600000000000003</v>
      </c>
      <c r="E228">
        <v>4.47</v>
      </c>
      <c r="F228" t="s">
        <v>1537</v>
      </c>
      <c r="G228" s="8">
        <v>9.9500000000000005E-2</v>
      </c>
      <c r="H228" s="3">
        <f t="shared" si="3"/>
        <v>9.9547511312217285E-2</v>
      </c>
    </row>
    <row r="229" spans="1:8" x14ac:dyDescent="0.3">
      <c r="A229" s="7">
        <v>45716</v>
      </c>
      <c r="B229">
        <v>4.91</v>
      </c>
      <c r="C229">
        <v>4.8600000000000003</v>
      </c>
      <c r="D229">
        <v>5.0999999999999996</v>
      </c>
      <c r="E229">
        <v>4.71</v>
      </c>
      <c r="F229" t="s">
        <v>1536</v>
      </c>
      <c r="G229" s="8">
        <v>1.03E-2</v>
      </c>
      <c r="H229" s="3">
        <f t="shared" si="3"/>
        <v>1.0288065843621297E-2</v>
      </c>
    </row>
    <row r="230" spans="1:8" x14ac:dyDescent="0.3">
      <c r="A230" s="7">
        <v>45719</v>
      </c>
      <c r="B230">
        <v>5.0199999999999996</v>
      </c>
      <c r="C230">
        <v>4.8600000000000003</v>
      </c>
      <c r="D230">
        <v>5.3</v>
      </c>
      <c r="E230">
        <v>4.63</v>
      </c>
      <c r="F230" t="s">
        <v>1535</v>
      </c>
      <c r="G230" s="8">
        <v>2.24E-2</v>
      </c>
      <c r="H230" s="3">
        <f t="shared" si="3"/>
        <v>2.2403258655804281E-2</v>
      </c>
    </row>
    <row r="231" spans="1:8" x14ac:dyDescent="0.3">
      <c r="A231" s="7">
        <v>45720</v>
      </c>
      <c r="B231">
        <v>4.84</v>
      </c>
      <c r="C231">
        <v>4.92</v>
      </c>
      <c r="D231">
        <v>5.08</v>
      </c>
      <c r="E231">
        <v>4.7300000000000004</v>
      </c>
      <c r="F231" t="s">
        <v>1534</v>
      </c>
      <c r="G231" s="8">
        <v>-3.5900000000000001E-2</v>
      </c>
      <c r="H231" s="3">
        <f t="shared" si="3"/>
        <v>-3.5856573705179251E-2</v>
      </c>
    </row>
    <row r="232" spans="1:8" x14ac:dyDescent="0.3">
      <c r="A232" s="7">
        <v>45721</v>
      </c>
      <c r="B232">
        <v>4.7300000000000004</v>
      </c>
      <c r="C232">
        <v>4.8499999999999996</v>
      </c>
      <c r="D232">
        <v>4.97</v>
      </c>
      <c r="E232">
        <v>4.6500000000000004</v>
      </c>
      <c r="F232" t="s">
        <v>1533</v>
      </c>
      <c r="G232" s="8">
        <v>-2.2700000000000001E-2</v>
      </c>
      <c r="H232" s="3">
        <f t="shared" si="3"/>
        <v>-2.2727272727272596E-2</v>
      </c>
    </row>
    <row r="233" spans="1:8" x14ac:dyDescent="0.3">
      <c r="A233" s="7">
        <v>45722</v>
      </c>
      <c r="B233">
        <v>4.72</v>
      </c>
      <c r="C233">
        <v>4.67</v>
      </c>
      <c r="D233">
        <v>4.74</v>
      </c>
      <c r="E233">
        <v>4.5999999999999996</v>
      </c>
      <c r="F233" t="s">
        <v>1532</v>
      </c>
      <c r="G233" s="8">
        <v>-2.0999999999999999E-3</v>
      </c>
      <c r="H233" s="3">
        <f t="shared" si="3"/>
        <v>-2.1141649048627142E-3</v>
      </c>
    </row>
    <row r="234" spans="1:8" x14ac:dyDescent="0.3">
      <c r="A234" s="7">
        <v>45723</v>
      </c>
      <c r="B234">
        <v>4.6900000000000004</v>
      </c>
      <c r="C234">
        <v>4.67</v>
      </c>
      <c r="D234">
        <v>4.7</v>
      </c>
      <c r="E234">
        <v>4.6100000000000003</v>
      </c>
      <c r="F234" t="s">
        <v>1531</v>
      </c>
      <c r="G234" s="8">
        <v>-6.4000000000000003E-3</v>
      </c>
      <c r="H234" s="3">
        <f t="shared" si="3"/>
        <v>-6.3559322033897026E-3</v>
      </c>
    </row>
    <row r="235" spans="1:8" x14ac:dyDescent="0.3">
      <c r="A235" s="7">
        <v>45726</v>
      </c>
      <c r="B235">
        <v>4.72</v>
      </c>
      <c r="C235">
        <v>4.68</v>
      </c>
      <c r="D235">
        <v>4.74</v>
      </c>
      <c r="E235">
        <v>4.62</v>
      </c>
      <c r="F235" t="s">
        <v>1530</v>
      </c>
      <c r="G235" s="8">
        <v>6.4000000000000003E-3</v>
      </c>
      <c r="H235" s="3">
        <f t="shared" si="3"/>
        <v>6.3965884861405531E-3</v>
      </c>
    </row>
    <row r="236" spans="1:8" x14ac:dyDescent="0.3">
      <c r="A236" s="7">
        <v>45727</v>
      </c>
      <c r="B236">
        <v>4.66</v>
      </c>
      <c r="C236">
        <v>4.67</v>
      </c>
      <c r="D236">
        <v>4.67</v>
      </c>
      <c r="E236">
        <v>4.59</v>
      </c>
      <c r="F236" t="s">
        <v>484</v>
      </c>
      <c r="G236" s="8">
        <v>-1.2699999999999999E-2</v>
      </c>
      <c r="H236" s="3">
        <f t="shared" si="3"/>
        <v>-1.2711864406779627E-2</v>
      </c>
    </row>
    <row r="237" spans="1:8" x14ac:dyDescent="0.3">
      <c r="A237" s="7">
        <v>45728</v>
      </c>
      <c r="B237">
        <v>4.6500000000000004</v>
      </c>
      <c r="C237">
        <v>4.6399999999999997</v>
      </c>
      <c r="D237">
        <v>4.66</v>
      </c>
      <c r="E237">
        <v>4.63</v>
      </c>
      <c r="F237" t="s">
        <v>1529</v>
      </c>
      <c r="G237" s="8">
        <v>-2.0999999999999999E-3</v>
      </c>
      <c r="H237" s="3">
        <f t="shared" si="3"/>
        <v>-2.1459227467810482E-3</v>
      </c>
    </row>
    <row r="238" spans="1:8" x14ac:dyDescent="0.3">
      <c r="A238" s="7">
        <v>45729</v>
      </c>
      <c r="B238">
        <v>4.53</v>
      </c>
      <c r="C238">
        <v>4.6500000000000004</v>
      </c>
      <c r="D238">
        <v>4.6500000000000004</v>
      </c>
      <c r="E238">
        <v>4.4800000000000004</v>
      </c>
      <c r="F238" t="s">
        <v>1528</v>
      </c>
      <c r="G238" s="8">
        <v>-2.58E-2</v>
      </c>
      <c r="H238" s="3">
        <f t="shared" si="3"/>
        <v>-2.5806451612903292E-2</v>
      </c>
    </row>
    <row r="239" spans="1:8" x14ac:dyDescent="0.3">
      <c r="A239" s="7">
        <v>45730</v>
      </c>
      <c r="B239">
        <v>4.6399999999999997</v>
      </c>
      <c r="C239">
        <v>4.5199999999999996</v>
      </c>
      <c r="D239">
        <v>4.6399999999999997</v>
      </c>
      <c r="E239">
        <v>4.51</v>
      </c>
      <c r="F239" t="s">
        <v>1527</v>
      </c>
      <c r="G239" s="8">
        <v>2.4299999999999999E-2</v>
      </c>
      <c r="H239" s="3">
        <f t="shared" si="3"/>
        <v>2.4282560706401668E-2</v>
      </c>
    </row>
    <row r="240" spans="1:8" x14ac:dyDescent="0.3">
      <c r="A240" s="7">
        <v>45733</v>
      </c>
      <c r="B240">
        <v>5.0999999999999996</v>
      </c>
      <c r="C240">
        <v>4.6900000000000004</v>
      </c>
      <c r="D240">
        <v>5.0999999999999996</v>
      </c>
      <c r="E240">
        <v>4.6500000000000004</v>
      </c>
      <c r="F240" t="s">
        <v>1526</v>
      </c>
      <c r="G240" s="8">
        <v>9.9099999999999994E-2</v>
      </c>
      <c r="H240" s="3">
        <f t="shared" si="3"/>
        <v>9.9137931034482651E-2</v>
      </c>
    </row>
    <row r="241" spans="1:8" x14ac:dyDescent="0.3">
      <c r="A241" s="7">
        <v>45734</v>
      </c>
      <c r="B241">
        <v>4.96</v>
      </c>
      <c r="C241">
        <v>5.07</v>
      </c>
      <c r="D241">
        <v>5.08</v>
      </c>
      <c r="E241">
        <v>4.92</v>
      </c>
      <c r="F241" t="s">
        <v>1525</v>
      </c>
      <c r="G241" s="8">
        <v>-2.75E-2</v>
      </c>
      <c r="H241" s="3">
        <f t="shared" si="3"/>
        <v>-2.7450980392156765E-2</v>
      </c>
    </row>
    <row r="242" spans="1:8" x14ac:dyDescent="0.3">
      <c r="A242" s="7">
        <v>45735</v>
      </c>
      <c r="B242">
        <v>4.92</v>
      </c>
      <c r="C242">
        <v>4.96</v>
      </c>
      <c r="D242">
        <v>4.9800000000000004</v>
      </c>
      <c r="E242">
        <v>4.8899999999999997</v>
      </c>
      <c r="F242" t="s">
        <v>1524</v>
      </c>
      <c r="G242" s="8">
        <v>-8.0999999999999996E-3</v>
      </c>
      <c r="H242" s="3">
        <f t="shared" si="3"/>
        <v>-8.0645161290322509E-3</v>
      </c>
    </row>
    <row r="243" spans="1:8" x14ac:dyDescent="0.3">
      <c r="A243" s="7">
        <v>45736</v>
      </c>
      <c r="B243">
        <v>4.91</v>
      </c>
      <c r="C243">
        <v>4.9400000000000004</v>
      </c>
      <c r="D243">
        <v>4.95</v>
      </c>
      <c r="E243">
        <v>4.87</v>
      </c>
      <c r="F243" t="s">
        <v>1523</v>
      </c>
      <c r="G243" s="8">
        <v>-2E-3</v>
      </c>
      <c r="H243" s="3">
        <f t="shared" si="3"/>
        <v>-2.0325203252031798E-3</v>
      </c>
    </row>
    <row r="244" spans="1:8" x14ac:dyDescent="0.3">
      <c r="A244" s="7">
        <v>45737</v>
      </c>
      <c r="B244">
        <v>4.88</v>
      </c>
      <c r="C244">
        <v>4.93</v>
      </c>
      <c r="D244">
        <v>5.0599999999999996</v>
      </c>
      <c r="E244">
        <v>4.8499999999999996</v>
      </c>
      <c r="F244" t="s">
        <v>1522</v>
      </c>
      <c r="G244" s="8">
        <v>-6.1000000000000004E-3</v>
      </c>
      <c r="H244" s="3">
        <f t="shared" si="3"/>
        <v>-6.109979633401319E-3</v>
      </c>
    </row>
    <row r="245" spans="1:8" x14ac:dyDescent="0.3">
      <c r="A245" s="7">
        <v>45740</v>
      </c>
      <c r="B245">
        <v>4.7</v>
      </c>
      <c r="C245">
        <v>4.8899999999999997</v>
      </c>
      <c r="D245">
        <v>4.8899999999999997</v>
      </c>
      <c r="E245">
        <v>4.62</v>
      </c>
      <c r="F245" t="s">
        <v>1521</v>
      </c>
      <c r="G245" s="8">
        <v>-3.6900000000000002E-2</v>
      </c>
      <c r="H245" s="3">
        <f t="shared" si="3"/>
        <v>-3.688524590163933E-2</v>
      </c>
    </row>
    <row r="246" spans="1:8" x14ac:dyDescent="0.3">
      <c r="A246" s="7">
        <v>45741</v>
      </c>
      <c r="B246">
        <v>4.79</v>
      </c>
      <c r="C246">
        <v>4.68</v>
      </c>
      <c r="D246">
        <v>4.8600000000000003</v>
      </c>
      <c r="E246">
        <v>4.63</v>
      </c>
      <c r="F246" t="s">
        <v>1520</v>
      </c>
      <c r="G246" s="8">
        <v>1.9099999999999999E-2</v>
      </c>
      <c r="H246" s="3">
        <f t="shared" si="3"/>
        <v>1.9148936170212627E-2</v>
      </c>
    </row>
    <row r="247" spans="1:8" x14ac:dyDescent="0.3">
      <c r="A247" s="7">
        <v>45742</v>
      </c>
      <c r="B247">
        <v>4.96</v>
      </c>
      <c r="C247">
        <v>4.75</v>
      </c>
      <c r="D247">
        <v>4.96</v>
      </c>
      <c r="E247">
        <v>4.74</v>
      </c>
      <c r="F247" t="s">
        <v>1519</v>
      </c>
      <c r="G247" s="8">
        <v>3.5499999999999997E-2</v>
      </c>
      <c r="H247" s="3">
        <f t="shared" si="3"/>
        <v>3.5490605427974886E-2</v>
      </c>
    </row>
    <row r="248" spans="1:8" x14ac:dyDescent="0.3">
      <c r="A248" s="7">
        <v>45743</v>
      </c>
      <c r="B248">
        <v>4.8</v>
      </c>
      <c r="C248">
        <v>4.9000000000000004</v>
      </c>
      <c r="D248">
        <v>4.9800000000000004</v>
      </c>
      <c r="E248">
        <v>4.79</v>
      </c>
      <c r="F248" t="s">
        <v>1518</v>
      </c>
      <c r="G248" s="8">
        <v>-3.2300000000000002E-2</v>
      </c>
      <c r="H248" s="3">
        <f t="shared" si="3"/>
        <v>-3.2258064516129115E-2</v>
      </c>
    </row>
    <row r="249" spans="1:8" x14ac:dyDescent="0.3">
      <c r="A249" s="7">
        <v>45744</v>
      </c>
      <c r="B249">
        <v>4.7300000000000004</v>
      </c>
      <c r="C249">
        <v>4.8</v>
      </c>
      <c r="D249">
        <v>4.84</v>
      </c>
      <c r="E249">
        <v>4.6500000000000004</v>
      </c>
      <c r="F249" t="s">
        <v>1517</v>
      </c>
      <c r="G249" s="8">
        <v>-1.46E-2</v>
      </c>
      <c r="H249" s="3">
        <f t="shared" si="3"/>
        <v>-1.4583333333333171E-2</v>
      </c>
    </row>
    <row r="250" spans="1:8" x14ac:dyDescent="0.3">
      <c r="A250" s="7">
        <v>45747</v>
      </c>
      <c r="B250">
        <v>4.51</v>
      </c>
      <c r="C250">
        <v>4.6500000000000004</v>
      </c>
      <c r="D250">
        <v>4.6900000000000004</v>
      </c>
      <c r="E250">
        <v>4.4000000000000004</v>
      </c>
      <c r="F250" t="s">
        <v>1516</v>
      </c>
      <c r="G250" s="8">
        <v>-4.65E-2</v>
      </c>
      <c r="H250" s="3">
        <f t="shared" si="3"/>
        <v>-4.6511627906976827E-2</v>
      </c>
    </row>
    <row r="251" spans="1:8" x14ac:dyDescent="0.3">
      <c r="A251" s="7">
        <v>45748</v>
      </c>
      <c r="B251">
        <v>4.96</v>
      </c>
      <c r="C251">
        <v>4.51</v>
      </c>
      <c r="D251">
        <v>4.96</v>
      </c>
      <c r="E251">
        <v>4.5</v>
      </c>
      <c r="F251" t="s">
        <v>1515</v>
      </c>
      <c r="G251" s="8">
        <v>9.98E-2</v>
      </c>
      <c r="H251" s="3">
        <f t="shared" si="3"/>
        <v>9.9778270509977895E-2</v>
      </c>
    </row>
    <row r="252" spans="1:8" x14ac:dyDescent="0.3">
      <c r="A252" s="7">
        <v>45749</v>
      </c>
      <c r="B252">
        <v>5.04</v>
      </c>
      <c r="C252">
        <v>5.08</v>
      </c>
      <c r="D252">
        <v>5.14</v>
      </c>
      <c r="E252">
        <v>4.8899999999999997</v>
      </c>
      <c r="F252" t="s">
        <v>1514</v>
      </c>
      <c r="G252" s="8">
        <v>1.61E-2</v>
      </c>
      <c r="H252" s="3">
        <f t="shared" si="3"/>
        <v>1.6129032258064502E-2</v>
      </c>
    </row>
    <row r="253" spans="1:8" x14ac:dyDescent="0.3">
      <c r="A253" s="7">
        <v>45750</v>
      </c>
      <c r="B253">
        <v>5.24</v>
      </c>
      <c r="C253">
        <v>5.2</v>
      </c>
      <c r="D253">
        <v>5.5</v>
      </c>
      <c r="E253">
        <v>5.03</v>
      </c>
      <c r="F253" t="s">
        <v>1513</v>
      </c>
      <c r="G253" s="8">
        <v>3.9699999999999999E-2</v>
      </c>
      <c r="H253" s="3">
        <f t="shared" si="3"/>
        <v>3.9682539682539764E-2</v>
      </c>
    </row>
  </sheetData>
  <autoFilter ref="A1:G253" xr:uid="{165AF3F8-4D2F-4D0A-8137-736D0FE08ED0}">
    <sortState xmlns:xlrd2="http://schemas.microsoft.com/office/spreadsheetml/2017/richdata2" ref="A2:G253">
      <sortCondition ref="A1:A253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33AC1-7309-4FCC-BE67-5A31B1F8AB93}">
  <sheetPr codeName="Hoja3">
    <tabColor theme="4" tint="0.39997558519241921"/>
  </sheetPr>
  <dimension ref="A1:L259"/>
  <sheetViews>
    <sheetView topLeftCell="A227" workbookViewId="0">
      <selection activeCell="B2" sqref="B2:B253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45386</v>
      </c>
      <c r="B2">
        <v>43.22</v>
      </c>
      <c r="C2">
        <v>43.32</v>
      </c>
      <c r="D2">
        <v>43.6</v>
      </c>
      <c r="E2">
        <v>43.11</v>
      </c>
      <c r="F2" t="s">
        <v>1168</v>
      </c>
      <c r="G2" s="8">
        <v>-5.4999999999999997E-3</v>
      </c>
      <c r="H2" s="3" t="s">
        <v>11</v>
      </c>
      <c r="J2" t="s">
        <v>12</v>
      </c>
      <c r="K2" s="4">
        <f>AVERAGE(H3:H253)</f>
        <v>1.1692502838245805E-3</v>
      </c>
      <c r="L2" s="5">
        <f>_xlfn.STDEV.S(H3:H253)</f>
        <v>9.7947775491870337E-3</v>
      </c>
    </row>
    <row r="3" spans="1:12" x14ac:dyDescent="0.3">
      <c r="A3" s="7">
        <v>45387</v>
      </c>
      <c r="B3">
        <v>43.95</v>
      </c>
      <c r="C3">
        <v>43.42</v>
      </c>
      <c r="D3">
        <v>44.07</v>
      </c>
      <c r="E3">
        <v>43.35</v>
      </c>
      <c r="F3" t="s">
        <v>507</v>
      </c>
      <c r="G3" s="8">
        <v>1.6899999999999998E-2</v>
      </c>
      <c r="H3" s="3">
        <f>(B3/B2)-1</f>
        <v>1.6890328551596667E-2</v>
      </c>
      <c r="J3" t="s">
        <v>14</v>
      </c>
      <c r="K3" s="6">
        <f>K2*252</f>
        <v>0.29465107152379427</v>
      </c>
      <c r="L3" s="6">
        <f>L2*SQRT(252)</f>
        <v>0.15548727325408568</v>
      </c>
    </row>
    <row r="4" spans="1:12" x14ac:dyDescent="0.3">
      <c r="A4" s="7">
        <v>45390</v>
      </c>
      <c r="B4">
        <v>44.23</v>
      </c>
      <c r="C4">
        <v>44.13</v>
      </c>
      <c r="D4">
        <v>44.29</v>
      </c>
      <c r="E4">
        <v>43.85</v>
      </c>
      <c r="F4" t="s">
        <v>510</v>
      </c>
      <c r="G4" s="8">
        <v>6.4000000000000003E-3</v>
      </c>
      <c r="H4" s="3">
        <f t="shared" ref="H4:H67" si="0">(B4/B3)-1</f>
        <v>6.3708759954492766E-3</v>
      </c>
    </row>
    <row r="5" spans="1:12" x14ac:dyDescent="0.3">
      <c r="A5" s="7">
        <v>45391</v>
      </c>
      <c r="B5">
        <v>44.47</v>
      </c>
      <c r="C5">
        <v>44.5</v>
      </c>
      <c r="D5">
        <v>44.71</v>
      </c>
      <c r="E5">
        <v>44.22</v>
      </c>
      <c r="F5" t="s">
        <v>1167</v>
      </c>
      <c r="G5" s="8">
        <v>5.4000000000000003E-3</v>
      </c>
      <c r="H5" s="3">
        <f t="shared" si="0"/>
        <v>5.4261813248925872E-3</v>
      </c>
    </row>
    <row r="6" spans="1:12" x14ac:dyDescent="0.3">
      <c r="A6" s="7">
        <v>45392</v>
      </c>
      <c r="B6">
        <v>44.04</v>
      </c>
      <c r="C6">
        <v>44.01</v>
      </c>
      <c r="D6">
        <v>44.49</v>
      </c>
      <c r="E6">
        <v>43.86</v>
      </c>
      <c r="F6" t="s">
        <v>1068</v>
      </c>
      <c r="G6" s="8">
        <v>-9.7000000000000003E-3</v>
      </c>
      <c r="H6" s="3">
        <f t="shared" si="0"/>
        <v>-9.6694400719585794E-3</v>
      </c>
    </row>
    <row r="7" spans="1:12" x14ac:dyDescent="0.3">
      <c r="A7" s="7">
        <v>45393</v>
      </c>
      <c r="B7">
        <v>44.89</v>
      </c>
      <c r="C7">
        <v>44.3</v>
      </c>
      <c r="D7">
        <v>44.91</v>
      </c>
      <c r="E7">
        <v>44.11</v>
      </c>
      <c r="F7" t="s">
        <v>332</v>
      </c>
      <c r="G7" s="8">
        <v>1.9300000000000001E-2</v>
      </c>
      <c r="H7" s="3">
        <f t="shared" si="0"/>
        <v>1.9300635785649334E-2</v>
      </c>
    </row>
    <row r="8" spans="1:12" x14ac:dyDescent="0.3">
      <c r="A8" s="7">
        <v>45394</v>
      </c>
      <c r="B8">
        <v>44.3</v>
      </c>
      <c r="C8">
        <v>45.32</v>
      </c>
      <c r="D8">
        <v>45.98</v>
      </c>
      <c r="E8">
        <v>44.13</v>
      </c>
      <c r="F8" t="s">
        <v>1166</v>
      </c>
      <c r="G8" s="8">
        <v>-1.3100000000000001E-2</v>
      </c>
      <c r="H8" s="3">
        <f t="shared" si="0"/>
        <v>-1.3143239028737042E-2</v>
      </c>
    </row>
    <row r="9" spans="1:12" x14ac:dyDescent="0.3">
      <c r="A9" s="7">
        <v>45397</v>
      </c>
      <c r="B9">
        <v>45.13</v>
      </c>
      <c r="C9">
        <v>44.52</v>
      </c>
      <c r="D9">
        <v>45.15</v>
      </c>
      <c r="E9">
        <v>43.95</v>
      </c>
      <c r="F9" t="s">
        <v>1165</v>
      </c>
      <c r="G9" s="8">
        <v>1.8700000000000001E-2</v>
      </c>
      <c r="H9" s="3">
        <f t="shared" si="0"/>
        <v>1.8735891647855718E-2</v>
      </c>
    </row>
    <row r="10" spans="1:12" x14ac:dyDescent="0.3">
      <c r="A10" s="7">
        <v>45398</v>
      </c>
      <c r="B10">
        <v>45.18</v>
      </c>
      <c r="C10">
        <v>44.99</v>
      </c>
      <c r="D10">
        <v>45.35</v>
      </c>
      <c r="E10">
        <v>44.7</v>
      </c>
      <c r="F10" t="s">
        <v>1164</v>
      </c>
      <c r="G10" s="8">
        <v>1.1000000000000001E-3</v>
      </c>
      <c r="H10" s="3">
        <f t="shared" si="0"/>
        <v>1.1079104808331408E-3</v>
      </c>
    </row>
    <row r="11" spans="1:12" x14ac:dyDescent="0.3">
      <c r="A11" s="7">
        <v>45399</v>
      </c>
      <c r="B11">
        <v>44.86</v>
      </c>
      <c r="C11">
        <v>45.17</v>
      </c>
      <c r="D11">
        <v>45.3</v>
      </c>
      <c r="E11">
        <v>44.65</v>
      </c>
      <c r="F11" t="s">
        <v>1163</v>
      </c>
      <c r="G11" s="8">
        <v>-7.1000000000000004E-3</v>
      </c>
      <c r="H11" s="3">
        <f t="shared" si="0"/>
        <v>-7.0827799911464817E-3</v>
      </c>
    </row>
    <row r="12" spans="1:12" x14ac:dyDescent="0.3">
      <c r="A12" s="7">
        <v>45400</v>
      </c>
      <c r="B12">
        <v>45</v>
      </c>
      <c r="C12">
        <v>45.21</v>
      </c>
      <c r="D12">
        <v>45.25</v>
      </c>
      <c r="E12">
        <v>44.81</v>
      </c>
      <c r="F12" t="s">
        <v>1162</v>
      </c>
      <c r="G12" s="8">
        <v>3.0999999999999999E-3</v>
      </c>
      <c r="H12" s="3">
        <f t="shared" si="0"/>
        <v>3.1208203299153414E-3</v>
      </c>
    </row>
    <row r="13" spans="1:12" x14ac:dyDescent="0.3">
      <c r="A13" s="7">
        <v>45401</v>
      </c>
      <c r="B13">
        <v>45.14</v>
      </c>
      <c r="C13">
        <v>45.04</v>
      </c>
      <c r="D13">
        <v>45.43</v>
      </c>
      <c r="E13">
        <v>44.96</v>
      </c>
      <c r="F13" t="s">
        <v>1161</v>
      </c>
      <c r="G13" s="8">
        <v>3.0999999999999999E-3</v>
      </c>
      <c r="H13" s="3">
        <f t="shared" si="0"/>
        <v>3.1111111111110645E-3</v>
      </c>
    </row>
    <row r="14" spans="1:12" x14ac:dyDescent="0.3">
      <c r="A14" s="7">
        <v>45404</v>
      </c>
      <c r="B14">
        <v>44.04</v>
      </c>
      <c r="C14">
        <v>44.19</v>
      </c>
      <c r="D14">
        <v>44.32</v>
      </c>
      <c r="E14">
        <v>43.96</v>
      </c>
      <c r="F14" t="s">
        <v>397</v>
      </c>
      <c r="G14" s="8">
        <v>-2.4400000000000002E-2</v>
      </c>
      <c r="H14" s="3">
        <f t="shared" si="0"/>
        <v>-2.436863092600805E-2</v>
      </c>
    </row>
    <row r="15" spans="1:12" x14ac:dyDescent="0.3">
      <c r="A15" s="7">
        <v>45405</v>
      </c>
      <c r="B15">
        <v>43.91</v>
      </c>
      <c r="C15">
        <v>43.72</v>
      </c>
      <c r="D15">
        <v>44.1</v>
      </c>
      <c r="E15">
        <v>43.69</v>
      </c>
      <c r="F15" t="s">
        <v>512</v>
      </c>
      <c r="G15" s="8">
        <v>-3.0000000000000001E-3</v>
      </c>
      <c r="H15" s="3">
        <f t="shared" si="0"/>
        <v>-2.9518619436875726E-3</v>
      </c>
    </row>
    <row r="16" spans="1:12" x14ac:dyDescent="0.3">
      <c r="A16" s="7">
        <v>45406</v>
      </c>
      <c r="B16">
        <v>43.86</v>
      </c>
      <c r="C16">
        <v>43.88</v>
      </c>
      <c r="D16">
        <v>44.2</v>
      </c>
      <c r="E16">
        <v>43.8</v>
      </c>
      <c r="F16" t="s">
        <v>369</v>
      </c>
      <c r="G16" s="8">
        <v>-1.1000000000000001E-3</v>
      </c>
      <c r="H16" s="3">
        <f t="shared" si="0"/>
        <v>-1.1386927806876779E-3</v>
      </c>
    </row>
    <row r="17" spans="1:8" x14ac:dyDescent="0.3">
      <c r="A17" s="7">
        <v>45407</v>
      </c>
      <c r="B17">
        <v>44.11</v>
      </c>
      <c r="C17">
        <v>43.81</v>
      </c>
      <c r="D17">
        <v>44.34</v>
      </c>
      <c r="E17">
        <v>43.79</v>
      </c>
      <c r="F17" t="s">
        <v>520</v>
      </c>
      <c r="G17" s="8">
        <v>5.7000000000000002E-3</v>
      </c>
      <c r="H17" s="3">
        <f t="shared" si="0"/>
        <v>5.6999544003648595E-3</v>
      </c>
    </row>
    <row r="18" spans="1:8" x14ac:dyDescent="0.3">
      <c r="A18" s="7">
        <v>45408</v>
      </c>
      <c r="B18">
        <v>44.26</v>
      </c>
      <c r="C18">
        <v>44.29</v>
      </c>
      <c r="D18">
        <v>44.34</v>
      </c>
      <c r="E18">
        <v>44.04</v>
      </c>
      <c r="F18" t="s">
        <v>377</v>
      </c>
      <c r="G18" s="8">
        <v>3.3999999999999998E-3</v>
      </c>
      <c r="H18" s="3">
        <f t="shared" si="0"/>
        <v>3.4005894355020327E-3</v>
      </c>
    </row>
    <row r="19" spans="1:8" x14ac:dyDescent="0.3">
      <c r="A19" s="7">
        <v>45411</v>
      </c>
      <c r="B19">
        <v>44.16</v>
      </c>
      <c r="C19">
        <v>44.14</v>
      </c>
      <c r="D19">
        <v>44.38</v>
      </c>
      <c r="E19">
        <v>43.98</v>
      </c>
      <c r="F19" t="s">
        <v>1160</v>
      </c>
      <c r="G19" s="8">
        <v>-2.3E-3</v>
      </c>
      <c r="H19" s="3">
        <f t="shared" si="0"/>
        <v>-2.25937641211027E-3</v>
      </c>
    </row>
    <row r="20" spans="1:8" x14ac:dyDescent="0.3">
      <c r="A20" s="7">
        <v>45412</v>
      </c>
      <c r="B20">
        <v>43.3</v>
      </c>
      <c r="C20">
        <v>43.59</v>
      </c>
      <c r="D20">
        <v>43.74</v>
      </c>
      <c r="E20">
        <v>43.28</v>
      </c>
      <c r="F20" t="s">
        <v>486</v>
      </c>
      <c r="G20" s="8">
        <v>-1.95E-2</v>
      </c>
      <c r="H20" s="3">
        <f t="shared" si="0"/>
        <v>-1.9474637681159424E-2</v>
      </c>
    </row>
    <row r="21" spans="1:8" x14ac:dyDescent="0.3">
      <c r="A21" s="7">
        <v>45413</v>
      </c>
      <c r="B21">
        <v>43.69</v>
      </c>
      <c r="C21">
        <v>43.52</v>
      </c>
      <c r="D21">
        <v>44.03</v>
      </c>
      <c r="E21">
        <v>43.4</v>
      </c>
      <c r="F21" t="s">
        <v>1159</v>
      </c>
      <c r="G21" s="8">
        <v>8.9999999999999993E-3</v>
      </c>
      <c r="H21" s="3">
        <f t="shared" si="0"/>
        <v>9.0069284064664412E-3</v>
      </c>
    </row>
    <row r="22" spans="1:8" x14ac:dyDescent="0.3">
      <c r="A22" s="7">
        <v>45414</v>
      </c>
      <c r="B22">
        <v>43.55</v>
      </c>
      <c r="C22">
        <v>43.31</v>
      </c>
      <c r="D22">
        <v>43.66</v>
      </c>
      <c r="E22">
        <v>43.21</v>
      </c>
      <c r="F22" t="s">
        <v>523</v>
      </c>
      <c r="G22" s="8">
        <v>-3.2000000000000002E-3</v>
      </c>
      <c r="H22" s="3">
        <f t="shared" si="0"/>
        <v>-3.2043945983062372E-3</v>
      </c>
    </row>
    <row r="23" spans="1:8" x14ac:dyDescent="0.3">
      <c r="A23" s="7">
        <v>45415</v>
      </c>
      <c r="B23">
        <v>43.52</v>
      </c>
      <c r="C23">
        <v>43.5</v>
      </c>
      <c r="D23">
        <v>43.56</v>
      </c>
      <c r="E23">
        <v>43.05</v>
      </c>
      <c r="F23" t="s">
        <v>1158</v>
      </c>
      <c r="G23" s="8">
        <v>-6.9999999999999999E-4</v>
      </c>
      <c r="H23" s="3">
        <f t="shared" si="0"/>
        <v>-6.88863375430393E-4</v>
      </c>
    </row>
    <row r="24" spans="1:8" x14ac:dyDescent="0.3">
      <c r="A24" s="7">
        <v>45418</v>
      </c>
      <c r="B24">
        <v>43.95</v>
      </c>
      <c r="C24">
        <v>43.97</v>
      </c>
      <c r="D24">
        <v>44.11</v>
      </c>
      <c r="E24">
        <v>43.82</v>
      </c>
      <c r="F24" t="s">
        <v>1157</v>
      </c>
      <c r="G24" s="8">
        <v>9.9000000000000008E-3</v>
      </c>
      <c r="H24" s="3">
        <f t="shared" si="0"/>
        <v>9.8805147058822484E-3</v>
      </c>
    </row>
    <row r="25" spans="1:8" x14ac:dyDescent="0.3">
      <c r="A25" s="7">
        <v>45419</v>
      </c>
      <c r="B25">
        <v>43.76</v>
      </c>
      <c r="C25">
        <v>43.84</v>
      </c>
      <c r="D25">
        <v>43.92</v>
      </c>
      <c r="E25">
        <v>43.7</v>
      </c>
      <c r="F25" t="s">
        <v>1156</v>
      </c>
      <c r="G25" s="8">
        <v>-4.3E-3</v>
      </c>
      <c r="H25" s="3">
        <f t="shared" si="0"/>
        <v>-4.3230944254836201E-3</v>
      </c>
    </row>
    <row r="26" spans="1:8" x14ac:dyDescent="0.3">
      <c r="A26" s="7">
        <v>45420</v>
      </c>
      <c r="B26">
        <v>43.65</v>
      </c>
      <c r="C26">
        <v>43.64</v>
      </c>
      <c r="D26">
        <v>43.89</v>
      </c>
      <c r="E26">
        <v>43.62</v>
      </c>
      <c r="F26" t="s">
        <v>1134</v>
      </c>
      <c r="G26" s="8">
        <v>-2.5000000000000001E-3</v>
      </c>
      <c r="H26" s="3">
        <f t="shared" si="0"/>
        <v>-2.5137111517367083E-3</v>
      </c>
    </row>
    <row r="27" spans="1:8" x14ac:dyDescent="0.3">
      <c r="A27" s="7">
        <v>45421</v>
      </c>
      <c r="B27">
        <v>44.33</v>
      </c>
      <c r="C27">
        <v>43.83</v>
      </c>
      <c r="D27">
        <v>44.33</v>
      </c>
      <c r="E27">
        <v>43.81</v>
      </c>
      <c r="F27" t="s">
        <v>1155</v>
      </c>
      <c r="G27" s="8">
        <v>1.5599999999999999E-2</v>
      </c>
      <c r="H27" s="3">
        <f t="shared" si="0"/>
        <v>1.557846506300109E-2</v>
      </c>
    </row>
    <row r="28" spans="1:8" x14ac:dyDescent="0.3">
      <c r="A28" s="7">
        <v>45422</v>
      </c>
      <c r="B28">
        <v>44.68</v>
      </c>
      <c r="C28">
        <v>44.78</v>
      </c>
      <c r="D28">
        <v>44.87</v>
      </c>
      <c r="E28">
        <v>44.56</v>
      </c>
      <c r="F28" t="s">
        <v>1154</v>
      </c>
      <c r="G28" s="8">
        <v>7.9000000000000008E-3</v>
      </c>
      <c r="H28" s="3">
        <f t="shared" si="0"/>
        <v>7.8953304759756815E-3</v>
      </c>
    </row>
    <row r="29" spans="1:8" x14ac:dyDescent="0.3">
      <c r="A29" s="7">
        <v>45425</v>
      </c>
      <c r="B29">
        <v>44.2</v>
      </c>
      <c r="C29">
        <v>44.35</v>
      </c>
      <c r="D29">
        <v>44.4</v>
      </c>
      <c r="E29">
        <v>44.1</v>
      </c>
      <c r="F29" t="s">
        <v>1080</v>
      </c>
      <c r="G29" s="8">
        <v>-1.0699999999999999E-2</v>
      </c>
      <c r="H29" s="3">
        <f t="shared" si="0"/>
        <v>-1.0743061772605089E-2</v>
      </c>
    </row>
    <row r="30" spans="1:8" x14ac:dyDescent="0.3">
      <c r="A30" s="7">
        <v>45426</v>
      </c>
      <c r="B30">
        <v>44.57</v>
      </c>
      <c r="C30">
        <v>44.4</v>
      </c>
      <c r="D30">
        <v>44.62</v>
      </c>
      <c r="E30">
        <v>44.33</v>
      </c>
      <c r="F30" t="s">
        <v>789</v>
      </c>
      <c r="G30" s="8">
        <v>8.3999999999999995E-3</v>
      </c>
      <c r="H30" s="3">
        <f t="shared" si="0"/>
        <v>8.3710407239818707E-3</v>
      </c>
    </row>
    <row r="31" spans="1:8" x14ac:dyDescent="0.3">
      <c r="A31" s="7">
        <v>45427</v>
      </c>
      <c r="B31">
        <v>45.13</v>
      </c>
      <c r="C31">
        <v>44.76</v>
      </c>
      <c r="D31">
        <v>45.19</v>
      </c>
      <c r="E31">
        <v>44.47</v>
      </c>
      <c r="F31" t="s">
        <v>516</v>
      </c>
      <c r="G31" s="8">
        <v>1.26E-2</v>
      </c>
      <c r="H31" s="3">
        <f t="shared" si="0"/>
        <v>1.2564505272604887E-2</v>
      </c>
    </row>
    <row r="32" spans="1:8" x14ac:dyDescent="0.3">
      <c r="A32" s="7">
        <v>45428</v>
      </c>
      <c r="B32">
        <v>44.97</v>
      </c>
      <c r="C32">
        <v>44.98</v>
      </c>
      <c r="D32">
        <v>45.07</v>
      </c>
      <c r="E32">
        <v>44.83</v>
      </c>
      <c r="F32" t="s">
        <v>54</v>
      </c>
      <c r="G32" s="8">
        <v>-3.5000000000000001E-3</v>
      </c>
      <c r="H32" s="3">
        <f t="shared" si="0"/>
        <v>-3.5453135386661616E-3</v>
      </c>
    </row>
    <row r="33" spans="1:8" x14ac:dyDescent="0.3">
      <c r="A33" s="7">
        <v>45429</v>
      </c>
      <c r="B33">
        <v>45.69</v>
      </c>
      <c r="C33">
        <v>45.4</v>
      </c>
      <c r="D33">
        <v>45.74</v>
      </c>
      <c r="E33">
        <v>45.3</v>
      </c>
      <c r="F33" t="s">
        <v>1153</v>
      </c>
      <c r="G33" s="8">
        <v>1.6E-2</v>
      </c>
      <c r="H33" s="3">
        <f t="shared" si="0"/>
        <v>1.6010673782521634E-2</v>
      </c>
    </row>
    <row r="34" spans="1:8" x14ac:dyDescent="0.3">
      <c r="A34" s="7">
        <v>45432</v>
      </c>
      <c r="B34">
        <v>45.89</v>
      </c>
      <c r="C34">
        <v>45.73</v>
      </c>
      <c r="D34">
        <v>46.08</v>
      </c>
      <c r="E34">
        <v>45.57</v>
      </c>
      <c r="F34" t="s">
        <v>1152</v>
      </c>
      <c r="G34" s="8">
        <v>4.4000000000000003E-3</v>
      </c>
      <c r="H34" s="3">
        <f t="shared" si="0"/>
        <v>4.3773254541474849E-3</v>
      </c>
    </row>
    <row r="35" spans="1:8" x14ac:dyDescent="0.3">
      <c r="A35" s="7">
        <v>45433</v>
      </c>
      <c r="B35">
        <v>45.82</v>
      </c>
      <c r="C35">
        <v>45.92</v>
      </c>
      <c r="D35">
        <v>46.01</v>
      </c>
      <c r="E35">
        <v>45.71</v>
      </c>
      <c r="F35" t="s">
        <v>246</v>
      </c>
      <c r="G35" s="8">
        <v>-1.5E-3</v>
      </c>
      <c r="H35" s="3">
        <f t="shared" si="0"/>
        <v>-1.525386794508643E-3</v>
      </c>
    </row>
    <row r="36" spans="1:8" x14ac:dyDescent="0.3">
      <c r="A36" s="7">
        <v>45434</v>
      </c>
      <c r="B36">
        <v>44.99</v>
      </c>
      <c r="C36">
        <v>45.59</v>
      </c>
      <c r="D36">
        <v>45.61</v>
      </c>
      <c r="E36">
        <v>44.9</v>
      </c>
      <c r="F36" t="s">
        <v>1151</v>
      </c>
      <c r="G36" s="8">
        <v>-1.8100000000000002E-2</v>
      </c>
      <c r="H36" s="3">
        <f t="shared" si="0"/>
        <v>-1.8114360541248375E-2</v>
      </c>
    </row>
    <row r="37" spans="1:8" x14ac:dyDescent="0.3">
      <c r="A37" s="7">
        <v>45435</v>
      </c>
      <c r="B37">
        <v>44.07</v>
      </c>
      <c r="C37">
        <v>44.69</v>
      </c>
      <c r="D37">
        <v>44.79</v>
      </c>
      <c r="E37">
        <v>44.07</v>
      </c>
      <c r="F37" t="s">
        <v>1094</v>
      </c>
      <c r="G37" s="8">
        <v>-2.0400000000000001E-2</v>
      </c>
      <c r="H37" s="3">
        <f t="shared" si="0"/>
        <v>-2.0448988664147572E-2</v>
      </c>
    </row>
    <row r="38" spans="1:8" x14ac:dyDescent="0.3">
      <c r="A38" s="7">
        <v>45436</v>
      </c>
      <c r="B38">
        <v>44.12</v>
      </c>
      <c r="C38">
        <v>44.34</v>
      </c>
      <c r="D38">
        <v>44.38</v>
      </c>
      <c r="E38">
        <v>44.08</v>
      </c>
      <c r="F38" t="s">
        <v>378</v>
      </c>
      <c r="G38" s="8">
        <v>1.1000000000000001E-3</v>
      </c>
      <c r="H38" s="3">
        <f t="shared" si="0"/>
        <v>1.1345586566824384E-3</v>
      </c>
    </row>
    <row r="39" spans="1:8" x14ac:dyDescent="0.3">
      <c r="A39" s="7">
        <v>45440</v>
      </c>
      <c r="B39">
        <v>44.57</v>
      </c>
      <c r="C39">
        <v>44.64</v>
      </c>
      <c r="D39">
        <v>44.67</v>
      </c>
      <c r="E39">
        <v>44.38</v>
      </c>
      <c r="F39" t="s">
        <v>1150</v>
      </c>
      <c r="G39" s="8">
        <v>1.0200000000000001E-2</v>
      </c>
      <c r="H39" s="3">
        <f t="shared" si="0"/>
        <v>1.0199456029011955E-2</v>
      </c>
    </row>
    <row r="40" spans="1:8" x14ac:dyDescent="0.3">
      <c r="A40" s="7">
        <v>45441</v>
      </c>
      <c r="B40">
        <v>44.16</v>
      </c>
      <c r="C40">
        <v>44.31</v>
      </c>
      <c r="D40">
        <v>44.36</v>
      </c>
      <c r="E40">
        <v>44.16</v>
      </c>
      <c r="F40" t="s">
        <v>328</v>
      </c>
      <c r="G40" s="8">
        <v>-9.1999999999999998E-3</v>
      </c>
      <c r="H40" s="3">
        <f t="shared" si="0"/>
        <v>-9.1990127888714746E-3</v>
      </c>
    </row>
    <row r="41" spans="1:8" x14ac:dyDescent="0.3">
      <c r="A41" s="7">
        <v>45442</v>
      </c>
      <c r="B41">
        <v>44.24</v>
      </c>
      <c r="C41">
        <v>44.27</v>
      </c>
      <c r="D41">
        <v>44.44</v>
      </c>
      <c r="E41">
        <v>44.22</v>
      </c>
      <c r="F41" t="s">
        <v>1149</v>
      </c>
      <c r="G41" s="8">
        <v>1.8E-3</v>
      </c>
      <c r="H41" s="3">
        <f t="shared" si="0"/>
        <v>1.8115942028986698E-3</v>
      </c>
    </row>
    <row r="42" spans="1:8" x14ac:dyDescent="0.3">
      <c r="A42" s="7">
        <v>45443</v>
      </c>
      <c r="B42">
        <v>43.99</v>
      </c>
      <c r="C42">
        <v>44.5</v>
      </c>
      <c r="D42">
        <v>44.53</v>
      </c>
      <c r="E42">
        <v>43.87</v>
      </c>
      <c r="F42" t="s">
        <v>13</v>
      </c>
      <c r="G42" s="8">
        <v>-5.7000000000000002E-3</v>
      </c>
      <c r="H42" s="3">
        <f t="shared" si="0"/>
        <v>-5.6509945750452539E-3</v>
      </c>
    </row>
    <row r="43" spans="1:8" x14ac:dyDescent="0.3">
      <c r="A43" s="7">
        <v>45446</v>
      </c>
      <c r="B43">
        <v>44.39</v>
      </c>
      <c r="C43">
        <v>44.11</v>
      </c>
      <c r="D43">
        <v>44.51</v>
      </c>
      <c r="E43">
        <v>44.05</v>
      </c>
      <c r="F43" t="s">
        <v>372</v>
      </c>
      <c r="G43" s="8">
        <v>9.1000000000000004E-3</v>
      </c>
      <c r="H43" s="3">
        <f t="shared" si="0"/>
        <v>9.0929756762900826E-3</v>
      </c>
    </row>
    <row r="44" spans="1:8" x14ac:dyDescent="0.3">
      <c r="A44" s="7">
        <v>45447</v>
      </c>
      <c r="B44">
        <v>43.98</v>
      </c>
      <c r="C44">
        <v>44.18</v>
      </c>
      <c r="D44">
        <v>44.19</v>
      </c>
      <c r="E44">
        <v>43.77</v>
      </c>
      <c r="F44" t="s">
        <v>47</v>
      </c>
      <c r="G44" s="8">
        <v>-9.1999999999999998E-3</v>
      </c>
      <c r="H44" s="3">
        <f t="shared" si="0"/>
        <v>-9.2363144852445345E-3</v>
      </c>
    </row>
    <row r="45" spans="1:8" x14ac:dyDescent="0.3">
      <c r="A45" s="7">
        <v>45448</v>
      </c>
      <c r="B45">
        <v>44.49</v>
      </c>
      <c r="C45">
        <v>44.27</v>
      </c>
      <c r="D45">
        <v>44.57</v>
      </c>
      <c r="E45">
        <v>44.12</v>
      </c>
      <c r="F45" t="s">
        <v>152</v>
      </c>
      <c r="G45" s="8">
        <v>1.1599999999999999E-2</v>
      </c>
      <c r="H45" s="3">
        <f t="shared" si="0"/>
        <v>1.1596180081855589E-2</v>
      </c>
    </row>
    <row r="46" spans="1:8" x14ac:dyDescent="0.3">
      <c r="A46" s="7">
        <v>45449</v>
      </c>
      <c r="B46">
        <v>44.84</v>
      </c>
      <c r="C46">
        <v>44.62</v>
      </c>
      <c r="D46">
        <v>44.95</v>
      </c>
      <c r="E46">
        <v>44.57</v>
      </c>
      <c r="F46" t="s">
        <v>1148</v>
      </c>
      <c r="G46" s="8">
        <v>7.9000000000000008E-3</v>
      </c>
      <c r="H46" s="3">
        <f t="shared" si="0"/>
        <v>7.8669363901999745E-3</v>
      </c>
    </row>
    <row r="47" spans="1:8" x14ac:dyDescent="0.3">
      <c r="A47" s="7">
        <v>45450</v>
      </c>
      <c r="B47">
        <v>43.24</v>
      </c>
      <c r="C47">
        <v>43.96</v>
      </c>
      <c r="D47">
        <v>43.97</v>
      </c>
      <c r="E47">
        <v>43.24</v>
      </c>
      <c r="F47" t="s">
        <v>1147</v>
      </c>
      <c r="G47" s="8">
        <v>-3.5700000000000003E-2</v>
      </c>
      <c r="H47" s="3">
        <f t="shared" si="0"/>
        <v>-3.5682426404995526E-2</v>
      </c>
    </row>
    <row r="48" spans="1:8" x14ac:dyDescent="0.3">
      <c r="A48" s="7">
        <v>45453</v>
      </c>
      <c r="B48">
        <v>43.63</v>
      </c>
      <c r="C48">
        <v>43.55</v>
      </c>
      <c r="D48">
        <v>43.74</v>
      </c>
      <c r="E48">
        <v>43.48</v>
      </c>
      <c r="F48" t="s">
        <v>147</v>
      </c>
      <c r="G48" s="8">
        <v>8.9999999999999993E-3</v>
      </c>
      <c r="H48" s="3">
        <f t="shared" si="0"/>
        <v>9.0194264569842808E-3</v>
      </c>
    </row>
    <row r="49" spans="1:8" x14ac:dyDescent="0.3">
      <c r="A49" s="7">
        <v>45454</v>
      </c>
      <c r="B49">
        <v>43.77</v>
      </c>
      <c r="C49">
        <v>43.72</v>
      </c>
      <c r="D49">
        <v>43.81</v>
      </c>
      <c r="E49">
        <v>43.58</v>
      </c>
      <c r="F49" t="s">
        <v>24</v>
      </c>
      <c r="G49" s="8">
        <v>3.2000000000000002E-3</v>
      </c>
      <c r="H49" s="3">
        <f t="shared" si="0"/>
        <v>3.2088012835205237E-3</v>
      </c>
    </row>
    <row r="50" spans="1:8" x14ac:dyDescent="0.3">
      <c r="A50" s="7">
        <v>45455</v>
      </c>
      <c r="B50">
        <v>43.88</v>
      </c>
      <c r="C50">
        <v>44.24</v>
      </c>
      <c r="D50">
        <v>44.25</v>
      </c>
      <c r="E50">
        <v>43.77</v>
      </c>
      <c r="F50" t="s">
        <v>388</v>
      </c>
      <c r="G50" s="8">
        <v>2.5000000000000001E-3</v>
      </c>
      <c r="H50" s="3">
        <f t="shared" si="0"/>
        <v>2.5131368517248287E-3</v>
      </c>
    </row>
    <row r="51" spans="1:8" x14ac:dyDescent="0.3">
      <c r="A51" s="7">
        <v>45456</v>
      </c>
      <c r="B51">
        <v>43.53</v>
      </c>
      <c r="C51">
        <v>43.82</v>
      </c>
      <c r="D51">
        <v>43.93</v>
      </c>
      <c r="E51">
        <v>43.38</v>
      </c>
      <c r="F51" t="s">
        <v>213</v>
      </c>
      <c r="G51" s="8">
        <v>-8.0000000000000002E-3</v>
      </c>
      <c r="H51" s="3">
        <f t="shared" si="0"/>
        <v>-7.9762989972652631E-3</v>
      </c>
    </row>
    <row r="52" spans="1:8" x14ac:dyDescent="0.3">
      <c r="A52" s="7">
        <v>45457</v>
      </c>
      <c r="B52">
        <v>44.08</v>
      </c>
      <c r="C52">
        <v>43.99</v>
      </c>
      <c r="D52">
        <v>44.15</v>
      </c>
      <c r="E52">
        <v>43.93</v>
      </c>
      <c r="F52" t="s">
        <v>45</v>
      </c>
      <c r="G52" s="8">
        <v>1.26E-2</v>
      </c>
      <c r="H52" s="3">
        <f t="shared" si="0"/>
        <v>1.2634964392373105E-2</v>
      </c>
    </row>
    <row r="53" spans="1:8" x14ac:dyDescent="0.3">
      <c r="A53" s="7">
        <v>45460</v>
      </c>
      <c r="B53">
        <v>43.85</v>
      </c>
      <c r="C53">
        <v>43.91</v>
      </c>
      <c r="D53">
        <v>43.98</v>
      </c>
      <c r="E53">
        <v>43.65</v>
      </c>
      <c r="F53" t="s">
        <v>115</v>
      </c>
      <c r="G53" s="8">
        <v>-5.1999999999999998E-3</v>
      </c>
      <c r="H53" s="3">
        <f t="shared" si="0"/>
        <v>-5.2177858439200753E-3</v>
      </c>
    </row>
    <row r="54" spans="1:8" x14ac:dyDescent="0.3">
      <c r="A54" s="7">
        <v>45461</v>
      </c>
      <c r="B54">
        <v>44.03</v>
      </c>
      <c r="C54">
        <v>43.8</v>
      </c>
      <c r="D54">
        <v>44.1</v>
      </c>
      <c r="E54">
        <v>43.74</v>
      </c>
      <c r="F54" t="s">
        <v>395</v>
      </c>
      <c r="G54" s="8">
        <v>4.1000000000000003E-3</v>
      </c>
      <c r="H54" s="3">
        <f t="shared" si="0"/>
        <v>4.10490307867728E-3</v>
      </c>
    </row>
    <row r="55" spans="1:8" x14ac:dyDescent="0.3">
      <c r="A55" s="7">
        <v>45463</v>
      </c>
      <c r="B55">
        <v>44.58</v>
      </c>
      <c r="C55">
        <v>44.21</v>
      </c>
      <c r="D55">
        <v>44.69</v>
      </c>
      <c r="E55">
        <v>44.17</v>
      </c>
      <c r="F55" t="s">
        <v>1080</v>
      </c>
      <c r="G55" s="8">
        <v>1.2500000000000001E-2</v>
      </c>
      <c r="H55" s="3">
        <f t="shared" si="0"/>
        <v>1.2491483079718257E-2</v>
      </c>
    </row>
    <row r="56" spans="1:8" x14ac:dyDescent="0.3">
      <c r="A56" s="7">
        <v>45464</v>
      </c>
      <c r="B56">
        <v>43.89</v>
      </c>
      <c r="C56">
        <v>44.52</v>
      </c>
      <c r="D56">
        <v>44.53</v>
      </c>
      <c r="E56">
        <v>43.78</v>
      </c>
      <c r="F56" t="s">
        <v>343</v>
      </c>
      <c r="G56" s="8">
        <v>-1.55E-2</v>
      </c>
      <c r="H56" s="3">
        <f t="shared" si="0"/>
        <v>-1.5477792732166873E-2</v>
      </c>
    </row>
    <row r="57" spans="1:8" x14ac:dyDescent="0.3">
      <c r="A57" s="7">
        <v>45467</v>
      </c>
      <c r="B57">
        <v>44.08</v>
      </c>
      <c r="C57">
        <v>44.05</v>
      </c>
      <c r="D57">
        <v>44.13</v>
      </c>
      <c r="E57">
        <v>43.98</v>
      </c>
      <c r="F57" t="s">
        <v>111</v>
      </c>
      <c r="G57" s="8">
        <v>4.3E-3</v>
      </c>
      <c r="H57" s="3">
        <f t="shared" si="0"/>
        <v>4.3290043290042934E-3</v>
      </c>
    </row>
    <row r="58" spans="1:8" x14ac:dyDescent="0.3">
      <c r="A58" s="7">
        <v>45468</v>
      </c>
      <c r="B58">
        <v>43.85</v>
      </c>
      <c r="C58">
        <v>43.93</v>
      </c>
      <c r="D58">
        <v>44</v>
      </c>
      <c r="E58">
        <v>43.76</v>
      </c>
      <c r="F58" t="s">
        <v>274</v>
      </c>
      <c r="G58" s="8">
        <v>-5.1999999999999998E-3</v>
      </c>
      <c r="H58" s="3">
        <f t="shared" si="0"/>
        <v>-5.2177858439200753E-3</v>
      </c>
    </row>
    <row r="59" spans="1:8" x14ac:dyDescent="0.3">
      <c r="A59" s="7">
        <v>45469</v>
      </c>
      <c r="B59">
        <v>43.46</v>
      </c>
      <c r="C59">
        <v>43.41</v>
      </c>
      <c r="D59">
        <v>43.54</v>
      </c>
      <c r="E59">
        <v>43.35</v>
      </c>
      <c r="F59" t="s">
        <v>399</v>
      </c>
      <c r="G59" s="8">
        <v>-8.8999999999999999E-3</v>
      </c>
      <c r="H59" s="3">
        <f t="shared" si="0"/>
        <v>-8.893956670467551E-3</v>
      </c>
    </row>
    <row r="60" spans="1:8" x14ac:dyDescent="0.3">
      <c r="A60" s="7">
        <v>45470</v>
      </c>
      <c r="B60">
        <v>43.96</v>
      </c>
      <c r="C60">
        <v>43.88</v>
      </c>
      <c r="D60">
        <v>44.03</v>
      </c>
      <c r="E60">
        <v>43.82</v>
      </c>
      <c r="F60" t="s">
        <v>285</v>
      </c>
      <c r="G60" s="8">
        <v>1.15E-2</v>
      </c>
      <c r="H60" s="3">
        <f t="shared" si="0"/>
        <v>1.1504832029452405E-2</v>
      </c>
    </row>
    <row r="61" spans="1:8" x14ac:dyDescent="0.3">
      <c r="A61" s="7">
        <v>45471</v>
      </c>
      <c r="B61">
        <v>43.93</v>
      </c>
      <c r="C61">
        <v>44.05</v>
      </c>
      <c r="D61">
        <v>44.1</v>
      </c>
      <c r="E61">
        <v>43.9</v>
      </c>
      <c r="F61" t="s">
        <v>194</v>
      </c>
      <c r="G61" s="8">
        <v>-6.9999999999999999E-4</v>
      </c>
      <c r="H61" s="3">
        <f t="shared" si="0"/>
        <v>-6.8243858052774442E-4</v>
      </c>
    </row>
    <row r="62" spans="1:8" x14ac:dyDescent="0.3">
      <c r="A62" s="7">
        <v>45474</v>
      </c>
      <c r="B62">
        <v>44.06</v>
      </c>
      <c r="C62">
        <v>43.99</v>
      </c>
      <c r="D62">
        <v>44.11</v>
      </c>
      <c r="E62">
        <v>43.84</v>
      </c>
      <c r="F62" t="s">
        <v>305</v>
      </c>
      <c r="G62" s="8">
        <v>3.0000000000000001E-3</v>
      </c>
      <c r="H62" s="3">
        <f t="shared" si="0"/>
        <v>2.9592533576143776E-3</v>
      </c>
    </row>
    <row r="63" spans="1:8" x14ac:dyDescent="0.3">
      <c r="A63" s="7">
        <v>45475</v>
      </c>
      <c r="B63">
        <v>44.06</v>
      </c>
      <c r="C63">
        <v>44</v>
      </c>
      <c r="D63">
        <v>44.15</v>
      </c>
      <c r="E63">
        <v>43.87</v>
      </c>
      <c r="F63" t="s">
        <v>1130</v>
      </c>
      <c r="G63" s="8">
        <v>0</v>
      </c>
      <c r="H63" s="3">
        <f t="shared" si="0"/>
        <v>0</v>
      </c>
    </row>
    <row r="64" spans="1:8" x14ac:dyDescent="0.3">
      <c r="A64" s="7">
        <v>45476</v>
      </c>
      <c r="B64">
        <v>44.55</v>
      </c>
      <c r="C64">
        <v>44.41</v>
      </c>
      <c r="D64">
        <v>44.69</v>
      </c>
      <c r="E64">
        <v>44.41</v>
      </c>
      <c r="F64" t="s">
        <v>86</v>
      </c>
      <c r="G64" s="8">
        <v>1.11E-2</v>
      </c>
      <c r="H64" s="3">
        <f t="shared" si="0"/>
        <v>1.112119836586456E-2</v>
      </c>
    </row>
    <row r="65" spans="1:8" x14ac:dyDescent="0.3">
      <c r="A65" s="7">
        <v>45478</v>
      </c>
      <c r="B65">
        <v>45.15</v>
      </c>
      <c r="C65">
        <v>44.88</v>
      </c>
      <c r="D65">
        <v>45.22</v>
      </c>
      <c r="E65">
        <v>44.87</v>
      </c>
      <c r="F65" t="s">
        <v>1146</v>
      </c>
      <c r="G65" s="8">
        <v>1.35E-2</v>
      </c>
      <c r="H65" s="3">
        <f t="shared" si="0"/>
        <v>1.3468013468013407E-2</v>
      </c>
    </row>
    <row r="66" spans="1:8" x14ac:dyDescent="0.3">
      <c r="A66" s="7">
        <v>45481</v>
      </c>
      <c r="B66">
        <v>44.6</v>
      </c>
      <c r="C66">
        <v>44.89</v>
      </c>
      <c r="D66">
        <v>44.97</v>
      </c>
      <c r="E66">
        <v>44.44</v>
      </c>
      <c r="F66" t="s">
        <v>330</v>
      </c>
      <c r="G66" s="8">
        <v>-1.2200000000000001E-2</v>
      </c>
      <c r="H66" s="3">
        <f t="shared" si="0"/>
        <v>-1.2181616832779518E-2</v>
      </c>
    </row>
    <row r="67" spans="1:8" x14ac:dyDescent="0.3">
      <c r="A67" s="7">
        <v>45482</v>
      </c>
      <c r="B67">
        <v>44.66</v>
      </c>
      <c r="C67">
        <v>44.67</v>
      </c>
      <c r="D67">
        <v>44.81</v>
      </c>
      <c r="E67">
        <v>44.4</v>
      </c>
      <c r="F67" t="s">
        <v>112</v>
      </c>
      <c r="G67" s="8">
        <v>1.2999999999999999E-3</v>
      </c>
      <c r="H67" s="3">
        <f t="shared" si="0"/>
        <v>1.3452914798204318E-3</v>
      </c>
    </row>
    <row r="68" spans="1:8" x14ac:dyDescent="0.3">
      <c r="A68" s="7">
        <v>45483</v>
      </c>
      <c r="B68">
        <v>44.83</v>
      </c>
      <c r="C68">
        <v>44.99</v>
      </c>
      <c r="D68">
        <v>45.1</v>
      </c>
      <c r="E68">
        <v>44.78</v>
      </c>
      <c r="F68" t="s">
        <v>1128</v>
      </c>
      <c r="G68" s="8">
        <v>3.8E-3</v>
      </c>
      <c r="H68" s="3">
        <f t="shared" ref="H68:H131" si="1">(B68/B67)-1</f>
        <v>3.8065382892968902E-3</v>
      </c>
    </row>
    <row r="69" spans="1:8" x14ac:dyDescent="0.3">
      <c r="A69" s="7">
        <v>45484</v>
      </c>
      <c r="B69">
        <v>45.63</v>
      </c>
      <c r="C69">
        <v>45.51</v>
      </c>
      <c r="D69">
        <v>45.81</v>
      </c>
      <c r="E69">
        <v>45.26</v>
      </c>
      <c r="F69" t="s">
        <v>481</v>
      </c>
      <c r="G69" s="8">
        <v>1.78E-2</v>
      </c>
      <c r="H69" s="3">
        <f t="shared" si="1"/>
        <v>1.7845192951148947E-2</v>
      </c>
    </row>
    <row r="70" spans="1:8" x14ac:dyDescent="0.3">
      <c r="A70" s="7">
        <v>45485</v>
      </c>
      <c r="B70">
        <v>45.61</v>
      </c>
      <c r="C70">
        <v>45.39</v>
      </c>
      <c r="D70">
        <v>45.7</v>
      </c>
      <c r="E70">
        <v>45.35</v>
      </c>
      <c r="F70" t="s">
        <v>241</v>
      </c>
      <c r="G70" s="8">
        <v>-4.0000000000000002E-4</v>
      </c>
      <c r="H70" s="3">
        <f t="shared" si="1"/>
        <v>-4.3830813061584983E-4</v>
      </c>
    </row>
    <row r="71" spans="1:8" x14ac:dyDescent="0.3">
      <c r="A71" s="7">
        <v>45488</v>
      </c>
      <c r="B71">
        <v>45.76</v>
      </c>
      <c r="C71">
        <v>45.66</v>
      </c>
      <c r="D71">
        <v>46.1</v>
      </c>
      <c r="E71">
        <v>45.58</v>
      </c>
      <c r="F71" t="s">
        <v>238</v>
      </c>
      <c r="G71" s="8">
        <v>3.3E-3</v>
      </c>
      <c r="H71" s="3">
        <f t="shared" si="1"/>
        <v>3.2887524665643486E-3</v>
      </c>
    </row>
    <row r="72" spans="1:8" x14ac:dyDescent="0.3">
      <c r="A72" s="7">
        <v>45489</v>
      </c>
      <c r="B72">
        <v>46.66</v>
      </c>
      <c r="C72">
        <v>46.07</v>
      </c>
      <c r="D72">
        <v>46.66</v>
      </c>
      <c r="E72">
        <v>46.05</v>
      </c>
      <c r="F72" t="s">
        <v>1145</v>
      </c>
      <c r="G72" s="8">
        <v>1.9699999999999999E-2</v>
      </c>
      <c r="H72" s="3">
        <f t="shared" si="1"/>
        <v>1.9667832167832078E-2</v>
      </c>
    </row>
    <row r="73" spans="1:8" x14ac:dyDescent="0.3">
      <c r="A73" s="7">
        <v>45490</v>
      </c>
      <c r="B73">
        <v>46.44</v>
      </c>
      <c r="C73">
        <v>46.76</v>
      </c>
      <c r="D73">
        <v>46.93</v>
      </c>
      <c r="E73">
        <v>46.33</v>
      </c>
      <c r="F73" t="s">
        <v>1103</v>
      </c>
      <c r="G73" s="8">
        <v>-4.7000000000000002E-3</v>
      </c>
      <c r="H73" s="3">
        <f t="shared" si="1"/>
        <v>-4.7149592798970685E-3</v>
      </c>
    </row>
    <row r="74" spans="1:8" x14ac:dyDescent="0.3">
      <c r="A74" s="7">
        <v>45491</v>
      </c>
      <c r="B74">
        <v>46.15</v>
      </c>
      <c r="C74">
        <v>46.53</v>
      </c>
      <c r="D74">
        <v>46.65</v>
      </c>
      <c r="E74">
        <v>46.1</v>
      </c>
      <c r="F74" t="s">
        <v>1144</v>
      </c>
      <c r="G74" s="8">
        <v>-6.1999999999999998E-3</v>
      </c>
      <c r="H74" s="3">
        <f t="shared" si="1"/>
        <v>-6.2446167097329752E-3</v>
      </c>
    </row>
    <row r="75" spans="1:8" x14ac:dyDescent="0.3">
      <c r="A75" s="7">
        <v>45492</v>
      </c>
      <c r="B75">
        <v>45.32</v>
      </c>
      <c r="C75">
        <v>45.28</v>
      </c>
      <c r="D75">
        <v>45.51</v>
      </c>
      <c r="E75">
        <v>45.25</v>
      </c>
      <c r="F75" t="s">
        <v>1143</v>
      </c>
      <c r="G75" s="8">
        <v>-1.7999999999999999E-2</v>
      </c>
      <c r="H75" s="3">
        <f t="shared" si="1"/>
        <v>-1.7984832069339096E-2</v>
      </c>
    </row>
    <row r="76" spans="1:8" x14ac:dyDescent="0.3">
      <c r="A76" s="7">
        <v>45495</v>
      </c>
      <c r="B76">
        <v>45.33</v>
      </c>
      <c r="C76">
        <v>45.29</v>
      </c>
      <c r="D76">
        <v>45.35</v>
      </c>
      <c r="E76">
        <v>45.04</v>
      </c>
      <c r="F76" t="s">
        <v>71</v>
      </c>
      <c r="G76" s="8">
        <v>2.0000000000000001E-4</v>
      </c>
      <c r="H76" s="3">
        <f t="shared" si="1"/>
        <v>2.2065313327446212E-4</v>
      </c>
    </row>
    <row r="77" spans="1:8" x14ac:dyDescent="0.3">
      <c r="A77" s="7">
        <v>45496</v>
      </c>
      <c r="B77">
        <v>45.49</v>
      </c>
      <c r="C77">
        <v>45.43</v>
      </c>
      <c r="D77">
        <v>45.53</v>
      </c>
      <c r="E77">
        <v>45.34</v>
      </c>
      <c r="F77" t="s">
        <v>224</v>
      </c>
      <c r="G77" s="8">
        <v>3.5000000000000001E-3</v>
      </c>
      <c r="H77" s="3">
        <f t="shared" si="1"/>
        <v>3.5296712993604373E-3</v>
      </c>
    </row>
    <row r="78" spans="1:8" x14ac:dyDescent="0.3">
      <c r="A78" s="7">
        <v>45497</v>
      </c>
      <c r="B78">
        <v>45.31</v>
      </c>
      <c r="C78">
        <v>45.68</v>
      </c>
      <c r="D78">
        <v>45.96</v>
      </c>
      <c r="E78">
        <v>45.31</v>
      </c>
      <c r="F78" t="s">
        <v>395</v>
      </c>
      <c r="G78" s="8">
        <v>-4.0000000000000001E-3</v>
      </c>
      <c r="H78" s="3">
        <f t="shared" si="1"/>
        <v>-3.9569136073862587E-3</v>
      </c>
    </row>
    <row r="79" spans="1:8" x14ac:dyDescent="0.3">
      <c r="A79" s="7">
        <v>45498</v>
      </c>
      <c r="B79">
        <v>44.62</v>
      </c>
      <c r="C79">
        <v>44.78</v>
      </c>
      <c r="D79">
        <v>44.81</v>
      </c>
      <c r="E79">
        <v>44.46</v>
      </c>
      <c r="F79" t="s">
        <v>154</v>
      </c>
      <c r="G79" s="8">
        <v>-1.52E-2</v>
      </c>
      <c r="H79" s="3">
        <f t="shared" si="1"/>
        <v>-1.5228426395939243E-2</v>
      </c>
    </row>
    <row r="80" spans="1:8" x14ac:dyDescent="0.3">
      <c r="A80" s="7">
        <v>45499</v>
      </c>
      <c r="B80">
        <v>45.08</v>
      </c>
      <c r="C80">
        <v>44.96</v>
      </c>
      <c r="D80">
        <v>45.17</v>
      </c>
      <c r="E80">
        <v>44.91</v>
      </c>
      <c r="F80" t="s">
        <v>321</v>
      </c>
      <c r="G80" s="8">
        <v>1.03E-2</v>
      </c>
      <c r="H80" s="3">
        <f t="shared" si="1"/>
        <v>1.0309278350515427E-2</v>
      </c>
    </row>
    <row r="81" spans="1:8" x14ac:dyDescent="0.3">
      <c r="A81" s="7">
        <v>45502</v>
      </c>
      <c r="B81">
        <v>45.02</v>
      </c>
      <c r="C81">
        <v>45.23</v>
      </c>
      <c r="D81">
        <v>45.28</v>
      </c>
      <c r="E81">
        <v>44.77</v>
      </c>
      <c r="F81" t="s">
        <v>416</v>
      </c>
      <c r="G81" s="8">
        <v>-1.2999999999999999E-3</v>
      </c>
      <c r="H81" s="3">
        <f t="shared" si="1"/>
        <v>-1.3309671694763381E-3</v>
      </c>
    </row>
    <row r="82" spans="1:8" x14ac:dyDescent="0.3">
      <c r="A82" s="7">
        <v>45503</v>
      </c>
      <c r="B82">
        <v>45.49</v>
      </c>
      <c r="C82">
        <v>45.26</v>
      </c>
      <c r="D82">
        <v>45.56</v>
      </c>
      <c r="E82">
        <v>45.04</v>
      </c>
      <c r="F82" t="s">
        <v>416</v>
      </c>
      <c r="G82" s="8">
        <v>1.04E-2</v>
      </c>
      <c r="H82" s="3">
        <f t="shared" si="1"/>
        <v>1.043980453131943E-2</v>
      </c>
    </row>
    <row r="83" spans="1:8" x14ac:dyDescent="0.3">
      <c r="A83" s="7">
        <v>45504</v>
      </c>
      <c r="B83">
        <v>46.3</v>
      </c>
      <c r="C83">
        <v>45.74</v>
      </c>
      <c r="D83">
        <v>46.31</v>
      </c>
      <c r="E83">
        <v>45.71</v>
      </c>
      <c r="F83" t="s">
        <v>1142</v>
      </c>
      <c r="G83" s="8">
        <v>1.78E-2</v>
      </c>
      <c r="H83" s="3">
        <f t="shared" si="1"/>
        <v>1.7806111233237942E-2</v>
      </c>
    </row>
    <row r="84" spans="1:8" x14ac:dyDescent="0.3">
      <c r="A84" s="7">
        <v>45505</v>
      </c>
      <c r="B84">
        <v>46.14</v>
      </c>
      <c r="C84">
        <v>46.35</v>
      </c>
      <c r="D84">
        <v>46.51</v>
      </c>
      <c r="E84">
        <v>45.99</v>
      </c>
      <c r="F84" t="s">
        <v>445</v>
      </c>
      <c r="G84" s="8">
        <v>-3.5000000000000001E-3</v>
      </c>
      <c r="H84" s="3">
        <f t="shared" si="1"/>
        <v>-3.45572354211654E-3</v>
      </c>
    </row>
    <row r="85" spans="1:8" x14ac:dyDescent="0.3">
      <c r="A85" s="7">
        <v>45506</v>
      </c>
      <c r="B85">
        <v>46.05</v>
      </c>
      <c r="C85">
        <v>46.6</v>
      </c>
      <c r="D85">
        <v>46.76</v>
      </c>
      <c r="E85">
        <v>45.56</v>
      </c>
      <c r="F85" t="s">
        <v>1141</v>
      </c>
      <c r="G85" s="8">
        <v>-2E-3</v>
      </c>
      <c r="H85" s="3">
        <f t="shared" si="1"/>
        <v>-1.9505851755526882E-3</v>
      </c>
    </row>
    <row r="86" spans="1:8" x14ac:dyDescent="0.3">
      <c r="A86" s="7">
        <v>45509</v>
      </c>
      <c r="B86">
        <v>45.48</v>
      </c>
      <c r="C86">
        <v>45.09</v>
      </c>
      <c r="D86">
        <v>45.6</v>
      </c>
      <c r="E86">
        <v>45.02</v>
      </c>
      <c r="F86" t="s">
        <v>1067</v>
      </c>
      <c r="G86" s="8">
        <v>-1.24E-2</v>
      </c>
      <c r="H86" s="3">
        <f t="shared" si="1"/>
        <v>-1.2377850162866411E-2</v>
      </c>
    </row>
    <row r="87" spans="1:8" x14ac:dyDescent="0.3">
      <c r="A87" s="7">
        <v>45510</v>
      </c>
      <c r="B87">
        <v>45.1</v>
      </c>
      <c r="C87">
        <v>45.26</v>
      </c>
      <c r="D87">
        <v>45.41</v>
      </c>
      <c r="E87">
        <v>44.99</v>
      </c>
      <c r="F87" t="s">
        <v>1140</v>
      </c>
      <c r="G87" s="8">
        <v>-8.3999999999999995E-3</v>
      </c>
      <c r="H87" s="3">
        <f t="shared" si="1"/>
        <v>-8.3553210202286232E-3</v>
      </c>
    </row>
    <row r="88" spans="1:8" x14ac:dyDescent="0.3">
      <c r="A88" s="7">
        <v>45511</v>
      </c>
      <c r="B88">
        <v>45.06</v>
      </c>
      <c r="C88">
        <v>45.36</v>
      </c>
      <c r="D88">
        <v>45.43</v>
      </c>
      <c r="E88">
        <v>45.04</v>
      </c>
      <c r="F88" t="s">
        <v>287</v>
      </c>
      <c r="G88" s="8">
        <v>-8.9999999999999998E-4</v>
      </c>
      <c r="H88" s="3">
        <f t="shared" si="1"/>
        <v>-8.869179600886623E-4</v>
      </c>
    </row>
    <row r="89" spans="1:8" x14ac:dyDescent="0.3">
      <c r="A89" s="7">
        <v>45512</v>
      </c>
      <c r="B89">
        <v>45.77</v>
      </c>
      <c r="C89">
        <v>45.53</v>
      </c>
      <c r="D89">
        <v>45.83</v>
      </c>
      <c r="E89">
        <v>45.48</v>
      </c>
      <c r="F89" t="s">
        <v>1139</v>
      </c>
      <c r="G89" s="8">
        <v>1.5800000000000002E-2</v>
      </c>
      <c r="H89" s="3">
        <f t="shared" si="1"/>
        <v>1.5756768752773986E-2</v>
      </c>
    </row>
    <row r="90" spans="1:8" x14ac:dyDescent="0.3">
      <c r="A90" s="7">
        <v>45513</v>
      </c>
      <c r="B90">
        <v>45.89</v>
      </c>
      <c r="C90">
        <v>45.94</v>
      </c>
      <c r="D90">
        <v>46.04</v>
      </c>
      <c r="E90">
        <v>45.74</v>
      </c>
      <c r="F90" t="s">
        <v>1138</v>
      </c>
      <c r="G90" s="8">
        <v>2.5999999999999999E-3</v>
      </c>
      <c r="H90" s="3">
        <f t="shared" si="1"/>
        <v>2.621804675551509E-3</v>
      </c>
    </row>
    <row r="91" spans="1:8" x14ac:dyDescent="0.3">
      <c r="A91" s="7">
        <v>45516</v>
      </c>
      <c r="B91">
        <v>46.67</v>
      </c>
      <c r="C91">
        <v>46.22</v>
      </c>
      <c r="D91">
        <v>46.71</v>
      </c>
      <c r="E91">
        <v>46.18</v>
      </c>
      <c r="F91" t="s">
        <v>1137</v>
      </c>
      <c r="G91" s="8">
        <v>1.7000000000000001E-2</v>
      </c>
      <c r="H91" s="3">
        <f t="shared" si="1"/>
        <v>1.6997167138810276E-2</v>
      </c>
    </row>
    <row r="92" spans="1:8" x14ac:dyDescent="0.3">
      <c r="A92" s="7">
        <v>45517</v>
      </c>
      <c r="B92">
        <v>46.6</v>
      </c>
      <c r="C92">
        <v>46.61</v>
      </c>
      <c r="D92">
        <v>46.77</v>
      </c>
      <c r="E92">
        <v>46.51</v>
      </c>
      <c r="F92" t="s">
        <v>1136</v>
      </c>
      <c r="G92" s="8">
        <v>-1.5E-3</v>
      </c>
      <c r="H92" s="3">
        <f t="shared" si="1"/>
        <v>-1.4998928647953491E-3</v>
      </c>
    </row>
    <row r="93" spans="1:8" x14ac:dyDescent="0.3">
      <c r="A93" s="7">
        <v>45518</v>
      </c>
      <c r="B93">
        <v>46.23</v>
      </c>
      <c r="C93">
        <v>46.31</v>
      </c>
      <c r="D93">
        <v>46.5</v>
      </c>
      <c r="E93">
        <v>46.07</v>
      </c>
      <c r="F93" t="s">
        <v>1135</v>
      </c>
      <c r="G93" s="8">
        <v>-7.9000000000000008E-3</v>
      </c>
      <c r="H93" s="3">
        <f t="shared" si="1"/>
        <v>-7.9399141630902559E-3</v>
      </c>
    </row>
    <row r="94" spans="1:8" x14ac:dyDescent="0.3">
      <c r="A94" s="7">
        <v>45519</v>
      </c>
      <c r="B94">
        <v>46.37</v>
      </c>
      <c r="C94">
        <v>46.29</v>
      </c>
      <c r="D94">
        <v>46.5</v>
      </c>
      <c r="E94">
        <v>46.02</v>
      </c>
      <c r="F94" t="s">
        <v>317</v>
      </c>
      <c r="G94" s="8">
        <v>3.0000000000000001E-3</v>
      </c>
      <c r="H94" s="3">
        <f t="shared" si="1"/>
        <v>3.02833657797974E-3</v>
      </c>
    </row>
    <row r="95" spans="1:8" x14ac:dyDescent="0.3">
      <c r="A95" s="7">
        <v>45520</v>
      </c>
      <c r="B95">
        <v>47.4</v>
      </c>
      <c r="C95">
        <v>47.01</v>
      </c>
      <c r="D95">
        <v>47.41</v>
      </c>
      <c r="E95">
        <v>46.81</v>
      </c>
      <c r="F95" t="s">
        <v>1134</v>
      </c>
      <c r="G95" s="8">
        <v>2.2200000000000001E-2</v>
      </c>
      <c r="H95" s="3">
        <f t="shared" si="1"/>
        <v>2.2212637481130004E-2</v>
      </c>
    </row>
    <row r="96" spans="1:8" x14ac:dyDescent="0.3">
      <c r="A96" s="7">
        <v>45523</v>
      </c>
      <c r="B96">
        <v>47.35</v>
      </c>
      <c r="C96">
        <v>47.04</v>
      </c>
      <c r="D96">
        <v>47.37</v>
      </c>
      <c r="E96">
        <v>46.96</v>
      </c>
      <c r="F96" t="s">
        <v>45</v>
      </c>
      <c r="G96" s="8">
        <v>-1.1000000000000001E-3</v>
      </c>
      <c r="H96" s="3">
        <f t="shared" si="1"/>
        <v>-1.0548523206750371E-3</v>
      </c>
    </row>
    <row r="97" spans="1:8" x14ac:dyDescent="0.3">
      <c r="A97" s="7">
        <v>45524</v>
      </c>
      <c r="B97">
        <v>47.51</v>
      </c>
      <c r="C97">
        <v>47.78</v>
      </c>
      <c r="D97">
        <v>47.83</v>
      </c>
      <c r="E97">
        <v>47.25</v>
      </c>
      <c r="F97" t="s">
        <v>1133</v>
      </c>
      <c r="G97" s="8">
        <v>3.3999999999999998E-3</v>
      </c>
      <c r="H97" s="3">
        <f t="shared" si="1"/>
        <v>3.3790918690601579E-3</v>
      </c>
    </row>
    <row r="98" spans="1:8" x14ac:dyDescent="0.3">
      <c r="A98" s="7">
        <v>45525</v>
      </c>
      <c r="B98">
        <v>47.46</v>
      </c>
      <c r="C98">
        <v>47.36</v>
      </c>
      <c r="D98">
        <v>47.6</v>
      </c>
      <c r="E98">
        <v>47.12</v>
      </c>
      <c r="F98" t="s">
        <v>305</v>
      </c>
      <c r="G98" s="8">
        <v>-1.1000000000000001E-3</v>
      </c>
      <c r="H98" s="3">
        <f t="shared" si="1"/>
        <v>-1.052410018943295E-3</v>
      </c>
    </row>
    <row r="99" spans="1:8" x14ac:dyDescent="0.3">
      <c r="A99" s="7">
        <v>45526</v>
      </c>
      <c r="B99">
        <v>46.88</v>
      </c>
      <c r="C99">
        <v>47.09</v>
      </c>
      <c r="D99">
        <v>47.12</v>
      </c>
      <c r="E99">
        <v>46.66</v>
      </c>
      <c r="F99" t="s">
        <v>284</v>
      </c>
      <c r="G99" s="8">
        <v>-1.2200000000000001E-2</v>
      </c>
      <c r="H99" s="3">
        <f t="shared" si="1"/>
        <v>-1.2220817530552042E-2</v>
      </c>
    </row>
    <row r="100" spans="1:8" x14ac:dyDescent="0.3">
      <c r="A100" s="7">
        <v>45527</v>
      </c>
      <c r="B100">
        <v>47.43</v>
      </c>
      <c r="C100">
        <v>47.22</v>
      </c>
      <c r="D100">
        <v>47.56</v>
      </c>
      <c r="E100">
        <v>47.12</v>
      </c>
      <c r="F100" t="s">
        <v>1132</v>
      </c>
      <c r="G100" s="8">
        <v>1.17E-2</v>
      </c>
      <c r="H100" s="3">
        <f t="shared" si="1"/>
        <v>1.1732081911262737E-2</v>
      </c>
    </row>
    <row r="101" spans="1:8" x14ac:dyDescent="0.3">
      <c r="A101" s="7">
        <v>45530</v>
      </c>
      <c r="B101">
        <v>47.58</v>
      </c>
      <c r="C101">
        <v>47.72</v>
      </c>
      <c r="D101">
        <v>47.73</v>
      </c>
      <c r="E101">
        <v>47.44</v>
      </c>
      <c r="F101" t="s">
        <v>36</v>
      </c>
      <c r="G101" s="8">
        <v>3.2000000000000002E-3</v>
      </c>
      <c r="H101" s="3">
        <f t="shared" si="1"/>
        <v>3.1625553447185428E-3</v>
      </c>
    </row>
    <row r="102" spans="1:8" x14ac:dyDescent="0.3">
      <c r="A102" s="7">
        <v>45531</v>
      </c>
      <c r="B102">
        <v>47.71</v>
      </c>
      <c r="C102">
        <v>47.36</v>
      </c>
      <c r="D102">
        <v>47.72</v>
      </c>
      <c r="E102">
        <v>47.35</v>
      </c>
      <c r="F102" t="s">
        <v>84</v>
      </c>
      <c r="G102" s="8">
        <v>2.7000000000000001E-3</v>
      </c>
      <c r="H102" s="3">
        <f t="shared" si="1"/>
        <v>2.732240437158584E-3</v>
      </c>
    </row>
    <row r="103" spans="1:8" x14ac:dyDescent="0.3">
      <c r="A103" s="7">
        <v>45532</v>
      </c>
      <c r="B103">
        <v>47.38</v>
      </c>
      <c r="C103">
        <v>47.43</v>
      </c>
      <c r="D103">
        <v>47.43</v>
      </c>
      <c r="E103">
        <v>47.16</v>
      </c>
      <c r="F103" t="s">
        <v>235</v>
      </c>
      <c r="G103" s="8">
        <v>-6.8999999999999999E-3</v>
      </c>
      <c r="H103" s="3">
        <f t="shared" si="1"/>
        <v>-6.9167889331376298E-3</v>
      </c>
    </row>
    <row r="104" spans="1:8" x14ac:dyDescent="0.3">
      <c r="A104" s="7">
        <v>45533</v>
      </c>
      <c r="B104">
        <v>47.62</v>
      </c>
      <c r="C104">
        <v>47.41</v>
      </c>
      <c r="D104">
        <v>47.76</v>
      </c>
      <c r="E104">
        <v>47.4</v>
      </c>
      <c r="F104" t="s">
        <v>776</v>
      </c>
      <c r="G104" s="8">
        <v>5.1000000000000004E-3</v>
      </c>
      <c r="H104" s="3">
        <f t="shared" si="1"/>
        <v>5.0654284508229175E-3</v>
      </c>
    </row>
    <row r="105" spans="1:8" x14ac:dyDescent="0.3">
      <c r="A105" s="7">
        <v>45534</v>
      </c>
      <c r="B105">
        <v>47.28</v>
      </c>
      <c r="C105">
        <v>47.52</v>
      </c>
      <c r="D105">
        <v>47.6</v>
      </c>
      <c r="E105">
        <v>47.12</v>
      </c>
      <c r="F105" t="s">
        <v>326</v>
      </c>
      <c r="G105" s="8">
        <v>-7.1000000000000004E-3</v>
      </c>
      <c r="H105" s="3">
        <f t="shared" si="1"/>
        <v>-7.1398572028558149E-3</v>
      </c>
    </row>
    <row r="106" spans="1:8" x14ac:dyDescent="0.3">
      <c r="A106" s="7">
        <v>45538</v>
      </c>
      <c r="B106">
        <v>47.09</v>
      </c>
      <c r="C106">
        <v>47.1</v>
      </c>
      <c r="D106">
        <v>47.13</v>
      </c>
      <c r="E106">
        <v>46.72</v>
      </c>
      <c r="F106" t="s">
        <v>143</v>
      </c>
      <c r="G106" s="8">
        <v>-4.0000000000000001E-3</v>
      </c>
      <c r="H106" s="3">
        <f t="shared" si="1"/>
        <v>-4.0186125211505441E-3</v>
      </c>
    </row>
    <row r="107" spans="1:8" x14ac:dyDescent="0.3">
      <c r="A107" s="7">
        <v>45539</v>
      </c>
      <c r="B107">
        <v>47.11</v>
      </c>
      <c r="C107">
        <v>46.96</v>
      </c>
      <c r="D107">
        <v>47.23</v>
      </c>
      <c r="E107">
        <v>46.89</v>
      </c>
      <c r="F107" t="s">
        <v>154</v>
      </c>
      <c r="G107" s="8">
        <v>4.0000000000000002E-4</v>
      </c>
      <c r="H107" s="3">
        <f t="shared" si="1"/>
        <v>4.2471862391146864E-4</v>
      </c>
    </row>
    <row r="108" spans="1:8" x14ac:dyDescent="0.3">
      <c r="A108" s="7">
        <v>45540</v>
      </c>
      <c r="B108">
        <v>47.51</v>
      </c>
      <c r="C108">
        <v>47.57</v>
      </c>
      <c r="D108">
        <v>47.6</v>
      </c>
      <c r="E108">
        <v>47.29</v>
      </c>
      <c r="F108" t="s">
        <v>128</v>
      </c>
      <c r="G108" s="8">
        <v>8.5000000000000006E-3</v>
      </c>
      <c r="H108" s="3">
        <f t="shared" si="1"/>
        <v>8.490766291657792E-3</v>
      </c>
    </row>
    <row r="109" spans="1:8" x14ac:dyDescent="0.3">
      <c r="A109" s="7">
        <v>45541</v>
      </c>
      <c r="B109">
        <v>47.15</v>
      </c>
      <c r="C109">
        <v>47.39</v>
      </c>
      <c r="D109">
        <v>47.57</v>
      </c>
      <c r="E109">
        <v>46.94</v>
      </c>
      <c r="F109" t="s">
        <v>13</v>
      </c>
      <c r="G109" s="8">
        <v>-7.6E-3</v>
      </c>
      <c r="H109" s="3">
        <f t="shared" si="1"/>
        <v>-7.5773521363923235E-3</v>
      </c>
    </row>
    <row r="110" spans="1:8" x14ac:dyDescent="0.3">
      <c r="A110" s="7">
        <v>45544</v>
      </c>
      <c r="B110">
        <v>47.35</v>
      </c>
      <c r="C110">
        <v>47.27</v>
      </c>
      <c r="D110">
        <v>47.35</v>
      </c>
      <c r="E110">
        <v>47.1</v>
      </c>
      <c r="F110" t="s">
        <v>85</v>
      </c>
      <c r="G110" s="8">
        <v>4.1999999999999997E-3</v>
      </c>
      <c r="H110" s="3">
        <f t="shared" si="1"/>
        <v>4.2417815482502785E-3</v>
      </c>
    </row>
    <row r="111" spans="1:8" x14ac:dyDescent="0.3">
      <c r="A111" s="7">
        <v>45545</v>
      </c>
      <c r="B111">
        <v>47.55</v>
      </c>
      <c r="C111">
        <v>47.5</v>
      </c>
      <c r="D111">
        <v>47.58</v>
      </c>
      <c r="E111">
        <v>47.25</v>
      </c>
      <c r="F111" t="s">
        <v>183</v>
      </c>
      <c r="G111" s="8">
        <v>4.1999999999999997E-3</v>
      </c>
      <c r="H111" s="3">
        <f t="shared" si="1"/>
        <v>4.2238648363250864E-3</v>
      </c>
    </row>
    <row r="112" spans="1:8" x14ac:dyDescent="0.3">
      <c r="A112" s="7">
        <v>45546</v>
      </c>
      <c r="B112">
        <v>47.48</v>
      </c>
      <c r="C112">
        <v>47.37</v>
      </c>
      <c r="D112">
        <v>47.6</v>
      </c>
      <c r="E112">
        <v>47.24</v>
      </c>
      <c r="F112" t="s">
        <v>1131</v>
      </c>
      <c r="G112" s="8">
        <v>-1.5E-3</v>
      </c>
      <c r="H112" s="3">
        <f t="shared" si="1"/>
        <v>-1.4721345951630438E-3</v>
      </c>
    </row>
    <row r="113" spans="1:8" x14ac:dyDescent="0.3">
      <c r="A113" s="7">
        <v>45547</v>
      </c>
      <c r="B113">
        <v>48.32</v>
      </c>
      <c r="C113">
        <v>47.97</v>
      </c>
      <c r="D113">
        <v>48.33</v>
      </c>
      <c r="E113">
        <v>47.92</v>
      </c>
      <c r="F113" t="s">
        <v>1130</v>
      </c>
      <c r="G113" s="8">
        <v>1.77E-2</v>
      </c>
      <c r="H113" s="3">
        <f t="shared" si="1"/>
        <v>1.7691659646166924E-2</v>
      </c>
    </row>
    <row r="114" spans="1:8" x14ac:dyDescent="0.3">
      <c r="A114" s="7">
        <v>45548</v>
      </c>
      <c r="B114">
        <v>48.8</v>
      </c>
      <c r="C114">
        <v>48.68</v>
      </c>
      <c r="D114">
        <v>48.85</v>
      </c>
      <c r="E114">
        <v>48.6</v>
      </c>
      <c r="F114" t="s">
        <v>769</v>
      </c>
      <c r="G114" s="8">
        <v>9.9000000000000008E-3</v>
      </c>
      <c r="H114" s="3">
        <f t="shared" si="1"/>
        <v>9.9337748344370258E-3</v>
      </c>
    </row>
    <row r="115" spans="1:8" x14ac:dyDescent="0.3">
      <c r="A115" s="7">
        <v>45551</v>
      </c>
      <c r="B115">
        <v>48.77</v>
      </c>
      <c r="C115">
        <v>48.81</v>
      </c>
      <c r="D115">
        <v>48.91</v>
      </c>
      <c r="E115">
        <v>48.66</v>
      </c>
      <c r="F115" t="s">
        <v>180</v>
      </c>
      <c r="G115" s="8">
        <v>-5.9999999999999995E-4</v>
      </c>
      <c r="H115" s="3">
        <f t="shared" si="1"/>
        <v>-6.1475409836053707E-4</v>
      </c>
    </row>
    <row r="116" spans="1:8" x14ac:dyDescent="0.3">
      <c r="A116" s="7">
        <v>45552</v>
      </c>
      <c r="B116">
        <v>48.53</v>
      </c>
      <c r="C116">
        <v>48.68</v>
      </c>
      <c r="D116">
        <v>48.78</v>
      </c>
      <c r="E116">
        <v>48.38</v>
      </c>
      <c r="F116" t="s">
        <v>238</v>
      </c>
      <c r="G116" s="8">
        <v>-4.8999999999999998E-3</v>
      </c>
      <c r="H116" s="3">
        <f t="shared" si="1"/>
        <v>-4.9210580274759996E-3</v>
      </c>
    </row>
    <row r="117" spans="1:8" x14ac:dyDescent="0.3">
      <c r="A117" s="7">
        <v>45553</v>
      </c>
      <c r="B117">
        <v>48.15</v>
      </c>
      <c r="C117">
        <v>48.68</v>
      </c>
      <c r="D117">
        <v>49.12</v>
      </c>
      <c r="E117">
        <v>48.11</v>
      </c>
      <c r="F117" t="s">
        <v>1129</v>
      </c>
      <c r="G117" s="8">
        <v>-7.7999999999999996E-3</v>
      </c>
      <c r="H117" s="3">
        <f t="shared" si="1"/>
        <v>-7.8302081186895078E-3</v>
      </c>
    </row>
    <row r="118" spans="1:8" x14ac:dyDescent="0.3">
      <c r="A118" s="7">
        <v>45554</v>
      </c>
      <c r="B118">
        <v>48.89</v>
      </c>
      <c r="C118">
        <v>48.7</v>
      </c>
      <c r="D118">
        <v>48.96</v>
      </c>
      <c r="E118">
        <v>48.53</v>
      </c>
      <c r="F118" t="s">
        <v>301</v>
      </c>
      <c r="G118" s="8">
        <v>1.54E-2</v>
      </c>
      <c r="H118" s="3">
        <f t="shared" si="1"/>
        <v>1.5368639667705075E-2</v>
      </c>
    </row>
    <row r="119" spans="1:8" x14ac:dyDescent="0.3">
      <c r="A119" s="7">
        <v>45555</v>
      </c>
      <c r="B119">
        <v>49.52</v>
      </c>
      <c r="C119">
        <v>49.29</v>
      </c>
      <c r="D119">
        <v>49.6</v>
      </c>
      <c r="E119">
        <v>49.17</v>
      </c>
      <c r="F119" t="s">
        <v>334</v>
      </c>
      <c r="G119" s="8">
        <v>1.29E-2</v>
      </c>
      <c r="H119" s="3">
        <f t="shared" si="1"/>
        <v>1.2886070771118918E-2</v>
      </c>
    </row>
    <row r="120" spans="1:8" x14ac:dyDescent="0.3">
      <c r="A120" s="7">
        <v>45558</v>
      </c>
      <c r="B120">
        <v>49.6</v>
      </c>
      <c r="C120">
        <v>49.68</v>
      </c>
      <c r="D120">
        <v>49.78</v>
      </c>
      <c r="E120">
        <v>49.59</v>
      </c>
      <c r="F120" t="s">
        <v>226</v>
      </c>
      <c r="G120" s="8">
        <v>1.6000000000000001E-3</v>
      </c>
      <c r="H120" s="3">
        <f t="shared" si="1"/>
        <v>1.615508885298933E-3</v>
      </c>
    </row>
    <row r="121" spans="1:8" x14ac:dyDescent="0.3">
      <c r="A121" s="7">
        <v>45559</v>
      </c>
      <c r="B121">
        <v>50.31</v>
      </c>
      <c r="C121">
        <v>49.76</v>
      </c>
      <c r="D121">
        <v>50.33</v>
      </c>
      <c r="E121">
        <v>49.71</v>
      </c>
      <c r="F121" t="s">
        <v>481</v>
      </c>
      <c r="G121" s="8">
        <v>1.43E-2</v>
      </c>
      <c r="H121" s="3">
        <f t="shared" si="1"/>
        <v>1.431451612903234E-2</v>
      </c>
    </row>
    <row r="122" spans="1:8" x14ac:dyDescent="0.3">
      <c r="A122" s="7">
        <v>45560</v>
      </c>
      <c r="B122">
        <v>50.25</v>
      </c>
      <c r="C122">
        <v>50.33</v>
      </c>
      <c r="D122">
        <v>50.39</v>
      </c>
      <c r="E122">
        <v>50.04</v>
      </c>
      <c r="F122" t="s">
        <v>38</v>
      </c>
      <c r="G122" s="8">
        <v>-1.1999999999999999E-3</v>
      </c>
      <c r="H122" s="3">
        <f t="shared" si="1"/>
        <v>-1.1926058437686793E-3</v>
      </c>
    </row>
    <row r="123" spans="1:8" x14ac:dyDescent="0.3">
      <c r="A123" s="7">
        <v>45561</v>
      </c>
      <c r="B123">
        <v>50.5</v>
      </c>
      <c r="C123">
        <v>50.39</v>
      </c>
      <c r="D123">
        <v>50.57</v>
      </c>
      <c r="E123">
        <v>50.14</v>
      </c>
      <c r="F123" t="s">
        <v>1128</v>
      </c>
      <c r="G123" s="8">
        <v>5.0000000000000001E-3</v>
      </c>
      <c r="H123" s="3">
        <f t="shared" si="1"/>
        <v>4.9751243781095411E-3</v>
      </c>
    </row>
    <row r="124" spans="1:8" x14ac:dyDescent="0.3">
      <c r="A124" s="7">
        <v>45562</v>
      </c>
      <c r="B124">
        <v>50.09</v>
      </c>
      <c r="C124">
        <v>50.36</v>
      </c>
      <c r="D124">
        <v>50.44</v>
      </c>
      <c r="E124">
        <v>49.92</v>
      </c>
      <c r="F124" t="s">
        <v>524</v>
      </c>
      <c r="G124" s="8">
        <v>-8.0999999999999996E-3</v>
      </c>
      <c r="H124" s="3">
        <f t="shared" si="1"/>
        <v>-8.118811881188015E-3</v>
      </c>
    </row>
    <row r="125" spans="1:8" x14ac:dyDescent="0.3">
      <c r="A125" s="7">
        <v>45565</v>
      </c>
      <c r="B125">
        <v>49.7</v>
      </c>
      <c r="C125">
        <v>49.89</v>
      </c>
      <c r="D125">
        <v>49.9</v>
      </c>
      <c r="E125">
        <v>49.58</v>
      </c>
      <c r="F125" t="s">
        <v>1127</v>
      </c>
      <c r="G125" s="8">
        <v>-7.7999999999999996E-3</v>
      </c>
      <c r="H125" s="3">
        <f t="shared" si="1"/>
        <v>-7.7859852265921292E-3</v>
      </c>
    </row>
    <row r="126" spans="1:8" x14ac:dyDescent="0.3">
      <c r="A126" s="7">
        <v>45566</v>
      </c>
      <c r="B126">
        <v>50.21</v>
      </c>
      <c r="C126">
        <v>50.14</v>
      </c>
      <c r="D126">
        <v>50.49</v>
      </c>
      <c r="E126">
        <v>50.1</v>
      </c>
      <c r="F126" t="s">
        <v>1126</v>
      </c>
      <c r="G126" s="8">
        <v>1.03E-2</v>
      </c>
      <c r="H126" s="3">
        <f t="shared" si="1"/>
        <v>1.0261569416498917E-2</v>
      </c>
    </row>
    <row r="127" spans="1:8" x14ac:dyDescent="0.3">
      <c r="A127" s="7">
        <v>45567</v>
      </c>
      <c r="B127">
        <v>50.22</v>
      </c>
      <c r="C127">
        <v>50.21</v>
      </c>
      <c r="D127">
        <v>50.3</v>
      </c>
      <c r="E127">
        <v>49.88</v>
      </c>
      <c r="F127" t="s">
        <v>504</v>
      </c>
      <c r="G127" s="8">
        <v>2.0000000000000001E-4</v>
      </c>
      <c r="H127" s="3">
        <f t="shared" si="1"/>
        <v>1.9916351324433812E-4</v>
      </c>
    </row>
    <row r="128" spans="1:8" x14ac:dyDescent="0.3">
      <c r="A128" s="7">
        <v>45568</v>
      </c>
      <c r="B128">
        <v>50.2</v>
      </c>
      <c r="C128">
        <v>50.03</v>
      </c>
      <c r="D128">
        <v>50.28</v>
      </c>
      <c r="E128">
        <v>49.82</v>
      </c>
      <c r="F128" t="s">
        <v>1125</v>
      </c>
      <c r="G128" s="8">
        <v>-4.0000000000000002E-4</v>
      </c>
      <c r="H128" s="3">
        <f t="shared" si="1"/>
        <v>-3.9824771007557214E-4</v>
      </c>
    </row>
    <row r="129" spans="1:8" x14ac:dyDescent="0.3">
      <c r="A129" s="7">
        <v>45569</v>
      </c>
      <c r="B129">
        <v>50.08</v>
      </c>
      <c r="C129">
        <v>50.09</v>
      </c>
      <c r="D129">
        <v>50.43</v>
      </c>
      <c r="E129">
        <v>49.9</v>
      </c>
      <c r="F129" t="s">
        <v>1124</v>
      </c>
      <c r="G129" s="8">
        <v>-2.3999999999999998E-3</v>
      </c>
      <c r="H129" s="3">
        <f t="shared" si="1"/>
        <v>-2.3904382470120167E-3</v>
      </c>
    </row>
    <row r="130" spans="1:8" x14ac:dyDescent="0.3">
      <c r="A130" s="7">
        <v>45572</v>
      </c>
      <c r="B130">
        <v>49.92</v>
      </c>
      <c r="C130">
        <v>50</v>
      </c>
      <c r="D130">
        <v>50.06</v>
      </c>
      <c r="E130">
        <v>49.85</v>
      </c>
      <c r="F130" t="s">
        <v>56</v>
      </c>
      <c r="G130" s="8">
        <v>-3.2000000000000002E-3</v>
      </c>
      <c r="H130" s="3">
        <f t="shared" si="1"/>
        <v>-3.1948881789136685E-3</v>
      </c>
    </row>
    <row r="131" spans="1:8" x14ac:dyDescent="0.3">
      <c r="A131" s="7">
        <v>45573</v>
      </c>
      <c r="B131">
        <v>49.54</v>
      </c>
      <c r="C131">
        <v>49.84</v>
      </c>
      <c r="D131">
        <v>49.89</v>
      </c>
      <c r="E131">
        <v>49.19</v>
      </c>
      <c r="F131" t="s">
        <v>1123</v>
      </c>
      <c r="G131" s="8">
        <v>-7.6E-3</v>
      </c>
      <c r="H131" s="3">
        <f t="shared" si="1"/>
        <v>-7.6121794871795156E-3</v>
      </c>
    </row>
    <row r="132" spans="1:8" x14ac:dyDescent="0.3">
      <c r="A132" s="7">
        <v>45574</v>
      </c>
      <c r="B132">
        <v>49.27</v>
      </c>
      <c r="C132">
        <v>49.31</v>
      </c>
      <c r="D132">
        <v>49.44</v>
      </c>
      <c r="E132">
        <v>49.2</v>
      </c>
      <c r="F132" t="s">
        <v>1122</v>
      </c>
      <c r="G132" s="8">
        <v>-5.4999999999999997E-3</v>
      </c>
      <c r="H132" s="3">
        <f t="shared" ref="H132:H195" si="2">(B132/B131)-1</f>
        <v>-5.4501412999595766E-3</v>
      </c>
    </row>
    <row r="133" spans="1:8" x14ac:dyDescent="0.3">
      <c r="A133" s="7">
        <v>45575</v>
      </c>
      <c r="B133">
        <v>49.65</v>
      </c>
      <c r="C133">
        <v>49.42</v>
      </c>
      <c r="D133">
        <v>49.69</v>
      </c>
      <c r="E133">
        <v>49.38</v>
      </c>
      <c r="F133" t="s">
        <v>237</v>
      </c>
      <c r="G133" s="8">
        <v>7.7000000000000002E-3</v>
      </c>
      <c r="H133" s="3">
        <f t="shared" si="2"/>
        <v>7.7126040186725753E-3</v>
      </c>
    </row>
    <row r="134" spans="1:8" x14ac:dyDescent="0.3">
      <c r="A134" s="7">
        <v>45576</v>
      </c>
      <c r="B134">
        <v>50.16</v>
      </c>
      <c r="C134">
        <v>50</v>
      </c>
      <c r="D134">
        <v>50.27</v>
      </c>
      <c r="E134">
        <v>49.98</v>
      </c>
      <c r="F134" t="s">
        <v>179</v>
      </c>
      <c r="G134" s="8">
        <v>1.03E-2</v>
      </c>
      <c r="H134" s="3">
        <f t="shared" si="2"/>
        <v>1.0271903323262777E-2</v>
      </c>
    </row>
    <row r="135" spans="1:8" x14ac:dyDescent="0.3">
      <c r="A135" s="7">
        <v>45579</v>
      </c>
      <c r="B135">
        <v>50.1</v>
      </c>
      <c r="C135">
        <v>50.12</v>
      </c>
      <c r="D135">
        <v>50.26</v>
      </c>
      <c r="E135">
        <v>49.93</v>
      </c>
      <c r="F135" t="s">
        <v>202</v>
      </c>
      <c r="G135" s="8">
        <v>-1.1999999999999999E-3</v>
      </c>
      <c r="H135" s="3">
        <f t="shared" si="2"/>
        <v>-1.1961722488037507E-3</v>
      </c>
    </row>
    <row r="136" spans="1:8" x14ac:dyDescent="0.3">
      <c r="A136" s="7">
        <v>45580</v>
      </c>
      <c r="B136">
        <v>50.28</v>
      </c>
      <c r="C136">
        <v>50.09</v>
      </c>
      <c r="D136">
        <v>50.41</v>
      </c>
      <c r="E136">
        <v>50</v>
      </c>
      <c r="F136" t="s">
        <v>244</v>
      </c>
      <c r="G136" s="8">
        <v>3.5999999999999999E-3</v>
      </c>
      <c r="H136" s="3">
        <f t="shared" si="2"/>
        <v>3.59281437125758E-3</v>
      </c>
    </row>
    <row r="137" spans="1:8" x14ac:dyDescent="0.3">
      <c r="A137" s="7">
        <v>45581</v>
      </c>
      <c r="B137">
        <v>50.53</v>
      </c>
      <c r="C137">
        <v>50.64</v>
      </c>
      <c r="D137">
        <v>50.72</v>
      </c>
      <c r="E137">
        <v>50.37</v>
      </c>
      <c r="F137" t="s">
        <v>50</v>
      </c>
      <c r="G137" s="8">
        <v>5.0000000000000001E-3</v>
      </c>
      <c r="H137" s="3">
        <f t="shared" si="2"/>
        <v>4.9721559268098847E-3</v>
      </c>
    </row>
    <row r="138" spans="1:8" x14ac:dyDescent="0.3">
      <c r="A138" s="7">
        <v>45582</v>
      </c>
      <c r="B138">
        <v>50.84</v>
      </c>
      <c r="C138">
        <v>50.66</v>
      </c>
      <c r="D138">
        <v>50.92</v>
      </c>
      <c r="E138">
        <v>50.63</v>
      </c>
      <c r="F138" t="s">
        <v>246</v>
      </c>
      <c r="G138" s="8">
        <v>6.1000000000000004E-3</v>
      </c>
      <c r="H138" s="3">
        <f t="shared" si="2"/>
        <v>6.1349693251533388E-3</v>
      </c>
    </row>
    <row r="139" spans="1:8" x14ac:dyDescent="0.3">
      <c r="A139" s="7">
        <v>45583</v>
      </c>
      <c r="B139">
        <v>51.37</v>
      </c>
      <c r="C139">
        <v>51.11</v>
      </c>
      <c r="D139">
        <v>51.41</v>
      </c>
      <c r="E139">
        <v>51.1</v>
      </c>
      <c r="F139" t="s">
        <v>333</v>
      </c>
      <c r="G139" s="8">
        <v>1.04E-2</v>
      </c>
      <c r="H139" s="3">
        <f t="shared" si="2"/>
        <v>1.0424862313139105E-2</v>
      </c>
    </row>
    <row r="140" spans="1:8" x14ac:dyDescent="0.3">
      <c r="A140" s="7">
        <v>45586</v>
      </c>
      <c r="B140">
        <v>51.38</v>
      </c>
      <c r="C140">
        <v>51.68</v>
      </c>
      <c r="D140">
        <v>51.76</v>
      </c>
      <c r="E140">
        <v>51.26</v>
      </c>
      <c r="F140" t="s">
        <v>1121</v>
      </c>
      <c r="G140" s="8">
        <v>2.0000000000000001E-4</v>
      </c>
      <c r="H140" s="3">
        <f t="shared" si="2"/>
        <v>1.9466614755714318E-4</v>
      </c>
    </row>
    <row r="141" spans="1:8" x14ac:dyDescent="0.3">
      <c r="A141" s="7">
        <v>45587</v>
      </c>
      <c r="B141">
        <v>51.92</v>
      </c>
      <c r="C141">
        <v>51.73</v>
      </c>
      <c r="D141">
        <v>51.92</v>
      </c>
      <c r="E141">
        <v>51.63</v>
      </c>
      <c r="F141" t="s">
        <v>218</v>
      </c>
      <c r="G141" s="8">
        <v>1.0500000000000001E-2</v>
      </c>
      <c r="H141" s="3">
        <f t="shared" si="2"/>
        <v>1.0509926041261108E-2</v>
      </c>
    </row>
    <row r="142" spans="1:8" x14ac:dyDescent="0.3">
      <c r="A142" s="7">
        <v>45588</v>
      </c>
      <c r="B142">
        <v>51.29</v>
      </c>
      <c r="C142">
        <v>51.75</v>
      </c>
      <c r="D142">
        <v>51.76</v>
      </c>
      <c r="E142">
        <v>51.15</v>
      </c>
      <c r="F142" t="s">
        <v>362</v>
      </c>
      <c r="G142" s="8">
        <v>-1.21E-2</v>
      </c>
      <c r="H142" s="3">
        <f t="shared" si="2"/>
        <v>-1.2134052388289684E-2</v>
      </c>
    </row>
    <row r="143" spans="1:8" x14ac:dyDescent="0.3">
      <c r="A143" s="7">
        <v>45589</v>
      </c>
      <c r="B143">
        <v>51.68</v>
      </c>
      <c r="C143">
        <v>51.79</v>
      </c>
      <c r="D143">
        <v>51.79</v>
      </c>
      <c r="E143">
        <v>51.4</v>
      </c>
      <c r="F143" t="s">
        <v>226</v>
      </c>
      <c r="G143" s="8">
        <v>7.6E-3</v>
      </c>
      <c r="H143" s="3">
        <f t="shared" si="2"/>
        <v>7.6038214076818988E-3</v>
      </c>
    </row>
    <row r="144" spans="1:8" x14ac:dyDescent="0.3">
      <c r="A144" s="7">
        <v>45590</v>
      </c>
      <c r="B144">
        <v>51.8</v>
      </c>
      <c r="C144">
        <v>51.54</v>
      </c>
      <c r="D144">
        <v>51.84</v>
      </c>
      <c r="E144">
        <v>51.47</v>
      </c>
      <c r="F144" t="s">
        <v>280</v>
      </c>
      <c r="G144" s="8">
        <v>2.3E-3</v>
      </c>
      <c r="H144" s="3">
        <f t="shared" si="2"/>
        <v>2.3219814241486336E-3</v>
      </c>
    </row>
    <row r="145" spans="1:8" x14ac:dyDescent="0.3">
      <c r="A145" s="7">
        <v>45593</v>
      </c>
      <c r="B145">
        <v>51.78</v>
      </c>
      <c r="C145">
        <v>51.74</v>
      </c>
      <c r="D145">
        <v>51.85</v>
      </c>
      <c r="E145">
        <v>51.72</v>
      </c>
      <c r="F145" t="s">
        <v>774</v>
      </c>
      <c r="G145" s="8">
        <v>-4.0000000000000002E-4</v>
      </c>
      <c r="H145" s="3">
        <f t="shared" si="2"/>
        <v>-3.8610038610031872E-4</v>
      </c>
    </row>
    <row r="146" spans="1:8" x14ac:dyDescent="0.3">
      <c r="A146" s="7">
        <v>45594</v>
      </c>
      <c r="B146">
        <v>52.36</v>
      </c>
      <c r="C146">
        <v>52.02</v>
      </c>
      <c r="D146">
        <v>52.4</v>
      </c>
      <c r="E146">
        <v>51.98</v>
      </c>
      <c r="F146" t="s">
        <v>524</v>
      </c>
      <c r="G146" s="8">
        <v>1.12E-2</v>
      </c>
      <c r="H146" s="3">
        <f t="shared" si="2"/>
        <v>1.1201235998455017E-2</v>
      </c>
    </row>
    <row r="147" spans="1:8" x14ac:dyDescent="0.3">
      <c r="A147" s="7">
        <v>45595</v>
      </c>
      <c r="B147">
        <v>52.65</v>
      </c>
      <c r="C147">
        <v>52.5</v>
      </c>
      <c r="D147">
        <v>52.69</v>
      </c>
      <c r="E147">
        <v>52.33</v>
      </c>
      <c r="F147" t="s">
        <v>287</v>
      </c>
      <c r="G147" s="8">
        <v>5.4999999999999997E-3</v>
      </c>
      <c r="H147" s="3">
        <f t="shared" si="2"/>
        <v>5.5385790679907121E-3</v>
      </c>
    </row>
    <row r="148" spans="1:8" x14ac:dyDescent="0.3">
      <c r="A148" s="7">
        <v>45596</v>
      </c>
      <c r="B148">
        <v>51.84</v>
      </c>
      <c r="C148">
        <v>52.25</v>
      </c>
      <c r="D148">
        <v>52.26</v>
      </c>
      <c r="E148">
        <v>51.57</v>
      </c>
      <c r="F148" t="s">
        <v>1120</v>
      </c>
      <c r="G148" s="8">
        <v>-1.54E-2</v>
      </c>
      <c r="H148" s="3">
        <f t="shared" si="2"/>
        <v>-1.538461538461533E-2</v>
      </c>
    </row>
    <row r="149" spans="1:8" x14ac:dyDescent="0.3">
      <c r="A149" s="7">
        <v>45597</v>
      </c>
      <c r="B149">
        <v>51.62</v>
      </c>
      <c r="C149">
        <v>51.99</v>
      </c>
      <c r="D149">
        <v>52.11</v>
      </c>
      <c r="E149">
        <v>51.62</v>
      </c>
      <c r="F149" t="s">
        <v>1119</v>
      </c>
      <c r="G149" s="8">
        <v>-4.1999999999999997E-3</v>
      </c>
      <c r="H149" s="3">
        <f t="shared" si="2"/>
        <v>-4.2438271604939848E-3</v>
      </c>
    </row>
    <row r="150" spans="1:8" x14ac:dyDescent="0.3">
      <c r="A150" s="7">
        <v>45600</v>
      </c>
      <c r="B150">
        <v>51.7</v>
      </c>
      <c r="C150">
        <v>51.8</v>
      </c>
      <c r="D150">
        <v>51.85</v>
      </c>
      <c r="E150">
        <v>51.58</v>
      </c>
      <c r="F150" t="s">
        <v>178</v>
      </c>
      <c r="G150" s="8">
        <v>1.5E-3</v>
      </c>
      <c r="H150" s="3">
        <f t="shared" si="2"/>
        <v>1.5497869043008539E-3</v>
      </c>
    </row>
    <row r="151" spans="1:8" x14ac:dyDescent="0.3">
      <c r="A151" s="7">
        <v>45601</v>
      </c>
      <c r="B151">
        <v>51.81</v>
      </c>
      <c r="C151">
        <v>51.88</v>
      </c>
      <c r="D151">
        <v>51.93</v>
      </c>
      <c r="E151">
        <v>51.6</v>
      </c>
      <c r="F151" t="s">
        <v>223</v>
      </c>
      <c r="G151" s="8">
        <v>2.0999999999999999E-3</v>
      </c>
      <c r="H151" s="3">
        <f t="shared" si="2"/>
        <v>2.1276595744681437E-3</v>
      </c>
    </row>
    <row r="152" spans="1:8" x14ac:dyDescent="0.3">
      <c r="A152" s="7">
        <v>45602</v>
      </c>
      <c r="B152">
        <v>50.23</v>
      </c>
      <c r="C152">
        <v>50.22</v>
      </c>
      <c r="D152">
        <v>50.56</v>
      </c>
      <c r="E152">
        <v>50.08</v>
      </c>
      <c r="F152" t="s">
        <v>502</v>
      </c>
      <c r="G152" s="8">
        <v>-3.0499999999999999E-2</v>
      </c>
      <c r="H152" s="3">
        <f t="shared" si="2"/>
        <v>-3.0496043234896852E-2</v>
      </c>
    </row>
    <row r="153" spans="1:8" x14ac:dyDescent="0.3">
      <c r="A153" s="7">
        <v>45603</v>
      </c>
      <c r="B153">
        <v>51.06</v>
      </c>
      <c r="C153">
        <v>50.76</v>
      </c>
      <c r="D153">
        <v>51.16</v>
      </c>
      <c r="E153">
        <v>50.73</v>
      </c>
      <c r="F153" t="s">
        <v>1118</v>
      </c>
      <c r="G153" s="8">
        <v>1.6500000000000001E-2</v>
      </c>
      <c r="H153" s="3">
        <f t="shared" si="2"/>
        <v>1.6523989647621029E-2</v>
      </c>
    </row>
    <row r="154" spans="1:8" x14ac:dyDescent="0.3">
      <c r="A154" s="7">
        <v>45604</v>
      </c>
      <c r="B154">
        <v>50.7</v>
      </c>
      <c r="C154">
        <v>50.92</v>
      </c>
      <c r="D154">
        <v>50.99</v>
      </c>
      <c r="E154">
        <v>50.66</v>
      </c>
      <c r="F154" t="s">
        <v>1117</v>
      </c>
      <c r="G154" s="8">
        <v>-7.1000000000000004E-3</v>
      </c>
      <c r="H154" s="3">
        <f t="shared" si="2"/>
        <v>-7.0505287896591717E-3</v>
      </c>
    </row>
    <row r="155" spans="1:8" x14ac:dyDescent="0.3">
      <c r="A155" s="7">
        <v>45607</v>
      </c>
      <c r="B155">
        <v>49.51</v>
      </c>
      <c r="C155">
        <v>49.62</v>
      </c>
      <c r="D155">
        <v>49.63</v>
      </c>
      <c r="E155">
        <v>49.29</v>
      </c>
      <c r="F155" t="s">
        <v>1116</v>
      </c>
      <c r="G155" s="8">
        <v>-2.35E-2</v>
      </c>
      <c r="H155" s="3">
        <f t="shared" si="2"/>
        <v>-2.3471400394477371E-2</v>
      </c>
    </row>
    <row r="156" spans="1:8" x14ac:dyDescent="0.3">
      <c r="A156" s="7">
        <v>45608</v>
      </c>
      <c r="B156">
        <v>49.08</v>
      </c>
      <c r="C156">
        <v>49.35</v>
      </c>
      <c r="D156">
        <v>49.41</v>
      </c>
      <c r="E156">
        <v>48.96</v>
      </c>
      <c r="F156" t="s">
        <v>503</v>
      </c>
      <c r="G156" s="8">
        <v>-8.6999999999999994E-3</v>
      </c>
      <c r="H156" s="3">
        <f t="shared" si="2"/>
        <v>-8.6851141183599267E-3</v>
      </c>
    </row>
    <row r="157" spans="1:8" x14ac:dyDescent="0.3">
      <c r="A157" s="7">
        <v>45609</v>
      </c>
      <c r="B157">
        <v>48.59</v>
      </c>
      <c r="C157">
        <v>49.34</v>
      </c>
      <c r="D157">
        <v>49.38</v>
      </c>
      <c r="E157">
        <v>48.58</v>
      </c>
      <c r="F157" t="s">
        <v>525</v>
      </c>
      <c r="G157" s="8">
        <v>-0.01</v>
      </c>
      <c r="H157" s="3">
        <f t="shared" si="2"/>
        <v>-9.9837000814995136E-3</v>
      </c>
    </row>
    <row r="158" spans="1:8" x14ac:dyDescent="0.3">
      <c r="A158" s="7">
        <v>45610</v>
      </c>
      <c r="B158">
        <v>48.46</v>
      </c>
      <c r="C158">
        <v>48.38</v>
      </c>
      <c r="D158">
        <v>48.66</v>
      </c>
      <c r="E158">
        <v>48.29</v>
      </c>
      <c r="F158" t="s">
        <v>518</v>
      </c>
      <c r="G158" s="8">
        <v>-2.7000000000000001E-3</v>
      </c>
      <c r="H158" s="3">
        <f t="shared" si="2"/>
        <v>-2.6754476229677859E-3</v>
      </c>
    </row>
    <row r="159" spans="1:8" x14ac:dyDescent="0.3">
      <c r="A159" s="7">
        <v>45611</v>
      </c>
      <c r="B159">
        <v>48.37</v>
      </c>
      <c r="C159">
        <v>48.57</v>
      </c>
      <c r="D159">
        <v>48.63</v>
      </c>
      <c r="E159">
        <v>48.32</v>
      </c>
      <c r="F159" t="s">
        <v>432</v>
      </c>
      <c r="G159" s="8">
        <v>-1.9E-3</v>
      </c>
      <c r="H159" s="3">
        <f t="shared" si="2"/>
        <v>-1.8572018159307424E-3</v>
      </c>
    </row>
    <row r="160" spans="1:8" x14ac:dyDescent="0.3">
      <c r="A160" s="7">
        <v>45614</v>
      </c>
      <c r="B160">
        <v>49.29</v>
      </c>
      <c r="C160">
        <v>49.16</v>
      </c>
      <c r="D160">
        <v>49.38</v>
      </c>
      <c r="E160">
        <v>49.16</v>
      </c>
      <c r="F160" t="s">
        <v>158</v>
      </c>
      <c r="G160" s="8">
        <v>1.9E-2</v>
      </c>
      <c r="H160" s="3">
        <f t="shared" si="2"/>
        <v>1.9020053752325961E-2</v>
      </c>
    </row>
    <row r="161" spans="1:8" x14ac:dyDescent="0.3">
      <c r="A161" s="7">
        <v>45615</v>
      </c>
      <c r="B161">
        <v>49.74</v>
      </c>
      <c r="C161">
        <v>49.64</v>
      </c>
      <c r="D161">
        <v>49.75</v>
      </c>
      <c r="E161">
        <v>49.49</v>
      </c>
      <c r="F161" t="s">
        <v>441</v>
      </c>
      <c r="G161" s="8">
        <v>9.1000000000000004E-3</v>
      </c>
      <c r="H161" s="3">
        <f t="shared" si="2"/>
        <v>9.1296409007912693E-3</v>
      </c>
    </row>
    <row r="162" spans="1:8" x14ac:dyDescent="0.3">
      <c r="A162" s="7">
        <v>45616</v>
      </c>
      <c r="B162">
        <v>50.03</v>
      </c>
      <c r="C162">
        <v>49.83</v>
      </c>
      <c r="D162">
        <v>50.14</v>
      </c>
      <c r="E162">
        <v>49.79</v>
      </c>
      <c r="F162" t="s">
        <v>1115</v>
      </c>
      <c r="G162" s="8">
        <v>5.7999999999999996E-3</v>
      </c>
      <c r="H162" s="3">
        <f t="shared" si="2"/>
        <v>5.8303176517893185E-3</v>
      </c>
    </row>
    <row r="163" spans="1:8" x14ac:dyDescent="0.3">
      <c r="A163" s="7">
        <v>45617</v>
      </c>
      <c r="B163">
        <v>50.44</v>
      </c>
      <c r="C163">
        <v>50.35</v>
      </c>
      <c r="D163">
        <v>50.47</v>
      </c>
      <c r="E163">
        <v>50.24</v>
      </c>
      <c r="F163" t="s">
        <v>227</v>
      </c>
      <c r="G163" s="8">
        <v>8.2000000000000007E-3</v>
      </c>
      <c r="H163" s="3">
        <f t="shared" si="2"/>
        <v>8.1950829502297484E-3</v>
      </c>
    </row>
    <row r="164" spans="1:8" x14ac:dyDescent="0.3">
      <c r="A164" s="7">
        <v>45618</v>
      </c>
      <c r="B164">
        <v>51.08</v>
      </c>
      <c r="C164">
        <v>50.75</v>
      </c>
      <c r="D164">
        <v>51.2</v>
      </c>
      <c r="E164">
        <v>50.68</v>
      </c>
      <c r="F164" t="s">
        <v>18</v>
      </c>
      <c r="G164" s="8">
        <v>1.2699999999999999E-2</v>
      </c>
      <c r="H164" s="3">
        <f t="shared" si="2"/>
        <v>1.2688342585249757E-2</v>
      </c>
    </row>
    <row r="165" spans="1:8" x14ac:dyDescent="0.3">
      <c r="A165" s="7">
        <v>45621</v>
      </c>
      <c r="B165">
        <v>49.59</v>
      </c>
      <c r="C165">
        <v>49.96</v>
      </c>
      <c r="D165">
        <v>49.97</v>
      </c>
      <c r="E165">
        <v>49.38</v>
      </c>
      <c r="F165" t="s">
        <v>1114</v>
      </c>
      <c r="G165" s="8">
        <v>-2.92E-2</v>
      </c>
      <c r="H165" s="3">
        <f t="shared" si="2"/>
        <v>-2.9169929522317783E-2</v>
      </c>
    </row>
    <row r="166" spans="1:8" x14ac:dyDescent="0.3">
      <c r="A166" s="7">
        <v>45622</v>
      </c>
      <c r="B166">
        <v>49.69</v>
      </c>
      <c r="C166">
        <v>49.64</v>
      </c>
      <c r="D166">
        <v>49.71</v>
      </c>
      <c r="E166">
        <v>49.4</v>
      </c>
      <c r="F166" t="s">
        <v>1106</v>
      </c>
      <c r="G166" s="8">
        <v>2E-3</v>
      </c>
      <c r="H166" s="3">
        <f t="shared" si="2"/>
        <v>2.016535591853108E-3</v>
      </c>
    </row>
    <row r="167" spans="1:8" x14ac:dyDescent="0.3">
      <c r="A167" s="7">
        <v>45623</v>
      </c>
      <c r="B167">
        <v>49.78</v>
      </c>
      <c r="C167">
        <v>50.07</v>
      </c>
      <c r="D167">
        <v>50.13</v>
      </c>
      <c r="E167">
        <v>49.73</v>
      </c>
      <c r="F167" t="s">
        <v>1113</v>
      </c>
      <c r="G167" s="8">
        <v>1.8E-3</v>
      </c>
      <c r="H167" s="3">
        <f t="shared" si="2"/>
        <v>1.8112296236667547E-3</v>
      </c>
    </row>
    <row r="168" spans="1:8" x14ac:dyDescent="0.3">
      <c r="A168" s="7">
        <v>45625</v>
      </c>
      <c r="B168">
        <v>50.25</v>
      </c>
      <c r="C168">
        <v>50.15</v>
      </c>
      <c r="D168">
        <v>50.26</v>
      </c>
      <c r="E168">
        <v>50.05</v>
      </c>
      <c r="F168" t="s">
        <v>58</v>
      </c>
      <c r="G168" s="8">
        <v>9.4000000000000004E-3</v>
      </c>
      <c r="H168" s="3">
        <f t="shared" si="2"/>
        <v>9.4415427882683645E-3</v>
      </c>
    </row>
    <row r="169" spans="1:8" x14ac:dyDescent="0.3">
      <c r="A169" s="7">
        <v>45628</v>
      </c>
      <c r="B169">
        <v>49.79</v>
      </c>
      <c r="C169">
        <v>49.99</v>
      </c>
      <c r="D169">
        <v>50.01</v>
      </c>
      <c r="E169">
        <v>49.72</v>
      </c>
      <c r="F169" t="s">
        <v>390</v>
      </c>
      <c r="G169" s="8">
        <v>-9.1999999999999998E-3</v>
      </c>
      <c r="H169" s="3">
        <f t="shared" si="2"/>
        <v>-9.1542288557213691E-3</v>
      </c>
    </row>
    <row r="170" spans="1:8" x14ac:dyDescent="0.3">
      <c r="A170" s="7">
        <v>45629</v>
      </c>
      <c r="B170">
        <v>49.89</v>
      </c>
      <c r="C170">
        <v>50.09</v>
      </c>
      <c r="D170">
        <v>50.14</v>
      </c>
      <c r="E170">
        <v>49.76</v>
      </c>
      <c r="F170" t="s">
        <v>84</v>
      </c>
      <c r="G170" s="8">
        <v>2E-3</v>
      </c>
      <c r="H170" s="3">
        <f t="shared" si="2"/>
        <v>2.0084354288010253E-3</v>
      </c>
    </row>
    <row r="171" spans="1:8" x14ac:dyDescent="0.3">
      <c r="A171" s="7">
        <v>45630</v>
      </c>
      <c r="B171">
        <v>50.04</v>
      </c>
      <c r="C171">
        <v>50.09</v>
      </c>
      <c r="D171">
        <v>50.17</v>
      </c>
      <c r="E171">
        <v>49.97</v>
      </c>
      <c r="F171" t="s">
        <v>114</v>
      </c>
      <c r="G171" s="8">
        <v>3.0000000000000001E-3</v>
      </c>
      <c r="H171" s="3">
        <f t="shared" si="2"/>
        <v>3.0066145520144527E-3</v>
      </c>
    </row>
    <row r="172" spans="1:8" x14ac:dyDescent="0.3">
      <c r="A172" s="7">
        <v>45631</v>
      </c>
      <c r="B172">
        <v>49.67</v>
      </c>
      <c r="C172">
        <v>49.94</v>
      </c>
      <c r="D172">
        <v>49.97</v>
      </c>
      <c r="E172">
        <v>49.52</v>
      </c>
      <c r="F172" t="s">
        <v>216</v>
      </c>
      <c r="G172" s="8">
        <v>-7.4000000000000003E-3</v>
      </c>
      <c r="H172" s="3">
        <f t="shared" si="2"/>
        <v>-7.3940847322141456E-3</v>
      </c>
    </row>
    <row r="173" spans="1:8" x14ac:dyDescent="0.3">
      <c r="A173" s="7">
        <v>45632</v>
      </c>
      <c r="B173">
        <v>49.68</v>
      </c>
      <c r="C173">
        <v>49.64</v>
      </c>
      <c r="D173">
        <v>49.87</v>
      </c>
      <c r="E173">
        <v>49.58</v>
      </c>
      <c r="F173" t="s">
        <v>1112</v>
      </c>
      <c r="G173" s="8">
        <v>2.0000000000000001E-4</v>
      </c>
      <c r="H173" s="3">
        <f t="shared" si="2"/>
        <v>2.0132876988121495E-4</v>
      </c>
    </row>
    <row r="174" spans="1:8" x14ac:dyDescent="0.3">
      <c r="A174" s="7">
        <v>45635</v>
      </c>
      <c r="B174">
        <v>50.17</v>
      </c>
      <c r="C174">
        <v>50.38</v>
      </c>
      <c r="D174">
        <v>50.53</v>
      </c>
      <c r="E174">
        <v>50.15</v>
      </c>
      <c r="F174" t="s">
        <v>157</v>
      </c>
      <c r="G174" s="8">
        <v>9.9000000000000008E-3</v>
      </c>
      <c r="H174" s="3">
        <f t="shared" si="2"/>
        <v>9.8631239935587089E-3</v>
      </c>
    </row>
    <row r="175" spans="1:8" x14ac:dyDescent="0.3">
      <c r="A175" s="7">
        <v>45636</v>
      </c>
      <c r="B175">
        <v>50.83</v>
      </c>
      <c r="C175">
        <v>50.68</v>
      </c>
      <c r="D175">
        <v>50.89</v>
      </c>
      <c r="E175">
        <v>50.68</v>
      </c>
      <c r="F175" t="s">
        <v>155</v>
      </c>
      <c r="G175" s="8">
        <v>1.32E-2</v>
      </c>
      <c r="H175" s="3">
        <f t="shared" si="2"/>
        <v>1.3155272074945046E-2</v>
      </c>
    </row>
    <row r="176" spans="1:8" x14ac:dyDescent="0.3">
      <c r="A176" s="7">
        <v>45637</v>
      </c>
      <c r="B176">
        <v>51.3</v>
      </c>
      <c r="C176">
        <v>50.99</v>
      </c>
      <c r="D176">
        <v>51.38</v>
      </c>
      <c r="E176">
        <v>50.91</v>
      </c>
      <c r="F176" t="s">
        <v>508</v>
      </c>
      <c r="G176" s="8">
        <v>9.1999999999999998E-3</v>
      </c>
      <c r="H176" s="3">
        <f t="shared" si="2"/>
        <v>9.2465079677355178E-3</v>
      </c>
    </row>
    <row r="177" spans="1:8" x14ac:dyDescent="0.3">
      <c r="A177" s="7">
        <v>45638</v>
      </c>
      <c r="B177">
        <v>50.57</v>
      </c>
      <c r="C177">
        <v>50.69</v>
      </c>
      <c r="D177">
        <v>50.76</v>
      </c>
      <c r="E177">
        <v>50.49</v>
      </c>
      <c r="F177" t="s">
        <v>1111</v>
      </c>
      <c r="G177" s="8">
        <v>-1.4200000000000001E-2</v>
      </c>
      <c r="H177" s="3">
        <f t="shared" si="2"/>
        <v>-1.423001949317737E-2</v>
      </c>
    </row>
    <row r="178" spans="1:8" x14ac:dyDescent="0.3">
      <c r="A178" s="7">
        <v>45639</v>
      </c>
      <c r="B178">
        <v>49.98</v>
      </c>
      <c r="C178">
        <v>50.24</v>
      </c>
      <c r="D178">
        <v>50.3</v>
      </c>
      <c r="E178">
        <v>49.95</v>
      </c>
      <c r="F178" t="s">
        <v>409</v>
      </c>
      <c r="G178" s="8">
        <v>-1.17E-2</v>
      </c>
      <c r="H178" s="3">
        <f t="shared" si="2"/>
        <v>-1.166699624283174E-2</v>
      </c>
    </row>
    <row r="179" spans="1:8" x14ac:dyDescent="0.3">
      <c r="A179" s="7">
        <v>45642</v>
      </c>
      <c r="B179">
        <v>50.06</v>
      </c>
      <c r="C179">
        <v>50.17</v>
      </c>
      <c r="D179">
        <v>50.21</v>
      </c>
      <c r="E179">
        <v>50.01</v>
      </c>
      <c r="F179" t="s">
        <v>1110</v>
      </c>
      <c r="G179" s="8">
        <v>1.6000000000000001E-3</v>
      </c>
      <c r="H179" s="3">
        <f t="shared" si="2"/>
        <v>1.6006402561026256E-3</v>
      </c>
    </row>
    <row r="180" spans="1:8" x14ac:dyDescent="0.3">
      <c r="A180" s="7">
        <v>45643</v>
      </c>
      <c r="B180">
        <v>49.91</v>
      </c>
      <c r="C180">
        <v>49.86</v>
      </c>
      <c r="D180">
        <v>50.01</v>
      </c>
      <c r="E180">
        <v>49.74</v>
      </c>
      <c r="F180" t="s">
        <v>393</v>
      </c>
      <c r="G180" s="8">
        <v>-3.0000000000000001E-3</v>
      </c>
      <c r="H180" s="3">
        <f t="shared" si="2"/>
        <v>-2.9964043148222874E-3</v>
      </c>
    </row>
    <row r="181" spans="1:8" x14ac:dyDescent="0.3">
      <c r="A181" s="7">
        <v>45644</v>
      </c>
      <c r="B181">
        <v>48.93</v>
      </c>
      <c r="C181">
        <v>49.8</v>
      </c>
      <c r="D181">
        <v>49.84</v>
      </c>
      <c r="E181">
        <v>48.84</v>
      </c>
      <c r="F181" t="s">
        <v>1109</v>
      </c>
      <c r="G181" s="8">
        <v>-1.9599999999999999E-2</v>
      </c>
      <c r="H181" s="3">
        <f t="shared" si="2"/>
        <v>-1.9635343618513268E-2</v>
      </c>
    </row>
    <row r="182" spans="1:8" x14ac:dyDescent="0.3">
      <c r="A182" s="7">
        <v>45645</v>
      </c>
      <c r="B182">
        <v>49</v>
      </c>
      <c r="C182">
        <v>49.01</v>
      </c>
      <c r="D182">
        <v>49.09</v>
      </c>
      <c r="E182">
        <v>48.83</v>
      </c>
      <c r="F182" t="s">
        <v>1108</v>
      </c>
      <c r="G182" s="8">
        <v>1.4E-3</v>
      </c>
      <c r="H182" s="3">
        <f t="shared" si="2"/>
        <v>1.4306151645206988E-3</v>
      </c>
    </row>
    <row r="183" spans="1:8" x14ac:dyDescent="0.3">
      <c r="A183" s="7">
        <v>45646</v>
      </c>
      <c r="B183">
        <v>49.5</v>
      </c>
      <c r="C183">
        <v>49.38</v>
      </c>
      <c r="D183">
        <v>49.68</v>
      </c>
      <c r="E183">
        <v>49.32</v>
      </c>
      <c r="F183" t="s">
        <v>1079</v>
      </c>
      <c r="G183" s="8">
        <v>1.0200000000000001E-2</v>
      </c>
      <c r="H183" s="3">
        <f t="shared" si="2"/>
        <v>1.0204081632652962E-2</v>
      </c>
    </row>
    <row r="184" spans="1:8" x14ac:dyDescent="0.3">
      <c r="A184" s="7">
        <v>45649</v>
      </c>
      <c r="B184">
        <v>49.27</v>
      </c>
      <c r="C184">
        <v>49.41</v>
      </c>
      <c r="D184">
        <v>49.42</v>
      </c>
      <c r="E184">
        <v>49.21</v>
      </c>
      <c r="F184" t="s">
        <v>159</v>
      </c>
      <c r="G184" s="8">
        <v>-4.5999999999999999E-3</v>
      </c>
      <c r="H184" s="3">
        <f t="shared" si="2"/>
        <v>-4.6464646464645654E-3</v>
      </c>
    </row>
    <row r="185" spans="1:8" x14ac:dyDescent="0.3">
      <c r="A185" s="7">
        <v>45650</v>
      </c>
      <c r="B185">
        <v>49.39</v>
      </c>
      <c r="C185">
        <v>49.38</v>
      </c>
      <c r="D185">
        <v>49.42</v>
      </c>
      <c r="E185">
        <v>49.25</v>
      </c>
      <c r="F185" t="s">
        <v>263</v>
      </c>
      <c r="G185" s="8">
        <v>2.3999999999999998E-3</v>
      </c>
      <c r="H185" s="3">
        <f t="shared" si="2"/>
        <v>2.4355591637912344E-3</v>
      </c>
    </row>
    <row r="186" spans="1:8" x14ac:dyDescent="0.3">
      <c r="A186" s="7">
        <v>45652</v>
      </c>
      <c r="B186">
        <v>49.72</v>
      </c>
      <c r="C186">
        <v>49.58</v>
      </c>
      <c r="D186">
        <v>49.81</v>
      </c>
      <c r="E186">
        <v>49.53</v>
      </c>
      <c r="F186" t="s">
        <v>28</v>
      </c>
      <c r="G186" s="8">
        <v>6.7000000000000002E-3</v>
      </c>
      <c r="H186" s="3">
        <f t="shared" si="2"/>
        <v>6.6815144766145806E-3</v>
      </c>
    </row>
    <row r="187" spans="1:8" x14ac:dyDescent="0.3">
      <c r="A187" s="7">
        <v>45653</v>
      </c>
      <c r="B187">
        <v>49.37</v>
      </c>
      <c r="C187">
        <v>49.36</v>
      </c>
      <c r="D187">
        <v>49.49</v>
      </c>
      <c r="E187">
        <v>49.3</v>
      </c>
      <c r="F187" t="s">
        <v>33</v>
      </c>
      <c r="G187" s="8">
        <v>-7.0000000000000001E-3</v>
      </c>
      <c r="H187" s="3">
        <f t="shared" si="2"/>
        <v>-7.039420756234982E-3</v>
      </c>
    </row>
    <row r="188" spans="1:8" x14ac:dyDescent="0.3">
      <c r="A188" s="7">
        <v>45656</v>
      </c>
      <c r="B188">
        <v>49.22</v>
      </c>
      <c r="C188">
        <v>49.3</v>
      </c>
      <c r="D188">
        <v>49.3</v>
      </c>
      <c r="E188">
        <v>49</v>
      </c>
      <c r="F188" t="s">
        <v>236</v>
      </c>
      <c r="G188" s="8">
        <v>-3.0000000000000001E-3</v>
      </c>
      <c r="H188" s="3">
        <f t="shared" si="2"/>
        <v>-3.0382823577070894E-3</v>
      </c>
    </row>
    <row r="189" spans="1:8" x14ac:dyDescent="0.3">
      <c r="A189" s="7">
        <v>45657</v>
      </c>
      <c r="B189">
        <v>49.51</v>
      </c>
      <c r="C189">
        <v>49.3</v>
      </c>
      <c r="D189">
        <v>49.6</v>
      </c>
      <c r="E189">
        <v>49.3</v>
      </c>
      <c r="F189" t="s">
        <v>1107</v>
      </c>
      <c r="G189" s="8">
        <v>5.8999999999999999E-3</v>
      </c>
      <c r="H189" s="3">
        <f t="shared" si="2"/>
        <v>5.8919138561559503E-3</v>
      </c>
    </row>
    <row r="190" spans="1:8" x14ac:dyDescent="0.3">
      <c r="A190" s="7">
        <v>45659</v>
      </c>
      <c r="B190">
        <v>50.19</v>
      </c>
      <c r="C190">
        <v>49.95</v>
      </c>
      <c r="D190">
        <v>50.22</v>
      </c>
      <c r="E190">
        <v>49.92</v>
      </c>
      <c r="F190" t="s">
        <v>1106</v>
      </c>
      <c r="G190" s="8">
        <v>1.37E-2</v>
      </c>
      <c r="H190" s="3">
        <f t="shared" si="2"/>
        <v>1.3734599070894804E-2</v>
      </c>
    </row>
    <row r="191" spans="1:8" x14ac:dyDescent="0.3">
      <c r="A191" s="7">
        <v>45660</v>
      </c>
      <c r="B191">
        <v>49.79</v>
      </c>
      <c r="C191">
        <v>50.02</v>
      </c>
      <c r="D191">
        <v>50.07</v>
      </c>
      <c r="E191">
        <v>49.78</v>
      </c>
      <c r="F191" t="s">
        <v>284</v>
      </c>
      <c r="G191" s="8">
        <v>-8.0000000000000002E-3</v>
      </c>
      <c r="H191" s="3">
        <f t="shared" si="2"/>
        <v>-7.9697150826857355E-3</v>
      </c>
    </row>
    <row r="192" spans="1:8" x14ac:dyDescent="0.3">
      <c r="A192" s="7">
        <v>45663</v>
      </c>
      <c r="B192">
        <v>49.74</v>
      </c>
      <c r="C192">
        <v>49.56</v>
      </c>
      <c r="D192">
        <v>49.86</v>
      </c>
      <c r="E192">
        <v>49.51</v>
      </c>
      <c r="F192" t="s">
        <v>1105</v>
      </c>
      <c r="G192" s="8">
        <v>-1E-3</v>
      </c>
      <c r="H192" s="3">
        <f t="shared" si="2"/>
        <v>-1.0042177144004016E-3</v>
      </c>
    </row>
    <row r="193" spans="1:8" x14ac:dyDescent="0.3">
      <c r="A193" s="7">
        <v>45664</v>
      </c>
      <c r="B193">
        <v>50.01</v>
      </c>
      <c r="C193">
        <v>50.21</v>
      </c>
      <c r="D193">
        <v>50.26</v>
      </c>
      <c r="E193">
        <v>49.88</v>
      </c>
      <c r="F193" t="s">
        <v>1104</v>
      </c>
      <c r="G193" s="8">
        <v>5.4000000000000003E-3</v>
      </c>
      <c r="H193" s="3">
        <f t="shared" si="2"/>
        <v>5.4282267792520322E-3</v>
      </c>
    </row>
    <row r="194" spans="1:8" x14ac:dyDescent="0.3">
      <c r="A194" s="7">
        <v>45665</v>
      </c>
      <c r="B194">
        <v>50.29</v>
      </c>
      <c r="C194">
        <v>50.25</v>
      </c>
      <c r="D194">
        <v>50.41</v>
      </c>
      <c r="E194">
        <v>50.01</v>
      </c>
      <c r="F194" t="s">
        <v>1103</v>
      </c>
      <c r="G194" s="8">
        <v>5.5999999999999999E-3</v>
      </c>
      <c r="H194" s="3">
        <f t="shared" si="2"/>
        <v>5.5988802239552715E-3</v>
      </c>
    </row>
    <row r="195" spans="1:8" x14ac:dyDescent="0.3">
      <c r="A195" s="7">
        <v>45667</v>
      </c>
      <c r="B195">
        <v>50.78</v>
      </c>
      <c r="C195">
        <v>50.74</v>
      </c>
      <c r="D195">
        <v>50.93</v>
      </c>
      <c r="E195">
        <v>50.63</v>
      </c>
      <c r="F195" t="s">
        <v>1102</v>
      </c>
      <c r="G195" s="8">
        <v>9.7000000000000003E-3</v>
      </c>
      <c r="H195" s="3">
        <f t="shared" si="2"/>
        <v>9.7434877709285939E-3</v>
      </c>
    </row>
    <row r="196" spans="1:8" x14ac:dyDescent="0.3">
      <c r="A196" s="7">
        <v>45670</v>
      </c>
      <c r="B196">
        <v>50.25</v>
      </c>
      <c r="C196">
        <v>50.37</v>
      </c>
      <c r="D196">
        <v>50.48</v>
      </c>
      <c r="E196">
        <v>50.14</v>
      </c>
      <c r="F196" t="s">
        <v>30</v>
      </c>
      <c r="G196" s="8">
        <v>-1.04E-2</v>
      </c>
      <c r="H196" s="3">
        <f t="shared" ref="H196:H250" si="3">(B196/B195)-1</f>
        <v>-1.0437179992122902E-2</v>
      </c>
    </row>
    <row r="197" spans="1:8" x14ac:dyDescent="0.3">
      <c r="A197" s="7">
        <v>45671</v>
      </c>
      <c r="B197">
        <v>50.53</v>
      </c>
      <c r="C197">
        <v>50.21</v>
      </c>
      <c r="D197">
        <v>50.53</v>
      </c>
      <c r="E197">
        <v>50.21</v>
      </c>
      <c r="F197" t="s">
        <v>85</v>
      </c>
      <c r="G197" s="8">
        <v>5.5999999999999999E-3</v>
      </c>
      <c r="H197" s="3">
        <f t="shared" si="3"/>
        <v>5.5721393034826594E-3</v>
      </c>
    </row>
    <row r="198" spans="1:8" x14ac:dyDescent="0.3">
      <c r="A198" s="7">
        <v>45672</v>
      </c>
      <c r="B198">
        <v>50.91</v>
      </c>
      <c r="C198">
        <v>50.78</v>
      </c>
      <c r="D198">
        <v>50.91</v>
      </c>
      <c r="E198">
        <v>50.53</v>
      </c>
      <c r="F198" t="s">
        <v>431</v>
      </c>
      <c r="G198" s="8">
        <v>7.4999999999999997E-3</v>
      </c>
      <c r="H198" s="3">
        <f t="shared" si="3"/>
        <v>7.5202849792201931E-3</v>
      </c>
    </row>
    <row r="199" spans="1:8" x14ac:dyDescent="0.3">
      <c r="A199" s="7">
        <v>45673</v>
      </c>
      <c r="B199">
        <v>51.25</v>
      </c>
      <c r="C199">
        <v>51.25</v>
      </c>
      <c r="D199">
        <v>51.42</v>
      </c>
      <c r="E199">
        <v>51.19</v>
      </c>
      <c r="F199" t="s">
        <v>1101</v>
      </c>
      <c r="G199" s="8">
        <v>6.7000000000000002E-3</v>
      </c>
      <c r="H199" s="3">
        <f t="shared" si="3"/>
        <v>6.6784521704970068E-3</v>
      </c>
    </row>
    <row r="200" spans="1:8" x14ac:dyDescent="0.3">
      <c r="A200" s="7">
        <v>45674</v>
      </c>
      <c r="B200">
        <v>50.99</v>
      </c>
      <c r="C200">
        <v>51.06</v>
      </c>
      <c r="D200">
        <v>51.3</v>
      </c>
      <c r="E200">
        <v>50.96</v>
      </c>
      <c r="F200" t="s">
        <v>1100</v>
      </c>
      <c r="G200" s="8">
        <v>-5.1000000000000004E-3</v>
      </c>
      <c r="H200" s="3">
        <f t="shared" si="3"/>
        <v>-5.0731707317073216E-3</v>
      </c>
    </row>
    <row r="201" spans="1:8" x14ac:dyDescent="0.3">
      <c r="A201" s="7">
        <v>45678</v>
      </c>
      <c r="B201">
        <v>51.75</v>
      </c>
      <c r="C201">
        <v>51.55</v>
      </c>
      <c r="D201">
        <v>51.83</v>
      </c>
      <c r="E201">
        <v>51.51</v>
      </c>
      <c r="F201" t="s">
        <v>1099</v>
      </c>
      <c r="G201" s="8">
        <v>1.49E-2</v>
      </c>
      <c r="H201" s="3">
        <f t="shared" si="3"/>
        <v>1.4904883310453032E-2</v>
      </c>
    </row>
    <row r="202" spans="1:8" x14ac:dyDescent="0.3">
      <c r="A202" s="7">
        <v>45679</v>
      </c>
      <c r="B202">
        <v>52.03</v>
      </c>
      <c r="C202">
        <v>52.01</v>
      </c>
      <c r="D202">
        <v>52.1</v>
      </c>
      <c r="E202">
        <v>51.91</v>
      </c>
      <c r="F202" t="s">
        <v>1098</v>
      </c>
      <c r="G202" s="8">
        <v>5.4000000000000003E-3</v>
      </c>
      <c r="H202" s="3">
        <f t="shared" si="3"/>
        <v>5.4106280193237932E-3</v>
      </c>
    </row>
    <row r="203" spans="1:8" x14ac:dyDescent="0.3">
      <c r="A203" s="7">
        <v>45680</v>
      </c>
      <c r="B203">
        <v>51.98</v>
      </c>
      <c r="C203">
        <v>51.79</v>
      </c>
      <c r="D203">
        <v>52.08</v>
      </c>
      <c r="E203">
        <v>51.71</v>
      </c>
      <c r="F203" t="s">
        <v>339</v>
      </c>
      <c r="G203" s="8">
        <v>-1E-3</v>
      </c>
      <c r="H203" s="3">
        <f t="shared" si="3"/>
        <v>-9.6098404766487011E-4</v>
      </c>
    </row>
    <row r="204" spans="1:8" x14ac:dyDescent="0.3">
      <c r="A204" s="7">
        <v>45681</v>
      </c>
      <c r="B204">
        <v>52.31</v>
      </c>
      <c r="C204">
        <v>52.35</v>
      </c>
      <c r="D204">
        <v>52.58</v>
      </c>
      <c r="E204">
        <v>52.28</v>
      </c>
      <c r="F204" t="s">
        <v>218</v>
      </c>
      <c r="G204" s="8">
        <v>6.3E-3</v>
      </c>
      <c r="H204" s="3">
        <f t="shared" si="3"/>
        <v>6.3485956136977162E-3</v>
      </c>
    </row>
    <row r="205" spans="1:8" x14ac:dyDescent="0.3">
      <c r="A205" s="7">
        <v>45684</v>
      </c>
      <c r="B205">
        <v>51.76</v>
      </c>
      <c r="C205">
        <v>51.91</v>
      </c>
      <c r="D205">
        <v>52</v>
      </c>
      <c r="E205">
        <v>51.52</v>
      </c>
      <c r="F205" t="s">
        <v>1097</v>
      </c>
      <c r="G205" s="8">
        <v>-1.0500000000000001E-2</v>
      </c>
      <c r="H205" s="3">
        <f t="shared" si="3"/>
        <v>-1.0514242018734521E-2</v>
      </c>
    </row>
    <row r="206" spans="1:8" x14ac:dyDescent="0.3">
      <c r="A206" s="7">
        <v>45685</v>
      </c>
      <c r="B206">
        <v>52.18</v>
      </c>
      <c r="C206">
        <v>51.98</v>
      </c>
      <c r="D206">
        <v>52.19</v>
      </c>
      <c r="E206">
        <v>51.92</v>
      </c>
      <c r="F206" t="s">
        <v>392</v>
      </c>
      <c r="G206" s="8">
        <v>8.0999999999999996E-3</v>
      </c>
      <c r="H206" s="3">
        <f t="shared" si="3"/>
        <v>8.1143740340030579E-3</v>
      </c>
    </row>
    <row r="207" spans="1:8" x14ac:dyDescent="0.3">
      <c r="A207" s="7">
        <v>45686</v>
      </c>
      <c r="B207">
        <v>52</v>
      </c>
      <c r="C207">
        <v>52.04</v>
      </c>
      <c r="D207">
        <v>52.11</v>
      </c>
      <c r="E207">
        <v>51.81</v>
      </c>
      <c r="F207" t="s">
        <v>444</v>
      </c>
      <c r="G207" s="8">
        <v>-3.3999999999999998E-3</v>
      </c>
      <c r="H207" s="3">
        <f t="shared" si="3"/>
        <v>-3.4495975469528428E-3</v>
      </c>
    </row>
    <row r="208" spans="1:8" x14ac:dyDescent="0.3">
      <c r="A208" s="7">
        <v>45687</v>
      </c>
      <c r="B208">
        <v>52.76</v>
      </c>
      <c r="C208">
        <v>52.59</v>
      </c>
      <c r="D208">
        <v>52.81</v>
      </c>
      <c r="E208">
        <v>52.46</v>
      </c>
      <c r="F208" t="s">
        <v>434</v>
      </c>
      <c r="G208" s="8">
        <v>1.46E-2</v>
      </c>
      <c r="H208" s="3">
        <f t="shared" si="3"/>
        <v>1.4615384615384475E-2</v>
      </c>
    </row>
    <row r="209" spans="1:8" x14ac:dyDescent="0.3">
      <c r="A209" s="7">
        <v>45688</v>
      </c>
      <c r="B209">
        <v>52.87</v>
      </c>
      <c r="C209">
        <v>52.99</v>
      </c>
      <c r="D209">
        <v>53.18</v>
      </c>
      <c r="E209">
        <v>52.74</v>
      </c>
      <c r="F209" t="s">
        <v>515</v>
      </c>
      <c r="G209" s="8">
        <v>2.0999999999999999E-3</v>
      </c>
      <c r="H209" s="3">
        <f t="shared" si="3"/>
        <v>2.0849128127369276E-3</v>
      </c>
    </row>
    <row r="210" spans="1:8" x14ac:dyDescent="0.3">
      <c r="A210" s="7">
        <v>45691</v>
      </c>
      <c r="B210">
        <v>53.17</v>
      </c>
      <c r="C210">
        <v>53.13</v>
      </c>
      <c r="D210">
        <v>53.44</v>
      </c>
      <c r="E210">
        <v>53.08</v>
      </c>
      <c r="F210" t="s">
        <v>1096</v>
      </c>
      <c r="G210" s="8">
        <v>5.7000000000000002E-3</v>
      </c>
      <c r="H210" s="3">
        <f t="shared" si="3"/>
        <v>5.6742954416493241E-3</v>
      </c>
    </row>
    <row r="211" spans="1:8" x14ac:dyDescent="0.3">
      <c r="A211" s="7">
        <v>45692</v>
      </c>
      <c r="B211">
        <v>53.69</v>
      </c>
      <c r="C211">
        <v>53.55</v>
      </c>
      <c r="D211">
        <v>53.69</v>
      </c>
      <c r="E211">
        <v>53.46</v>
      </c>
      <c r="F211" t="s">
        <v>1095</v>
      </c>
      <c r="G211" s="8">
        <v>9.7999999999999997E-3</v>
      </c>
      <c r="H211" s="3">
        <f t="shared" si="3"/>
        <v>9.7799511002443218E-3</v>
      </c>
    </row>
    <row r="212" spans="1:8" x14ac:dyDescent="0.3">
      <c r="A212" s="7">
        <v>45693</v>
      </c>
      <c r="B212">
        <v>54.02</v>
      </c>
      <c r="C212">
        <v>54.08</v>
      </c>
      <c r="D212">
        <v>54.4</v>
      </c>
      <c r="E212">
        <v>53.99</v>
      </c>
      <c r="F212" t="s">
        <v>500</v>
      </c>
      <c r="G212" s="8">
        <v>6.1000000000000004E-3</v>
      </c>
      <c r="H212" s="3">
        <f t="shared" si="3"/>
        <v>6.1463959769045839E-3</v>
      </c>
    </row>
    <row r="213" spans="1:8" x14ac:dyDescent="0.3">
      <c r="A213" s="7">
        <v>45694</v>
      </c>
      <c r="B213">
        <v>53.89</v>
      </c>
      <c r="C213">
        <v>53.93</v>
      </c>
      <c r="D213">
        <v>53.94</v>
      </c>
      <c r="E213">
        <v>53.48</v>
      </c>
      <c r="F213" t="s">
        <v>1089</v>
      </c>
      <c r="G213" s="8">
        <v>-2.3999999999999998E-3</v>
      </c>
      <c r="H213" s="3">
        <f t="shared" si="3"/>
        <v>-2.4065161051463058E-3</v>
      </c>
    </row>
    <row r="214" spans="1:8" x14ac:dyDescent="0.3">
      <c r="A214" s="7">
        <v>45695</v>
      </c>
      <c r="B214">
        <v>53.97</v>
      </c>
      <c r="C214">
        <v>54.23</v>
      </c>
      <c r="D214">
        <v>54.47</v>
      </c>
      <c r="E214">
        <v>53.83</v>
      </c>
      <c r="F214" t="s">
        <v>1094</v>
      </c>
      <c r="G214" s="8">
        <v>1.5E-3</v>
      </c>
      <c r="H214" s="3">
        <f t="shared" si="3"/>
        <v>1.4845054741139396E-3</v>
      </c>
    </row>
    <row r="215" spans="1:8" x14ac:dyDescent="0.3">
      <c r="A215" s="7">
        <v>45698</v>
      </c>
      <c r="B215">
        <v>54.88</v>
      </c>
      <c r="C215">
        <v>54.83</v>
      </c>
      <c r="D215">
        <v>54.94</v>
      </c>
      <c r="E215">
        <v>54.67</v>
      </c>
      <c r="F215" t="s">
        <v>767</v>
      </c>
      <c r="G215" s="8">
        <v>1.6899999999999998E-2</v>
      </c>
      <c r="H215" s="3">
        <f t="shared" si="3"/>
        <v>1.6861219195849708E-2</v>
      </c>
    </row>
    <row r="216" spans="1:8" x14ac:dyDescent="0.3">
      <c r="A216" s="7">
        <v>45699</v>
      </c>
      <c r="B216">
        <v>54.69</v>
      </c>
      <c r="C216">
        <v>54.76</v>
      </c>
      <c r="D216">
        <v>54.88</v>
      </c>
      <c r="E216">
        <v>54.56</v>
      </c>
      <c r="F216" t="s">
        <v>328</v>
      </c>
      <c r="G216" s="8">
        <v>-3.5000000000000001E-3</v>
      </c>
      <c r="H216" s="3">
        <f t="shared" si="3"/>
        <v>-3.4620991253645483E-3</v>
      </c>
    </row>
    <row r="217" spans="1:8" x14ac:dyDescent="0.3">
      <c r="A217" s="7">
        <v>45700</v>
      </c>
      <c r="B217">
        <v>54.75</v>
      </c>
      <c r="C217">
        <v>54.65</v>
      </c>
      <c r="D217">
        <v>54.91</v>
      </c>
      <c r="E217">
        <v>54.48</v>
      </c>
      <c r="F217" t="s">
        <v>434</v>
      </c>
      <c r="G217" s="8">
        <v>1.1000000000000001E-3</v>
      </c>
      <c r="H217" s="3">
        <f t="shared" si="3"/>
        <v>1.0970927043336687E-3</v>
      </c>
    </row>
    <row r="218" spans="1:8" x14ac:dyDescent="0.3">
      <c r="A218" s="7">
        <v>45701</v>
      </c>
      <c r="B218">
        <v>55.28</v>
      </c>
      <c r="C218">
        <v>54.89</v>
      </c>
      <c r="D218">
        <v>55.29</v>
      </c>
      <c r="E218">
        <v>54.87</v>
      </c>
      <c r="F218" t="s">
        <v>218</v>
      </c>
      <c r="G218" s="8">
        <v>9.7000000000000003E-3</v>
      </c>
      <c r="H218" s="3">
        <f t="shared" si="3"/>
        <v>9.6803652968036058E-3</v>
      </c>
    </row>
    <row r="219" spans="1:8" x14ac:dyDescent="0.3">
      <c r="A219" s="7">
        <v>45702</v>
      </c>
      <c r="B219">
        <v>54.46</v>
      </c>
      <c r="C219">
        <v>55.24</v>
      </c>
      <c r="D219">
        <v>55.27</v>
      </c>
      <c r="E219">
        <v>54.3</v>
      </c>
      <c r="F219" t="s">
        <v>444</v>
      </c>
      <c r="G219" s="8">
        <v>-1.4800000000000001E-2</v>
      </c>
      <c r="H219" s="3">
        <f t="shared" si="3"/>
        <v>-1.483357452966716E-2</v>
      </c>
    </row>
    <row r="220" spans="1:8" x14ac:dyDescent="0.3">
      <c r="A220" s="7">
        <v>45706</v>
      </c>
      <c r="B220">
        <v>55.37</v>
      </c>
      <c r="C220">
        <v>55.16</v>
      </c>
      <c r="D220">
        <v>55.44</v>
      </c>
      <c r="E220">
        <v>55.15</v>
      </c>
      <c r="F220" t="s">
        <v>1093</v>
      </c>
      <c r="G220" s="8">
        <v>1.67E-2</v>
      </c>
      <c r="H220" s="3">
        <f t="shared" si="3"/>
        <v>1.6709511568123281E-2</v>
      </c>
    </row>
    <row r="221" spans="1:8" x14ac:dyDescent="0.3">
      <c r="A221" s="7">
        <v>45707</v>
      </c>
      <c r="B221">
        <v>55.42</v>
      </c>
      <c r="C221">
        <v>55.37</v>
      </c>
      <c r="D221">
        <v>55.49</v>
      </c>
      <c r="E221">
        <v>55.08</v>
      </c>
      <c r="F221" t="s">
        <v>1092</v>
      </c>
      <c r="G221" s="8">
        <v>8.9999999999999998E-4</v>
      </c>
      <c r="H221" s="3">
        <f t="shared" si="3"/>
        <v>9.0301607368625803E-4</v>
      </c>
    </row>
    <row r="222" spans="1:8" x14ac:dyDescent="0.3">
      <c r="A222" s="7">
        <v>45708</v>
      </c>
      <c r="B222">
        <v>55.44</v>
      </c>
      <c r="C222">
        <v>55.28</v>
      </c>
      <c r="D222">
        <v>55.6</v>
      </c>
      <c r="E222">
        <v>55.27</v>
      </c>
      <c r="F222" t="s">
        <v>271</v>
      </c>
      <c r="G222" s="8">
        <v>4.0000000000000002E-4</v>
      </c>
      <c r="H222" s="3">
        <f t="shared" si="3"/>
        <v>3.6088054853844476E-4</v>
      </c>
    </row>
    <row r="223" spans="1:8" x14ac:dyDescent="0.3">
      <c r="A223" s="7">
        <v>45709</v>
      </c>
      <c r="B223">
        <v>55.39</v>
      </c>
      <c r="C223">
        <v>55.38</v>
      </c>
      <c r="D223">
        <v>55.54</v>
      </c>
      <c r="E223">
        <v>55.14</v>
      </c>
      <c r="F223" t="s">
        <v>526</v>
      </c>
      <c r="G223" s="8">
        <v>-8.9999999999999998E-4</v>
      </c>
      <c r="H223" s="3">
        <f t="shared" si="3"/>
        <v>-9.0187590187584821E-4</v>
      </c>
    </row>
    <row r="224" spans="1:8" x14ac:dyDescent="0.3">
      <c r="A224" s="7">
        <v>45712</v>
      </c>
      <c r="B224">
        <v>55.68</v>
      </c>
      <c r="C224">
        <v>55.52</v>
      </c>
      <c r="D224">
        <v>55.7</v>
      </c>
      <c r="E224">
        <v>55.31</v>
      </c>
      <c r="F224" t="s">
        <v>1091</v>
      </c>
      <c r="G224" s="8">
        <v>5.1999999999999998E-3</v>
      </c>
      <c r="H224" s="3">
        <f t="shared" si="3"/>
        <v>5.2356020942407877E-3</v>
      </c>
    </row>
    <row r="225" spans="1:8" x14ac:dyDescent="0.3">
      <c r="A225" s="7">
        <v>45713</v>
      </c>
      <c r="B225">
        <v>54.97</v>
      </c>
      <c r="C225">
        <v>55.53</v>
      </c>
      <c r="D225">
        <v>55.57</v>
      </c>
      <c r="E225">
        <v>54.5</v>
      </c>
      <c r="F225" t="s">
        <v>1090</v>
      </c>
      <c r="G225" s="8">
        <v>-1.2800000000000001E-2</v>
      </c>
      <c r="H225" s="3">
        <f t="shared" si="3"/>
        <v>-1.2751436781609171E-2</v>
      </c>
    </row>
    <row r="226" spans="1:8" x14ac:dyDescent="0.3">
      <c r="A226" s="7">
        <v>45714</v>
      </c>
      <c r="B226">
        <v>55.04</v>
      </c>
      <c r="C226">
        <v>54.64</v>
      </c>
      <c r="D226">
        <v>55.05</v>
      </c>
      <c r="E226">
        <v>54.56</v>
      </c>
      <c r="F226" t="s">
        <v>1089</v>
      </c>
      <c r="G226" s="8">
        <v>1.2999999999999999E-3</v>
      </c>
      <c r="H226" s="3">
        <f t="shared" si="3"/>
        <v>1.2734218664727237E-3</v>
      </c>
    </row>
    <row r="227" spans="1:8" x14ac:dyDescent="0.3">
      <c r="A227" s="7">
        <v>45715</v>
      </c>
      <c r="B227">
        <v>54.2</v>
      </c>
      <c r="C227">
        <v>54.52</v>
      </c>
      <c r="D227">
        <v>54.56</v>
      </c>
      <c r="E227">
        <v>54.1</v>
      </c>
      <c r="F227" t="s">
        <v>1088</v>
      </c>
      <c r="G227" s="8">
        <v>-1.5299999999999999E-2</v>
      </c>
      <c r="H227" s="3">
        <f t="shared" si="3"/>
        <v>-1.5261627906976716E-2</v>
      </c>
    </row>
    <row r="228" spans="1:8" x14ac:dyDescent="0.3">
      <c r="A228" s="7">
        <v>45716</v>
      </c>
      <c r="B228">
        <v>53.87</v>
      </c>
      <c r="C228">
        <v>53.7</v>
      </c>
      <c r="D228">
        <v>53.89</v>
      </c>
      <c r="E228">
        <v>53.44</v>
      </c>
      <c r="F228" t="s">
        <v>1087</v>
      </c>
      <c r="G228" s="8">
        <v>-6.1000000000000004E-3</v>
      </c>
      <c r="H228" s="3">
        <f t="shared" si="3"/>
        <v>-6.0885608856089402E-3</v>
      </c>
    </row>
    <row r="229" spans="1:8" x14ac:dyDescent="0.3">
      <c r="A229" s="7">
        <v>45719</v>
      </c>
      <c r="B229">
        <v>54.57</v>
      </c>
      <c r="C229">
        <v>54.23</v>
      </c>
      <c r="D229">
        <v>54.6</v>
      </c>
      <c r="E229">
        <v>54.2</v>
      </c>
      <c r="F229" t="s">
        <v>1086</v>
      </c>
      <c r="G229" s="8">
        <v>1.2999999999999999E-2</v>
      </c>
      <c r="H229" s="3">
        <f t="shared" si="3"/>
        <v>1.2994245405606231E-2</v>
      </c>
    </row>
    <row r="230" spans="1:8" x14ac:dyDescent="0.3">
      <c r="A230" s="7">
        <v>45720</v>
      </c>
      <c r="B230">
        <v>55.04</v>
      </c>
      <c r="C230">
        <v>55.05</v>
      </c>
      <c r="D230">
        <v>55.11</v>
      </c>
      <c r="E230">
        <v>54.73</v>
      </c>
      <c r="F230" t="s">
        <v>1082</v>
      </c>
      <c r="G230" s="8">
        <v>8.6E-3</v>
      </c>
      <c r="H230" s="3">
        <f t="shared" si="3"/>
        <v>8.6127909107567291E-3</v>
      </c>
    </row>
    <row r="231" spans="1:8" x14ac:dyDescent="0.3">
      <c r="A231" s="7">
        <v>45721</v>
      </c>
      <c r="B231">
        <v>55.17</v>
      </c>
      <c r="C231">
        <v>54.82</v>
      </c>
      <c r="D231">
        <v>55.29</v>
      </c>
      <c r="E231">
        <v>54.82</v>
      </c>
      <c r="F231" t="s">
        <v>1085</v>
      </c>
      <c r="G231" s="8">
        <v>2.3999999999999998E-3</v>
      </c>
      <c r="H231" s="3">
        <f t="shared" si="3"/>
        <v>2.3619186046512919E-3</v>
      </c>
    </row>
    <row r="232" spans="1:8" x14ac:dyDescent="0.3">
      <c r="A232" s="7">
        <v>45722</v>
      </c>
      <c r="B232">
        <v>54.87</v>
      </c>
      <c r="C232">
        <v>54.87</v>
      </c>
      <c r="D232">
        <v>55.13</v>
      </c>
      <c r="E232">
        <v>54.87</v>
      </c>
      <c r="F232" t="s">
        <v>1084</v>
      </c>
      <c r="G232" s="8">
        <v>-5.4000000000000003E-3</v>
      </c>
      <c r="H232" s="3">
        <f t="shared" si="3"/>
        <v>-5.4377379010333016E-3</v>
      </c>
    </row>
    <row r="233" spans="1:8" x14ac:dyDescent="0.3">
      <c r="A233" s="7">
        <v>45723</v>
      </c>
      <c r="B233">
        <v>54.91</v>
      </c>
      <c r="C233">
        <v>55.04</v>
      </c>
      <c r="D233">
        <v>55.3</v>
      </c>
      <c r="E233">
        <v>54.77</v>
      </c>
      <c r="F233" t="s">
        <v>328</v>
      </c>
      <c r="G233" s="8">
        <v>6.9999999999999999E-4</v>
      </c>
      <c r="H233" s="3">
        <f t="shared" si="3"/>
        <v>7.2899580827412436E-4</v>
      </c>
    </row>
    <row r="234" spans="1:8" x14ac:dyDescent="0.3">
      <c r="A234" s="7">
        <v>45726</v>
      </c>
      <c r="B234">
        <v>54.43</v>
      </c>
      <c r="C234">
        <v>54.75</v>
      </c>
      <c r="D234">
        <v>54.92</v>
      </c>
      <c r="E234">
        <v>54.34</v>
      </c>
      <c r="F234" t="s">
        <v>385</v>
      </c>
      <c r="G234" s="8">
        <v>-8.6999999999999994E-3</v>
      </c>
      <c r="H234" s="3">
        <f t="shared" si="3"/>
        <v>-8.7415771262064901E-3</v>
      </c>
    </row>
    <row r="235" spans="1:8" x14ac:dyDescent="0.3">
      <c r="A235" s="7">
        <v>45727</v>
      </c>
      <c r="B235">
        <v>55.07</v>
      </c>
      <c r="C235">
        <v>54.94</v>
      </c>
      <c r="D235">
        <v>55.14</v>
      </c>
      <c r="E235">
        <v>54.92</v>
      </c>
      <c r="F235" t="s">
        <v>1083</v>
      </c>
      <c r="G235" s="8">
        <v>1.18E-2</v>
      </c>
      <c r="H235" s="3">
        <f t="shared" si="3"/>
        <v>1.1758221568987759E-2</v>
      </c>
    </row>
    <row r="236" spans="1:8" x14ac:dyDescent="0.3">
      <c r="A236" s="7">
        <v>45728</v>
      </c>
      <c r="B236">
        <v>55.3</v>
      </c>
      <c r="C236">
        <v>54.93</v>
      </c>
      <c r="D236">
        <v>55.49</v>
      </c>
      <c r="E236">
        <v>54.9</v>
      </c>
      <c r="F236" t="s">
        <v>1082</v>
      </c>
      <c r="G236" s="8">
        <v>4.1999999999999997E-3</v>
      </c>
      <c r="H236" s="3">
        <f t="shared" si="3"/>
        <v>4.1765026330125021E-3</v>
      </c>
    </row>
    <row r="237" spans="1:8" x14ac:dyDescent="0.3">
      <c r="A237" s="7">
        <v>45729</v>
      </c>
      <c r="B237">
        <v>56.27</v>
      </c>
      <c r="C237">
        <v>55.57</v>
      </c>
      <c r="D237">
        <v>56.33</v>
      </c>
      <c r="E237">
        <v>55.56</v>
      </c>
      <c r="F237" t="s">
        <v>1081</v>
      </c>
      <c r="G237" s="8">
        <v>1.7500000000000002E-2</v>
      </c>
      <c r="H237" s="3">
        <f t="shared" si="3"/>
        <v>1.7540687160940482E-2</v>
      </c>
    </row>
    <row r="238" spans="1:8" x14ac:dyDescent="0.3">
      <c r="A238" s="7">
        <v>45730</v>
      </c>
      <c r="B238">
        <v>56.29</v>
      </c>
      <c r="C238">
        <v>56.52</v>
      </c>
      <c r="D238">
        <v>56.53</v>
      </c>
      <c r="E238">
        <v>56.19</v>
      </c>
      <c r="F238" t="s">
        <v>13</v>
      </c>
      <c r="G238" s="8">
        <v>4.0000000000000002E-4</v>
      </c>
      <c r="H238" s="3">
        <f t="shared" si="3"/>
        <v>3.5542918073572238E-4</v>
      </c>
    </row>
    <row r="239" spans="1:8" x14ac:dyDescent="0.3">
      <c r="A239" s="7">
        <v>45733</v>
      </c>
      <c r="B239">
        <v>56.62</v>
      </c>
      <c r="C239">
        <v>56.37</v>
      </c>
      <c r="D239">
        <v>56.63</v>
      </c>
      <c r="E239">
        <v>56.35</v>
      </c>
      <c r="F239" t="s">
        <v>246</v>
      </c>
      <c r="G239" s="8">
        <v>5.8999999999999999E-3</v>
      </c>
      <c r="H239" s="3">
        <f t="shared" si="3"/>
        <v>5.8624977793568789E-3</v>
      </c>
    </row>
    <row r="240" spans="1:8" x14ac:dyDescent="0.3">
      <c r="A240" s="7">
        <v>45734</v>
      </c>
      <c r="B240">
        <v>57.27</v>
      </c>
      <c r="C240">
        <v>57.28</v>
      </c>
      <c r="D240">
        <v>57.33</v>
      </c>
      <c r="E240">
        <v>57.07</v>
      </c>
      <c r="F240" t="s">
        <v>37</v>
      </c>
      <c r="G240" s="8">
        <v>1.15E-2</v>
      </c>
      <c r="H240" s="3">
        <f t="shared" si="3"/>
        <v>1.1480042387848943E-2</v>
      </c>
    </row>
    <row r="241" spans="1:8" x14ac:dyDescent="0.3">
      <c r="A241" s="7">
        <v>45735</v>
      </c>
      <c r="B241">
        <v>57.51</v>
      </c>
      <c r="C241">
        <v>57.27</v>
      </c>
      <c r="D241">
        <v>57.58</v>
      </c>
      <c r="E241">
        <v>57.09</v>
      </c>
      <c r="F241" t="s">
        <v>789</v>
      </c>
      <c r="G241" s="8">
        <v>4.1999999999999997E-3</v>
      </c>
      <c r="H241" s="3">
        <f t="shared" si="3"/>
        <v>4.1906757464640343E-3</v>
      </c>
    </row>
    <row r="242" spans="1:8" x14ac:dyDescent="0.3">
      <c r="A242" s="7">
        <v>45736</v>
      </c>
      <c r="B242">
        <v>57.44</v>
      </c>
      <c r="C242">
        <v>57.18</v>
      </c>
      <c r="D242">
        <v>57.47</v>
      </c>
      <c r="E242">
        <v>57.16</v>
      </c>
      <c r="F242" t="s">
        <v>1080</v>
      </c>
      <c r="G242" s="8">
        <v>-1.1999999999999999E-3</v>
      </c>
      <c r="H242" s="3">
        <f t="shared" si="3"/>
        <v>-1.2171796209354824E-3</v>
      </c>
    </row>
    <row r="243" spans="1:8" x14ac:dyDescent="0.3">
      <c r="A243" s="7">
        <v>45737</v>
      </c>
      <c r="B243">
        <v>56.97</v>
      </c>
      <c r="C243">
        <v>57.14</v>
      </c>
      <c r="D243">
        <v>57.15</v>
      </c>
      <c r="E243">
        <v>56.58</v>
      </c>
      <c r="F243" t="s">
        <v>364</v>
      </c>
      <c r="G243" s="8">
        <v>-8.2000000000000007E-3</v>
      </c>
      <c r="H243" s="3">
        <f t="shared" si="3"/>
        <v>-8.1824512534818261E-3</v>
      </c>
    </row>
    <row r="244" spans="1:8" x14ac:dyDescent="0.3">
      <c r="A244" s="7">
        <v>45740</v>
      </c>
      <c r="B244">
        <v>56.7</v>
      </c>
      <c r="C244">
        <v>57.04</v>
      </c>
      <c r="D244">
        <v>57.09</v>
      </c>
      <c r="E244">
        <v>56.63</v>
      </c>
      <c r="F244" t="s">
        <v>1079</v>
      </c>
      <c r="G244" s="8">
        <v>-4.7000000000000002E-3</v>
      </c>
      <c r="H244" s="3">
        <f t="shared" si="3"/>
        <v>-4.7393364928909332E-3</v>
      </c>
    </row>
    <row r="245" spans="1:8" x14ac:dyDescent="0.3">
      <c r="A245" s="7">
        <v>45741</v>
      </c>
      <c r="B245">
        <v>56.99</v>
      </c>
      <c r="C245">
        <v>57.02</v>
      </c>
      <c r="D245">
        <v>57.27</v>
      </c>
      <c r="E245">
        <v>56.93</v>
      </c>
      <c r="F245" t="s">
        <v>269</v>
      </c>
      <c r="G245" s="8">
        <v>5.1000000000000004E-3</v>
      </c>
      <c r="H245" s="3">
        <f t="shared" si="3"/>
        <v>5.1146384479716644E-3</v>
      </c>
    </row>
    <row r="246" spans="1:8" x14ac:dyDescent="0.3">
      <c r="A246" s="7">
        <v>45742</v>
      </c>
      <c r="B246">
        <v>56.92</v>
      </c>
      <c r="C246">
        <v>57.07</v>
      </c>
      <c r="D246">
        <v>57.08</v>
      </c>
      <c r="E246">
        <v>56.84</v>
      </c>
      <c r="F246" t="s">
        <v>242</v>
      </c>
      <c r="G246" s="8">
        <v>-1.1999999999999999E-3</v>
      </c>
      <c r="H246" s="3">
        <f t="shared" si="3"/>
        <v>-1.2282856641515627E-3</v>
      </c>
    </row>
    <row r="247" spans="1:8" x14ac:dyDescent="0.3">
      <c r="A247" s="7">
        <v>45743</v>
      </c>
      <c r="B247">
        <v>57.68</v>
      </c>
      <c r="C247">
        <v>57.38</v>
      </c>
      <c r="D247">
        <v>57.71</v>
      </c>
      <c r="E247">
        <v>57.2</v>
      </c>
      <c r="F247" t="s">
        <v>1078</v>
      </c>
      <c r="G247" s="8">
        <v>1.34E-2</v>
      </c>
      <c r="H247" s="3">
        <f t="shared" si="3"/>
        <v>1.3352073085031613E-2</v>
      </c>
    </row>
    <row r="248" spans="1:8" x14ac:dyDescent="0.3">
      <c r="A248" s="7">
        <v>45744</v>
      </c>
      <c r="B248">
        <v>58.13</v>
      </c>
      <c r="C248">
        <v>58.05</v>
      </c>
      <c r="D248">
        <v>58.24</v>
      </c>
      <c r="E248">
        <v>57.87</v>
      </c>
      <c r="F248" t="s">
        <v>208</v>
      </c>
      <c r="G248" s="8">
        <v>7.7999999999999996E-3</v>
      </c>
      <c r="H248" s="3">
        <f t="shared" si="3"/>
        <v>7.8016643550624654E-3</v>
      </c>
    </row>
    <row r="249" spans="1:8" x14ac:dyDescent="0.3">
      <c r="A249" s="7">
        <v>45747</v>
      </c>
      <c r="B249">
        <v>58.96</v>
      </c>
      <c r="C249">
        <v>58.83</v>
      </c>
      <c r="D249">
        <v>59</v>
      </c>
      <c r="E249">
        <v>58.49</v>
      </c>
      <c r="F249" t="s">
        <v>450</v>
      </c>
      <c r="G249" s="8">
        <v>1.43E-2</v>
      </c>
      <c r="H249" s="3">
        <f t="shared" si="3"/>
        <v>1.4278341648030324E-2</v>
      </c>
    </row>
    <row r="250" spans="1:8" x14ac:dyDescent="0.3">
      <c r="A250" s="7">
        <v>45748</v>
      </c>
      <c r="B250">
        <v>58.86</v>
      </c>
      <c r="C250">
        <v>59.05</v>
      </c>
      <c r="D250">
        <v>59.15</v>
      </c>
      <c r="E250">
        <v>58.5</v>
      </c>
      <c r="F250" t="s">
        <v>1077</v>
      </c>
      <c r="G250" s="8">
        <v>-1.6999999999999999E-3</v>
      </c>
      <c r="H250" s="3">
        <f t="shared" si="3"/>
        <v>-1.6960651289009698E-3</v>
      </c>
    </row>
    <row r="251" spans="1:8" x14ac:dyDescent="0.3">
      <c r="A251" s="7">
        <v>45749</v>
      </c>
      <c r="B251">
        <v>58.95</v>
      </c>
      <c r="C251">
        <v>58.97</v>
      </c>
      <c r="D251">
        <v>59.14</v>
      </c>
      <c r="E251">
        <v>58.8</v>
      </c>
      <c r="F251" t="s">
        <v>411</v>
      </c>
      <c r="G251" s="8">
        <v>1.5E-3</v>
      </c>
      <c r="H251" s="3">
        <f>(B251/B250)-1</f>
        <v>1.5290519877675379E-3</v>
      </c>
    </row>
    <row r="252" spans="1:8" x14ac:dyDescent="0.3">
      <c r="A252" s="7">
        <v>45750</v>
      </c>
      <c r="B252">
        <v>58.6</v>
      </c>
      <c r="C252">
        <v>57.85</v>
      </c>
      <c r="D252">
        <v>59.14</v>
      </c>
      <c r="E252">
        <v>57.79</v>
      </c>
      <c r="F252" t="s">
        <v>1076</v>
      </c>
      <c r="G252" s="8">
        <v>-5.8999999999999999E-3</v>
      </c>
      <c r="H252" s="3">
        <f t="shared" ref="H252:H253" si="4">(B252/B251)-1</f>
        <v>-5.9372349448685302E-3</v>
      </c>
    </row>
    <row r="253" spans="1:8" x14ac:dyDescent="0.3">
      <c r="A253" s="7">
        <v>45751</v>
      </c>
      <c r="B253">
        <v>57.26</v>
      </c>
      <c r="C253">
        <v>58.03</v>
      </c>
      <c r="D253">
        <v>58.11</v>
      </c>
      <c r="E253">
        <v>56.89</v>
      </c>
      <c r="F253" t="s">
        <v>1075</v>
      </c>
      <c r="G253" s="8">
        <v>-2.29E-2</v>
      </c>
      <c r="H253" s="3">
        <f t="shared" si="4"/>
        <v>-2.2866894197952292E-2</v>
      </c>
    </row>
    <row r="254" spans="1:8" x14ac:dyDescent="0.3">
      <c r="A254" s="7"/>
      <c r="G254" s="8"/>
      <c r="H254" s="3"/>
    </row>
    <row r="255" spans="1:8" x14ac:dyDescent="0.3">
      <c r="A255" s="7"/>
      <c r="G255" s="8"/>
      <c r="H255" s="3"/>
    </row>
    <row r="256" spans="1:8" x14ac:dyDescent="0.3">
      <c r="A256" s="7"/>
      <c r="G256" s="8"/>
      <c r="H256" s="3"/>
    </row>
    <row r="257" spans="1:7" x14ac:dyDescent="0.3">
      <c r="A257" s="7"/>
      <c r="G257" s="8"/>
    </row>
    <row r="258" spans="1:7" x14ac:dyDescent="0.3">
      <c r="A258" s="7"/>
      <c r="G258" s="8"/>
    </row>
    <row r="259" spans="1:7" x14ac:dyDescent="0.3">
      <c r="A259" s="7"/>
      <c r="G259" s="8"/>
    </row>
  </sheetData>
  <autoFilter ref="A1:G259" xr:uid="{82633AC1-7309-4FCC-BE67-5A31B1F8AB93}">
    <sortState xmlns:xlrd2="http://schemas.microsoft.com/office/spreadsheetml/2017/richdata2" ref="A2:G259">
      <sortCondition ref="A1:A259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478AB-A121-4EA6-94E1-D3EE8E3C1246}">
  <sheetPr codeName="Hoja4">
    <tabColor theme="6" tint="0.79998168889431442"/>
  </sheetPr>
  <dimension ref="A1:L256"/>
  <sheetViews>
    <sheetView topLeftCell="A227" workbookViewId="0">
      <selection activeCell="B2" sqref="B2:B253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45386</v>
      </c>
      <c r="B2">
        <v>209.24</v>
      </c>
      <c r="C2">
        <v>211.2</v>
      </c>
      <c r="D2">
        <v>212.24</v>
      </c>
      <c r="E2">
        <v>208.37</v>
      </c>
      <c r="F2" t="s">
        <v>99</v>
      </c>
      <c r="G2" s="8">
        <v>-7.3000000000000001E-3</v>
      </c>
      <c r="H2" s="3" t="s">
        <v>11</v>
      </c>
      <c r="J2" t="s">
        <v>12</v>
      </c>
      <c r="K2" s="4">
        <f>AVERAGE(H3:H253)</f>
        <v>9.4601924405193739E-4</v>
      </c>
      <c r="L2" s="5">
        <f>_xlfn.STDEV.S(H3:H253)</f>
        <v>1.5229589043740192E-2</v>
      </c>
    </row>
    <row r="3" spans="1:12" x14ac:dyDescent="0.3">
      <c r="A3" s="7">
        <v>45387</v>
      </c>
      <c r="B3">
        <v>211</v>
      </c>
      <c r="C3">
        <v>210.24</v>
      </c>
      <c r="D3">
        <v>212.04</v>
      </c>
      <c r="E3">
        <v>209.28</v>
      </c>
      <c r="F3" t="s">
        <v>320</v>
      </c>
      <c r="G3" s="8">
        <v>8.3999999999999995E-3</v>
      </c>
      <c r="H3" s="3">
        <f>(B3/B2)-1</f>
        <v>8.4113936149874391E-3</v>
      </c>
      <c r="J3" t="s">
        <v>14</v>
      </c>
      <c r="K3" s="6">
        <f>K2*252</f>
        <v>0.23839684950108822</v>
      </c>
      <c r="L3" s="6">
        <f>L2*SQRT(252)</f>
        <v>0.24176223107670325</v>
      </c>
    </row>
    <row r="4" spans="1:12" x14ac:dyDescent="0.3">
      <c r="A4" s="7">
        <v>45390</v>
      </c>
      <c r="B4">
        <v>210.39</v>
      </c>
      <c r="C4">
        <v>210.7</v>
      </c>
      <c r="D4">
        <v>210.96</v>
      </c>
      <c r="E4">
        <v>208.7</v>
      </c>
      <c r="F4" t="s">
        <v>290</v>
      </c>
      <c r="G4" s="8">
        <v>-2.8999999999999998E-3</v>
      </c>
      <c r="H4" s="3">
        <f t="shared" ref="H4:H67" si="0">(B4/B3)-1</f>
        <v>-2.8909952606636091E-3</v>
      </c>
    </row>
    <row r="5" spans="1:12" x14ac:dyDescent="0.3">
      <c r="A5" s="7">
        <v>45391</v>
      </c>
      <c r="B5">
        <v>204.81</v>
      </c>
      <c r="C5">
        <v>210.56</v>
      </c>
      <c r="D5">
        <v>211.04</v>
      </c>
      <c r="E5">
        <v>204.19</v>
      </c>
      <c r="F5" t="s">
        <v>319</v>
      </c>
      <c r="G5" s="8">
        <v>-2.6499999999999999E-2</v>
      </c>
      <c r="H5" s="3">
        <f t="shared" si="0"/>
        <v>-2.6522173107086711E-2</v>
      </c>
    </row>
    <row r="6" spans="1:12" x14ac:dyDescent="0.3">
      <c r="A6" s="7">
        <v>45392</v>
      </c>
      <c r="B6">
        <v>206.15</v>
      </c>
      <c r="C6">
        <v>203.95</v>
      </c>
      <c r="D6">
        <v>207.09</v>
      </c>
      <c r="E6">
        <v>203.21</v>
      </c>
      <c r="F6" t="s">
        <v>242</v>
      </c>
      <c r="G6" s="8">
        <v>6.4999999999999997E-3</v>
      </c>
      <c r="H6" s="3">
        <f t="shared" si="0"/>
        <v>6.5426492847029394E-3</v>
      </c>
    </row>
    <row r="7" spans="1:12" x14ac:dyDescent="0.3">
      <c r="A7" s="7">
        <v>45393</v>
      </c>
      <c r="B7">
        <v>202.26</v>
      </c>
      <c r="C7">
        <v>206.25</v>
      </c>
      <c r="D7">
        <v>207.09</v>
      </c>
      <c r="E7">
        <v>202.09</v>
      </c>
      <c r="F7" t="s">
        <v>303</v>
      </c>
      <c r="G7" s="8">
        <v>-1.89E-2</v>
      </c>
      <c r="H7" s="3">
        <f t="shared" si="0"/>
        <v>-1.8869755032743241E-2</v>
      </c>
    </row>
    <row r="8" spans="1:12" x14ac:dyDescent="0.3">
      <c r="A8" s="7">
        <v>45394</v>
      </c>
      <c r="B8">
        <v>203.9</v>
      </c>
      <c r="C8">
        <v>208</v>
      </c>
      <c r="D8">
        <v>209.5</v>
      </c>
      <c r="E8">
        <v>203.26</v>
      </c>
      <c r="F8" t="s">
        <v>318</v>
      </c>
      <c r="G8" s="8">
        <v>8.0999999999999996E-3</v>
      </c>
      <c r="H8" s="3">
        <f t="shared" si="0"/>
        <v>8.1083753584496598E-3</v>
      </c>
    </row>
    <row r="9" spans="1:12" x14ac:dyDescent="0.3">
      <c r="A9" s="7">
        <v>45397</v>
      </c>
      <c r="B9">
        <v>206.59</v>
      </c>
      <c r="C9">
        <v>207.76</v>
      </c>
      <c r="D9">
        <v>208.78</v>
      </c>
      <c r="E9">
        <v>205.13</v>
      </c>
      <c r="F9" t="s">
        <v>317</v>
      </c>
      <c r="G9" s="8">
        <v>1.32E-2</v>
      </c>
      <c r="H9" s="3">
        <f t="shared" si="0"/>
        <v>1.3192741539970632E-2</v>
      </c>
    </row>
    <row r="10" spans="1:12" x14ac:dyDescent="0.3">
      <c r="A10" s="7">
        <v>45398</v>
      </c>
      <c r="B10">
        <v>208.35</v>
      </c>
      <c r="C10">
        <v>207.66</v>
      </c>
      <c r="D10">
        <v>210.62</v>
      </c>
      <c r="E10">
        <v>206.71</v>
      </c>
      <c r="F10" t="s">
        <v>155</v>
      </c>
      <c r="G10" s="8">
        <v>8.5000000000000006E-3</v>
      </c>
      <c r="H10" s="3">
        <f t="shared" si="0"/>
        <v>8.5192894138148567E-3</v>
      </c>
    </row>
    <row r="11" spans="1:12" x14ac:dyDescent="0.3">
      <c r="A11" s="7">
        <v>45399</v>
      </c>
      <c r="B11">
        <v>209.12</v>
      </c>
      <c r="C11">
        <v>209.08</v>
      </c>
      <c r="D11">
        <v>210.03</v>
      </c>
      <c r="E11">
        <v>207.59</v>
      </c>
      <c r="F11" t="s">
        <v>115</v>
      </c>
      <c r="G11" s="8">
        <v>3.7000000000000002E-3</v>
      </c>
      <c r="H11" s="3">
        <f t="shared" si="0"/>
        <v>3.6957043436525172E-3</v>
      </c>
    </row>
    <row r="12" spans="1:12" x14ac:dyDescent="0.3">
      <c r="A12" s="7">
        <v>45400</v>
      </c>
      <c r="B12">
        <v>209.75</v>
      </c>
      <c r="C12">
        <v>209.36</v>
      </c>
      <c r="D12">
        <v>210.05</v>
      </c>
      <c r="E12">
        <v>208.02</v>
      </c>
      <c r="F12" t="s">
        <v>60</v>
      </c>
      <c r="G12" s="8">
        <v>3.0000000000000001E-3</v>
      </c>
      <c r="H12" s="3">
        <f t="shared" si="0"/>
        <v>3.0126243305279576E-3</v>
      </c>
    </row>
    <row r="13" spans="1:12" x14ac:dyDescent="0.3">
      <c r="A13" s="7">
        <v>45401</v>
      </c>
      <c r="B13">
        <v>214.69</v>
      </c>
      <c r="C13">
        <v>210.9</v>
      </c>
      <c r="D13">
        <v>215.18</v>
      </c>
      <c r="E13">
        <v>210.54</v>
      </c>
      <c r="F13" t="s">
        <v>316</v>
      </c>
      <c r="G13" s="8">
        <v>2.3599999999999999E-2</v>
      </c>
      <c r="H13" s="3">
        <f t="shared" si="0"/>
        <v>2.3551847437425444E-2</v>
      </c>
    </row>
    <row r="14" spans="1:12" x14ac:dyDescent="0.3">
      <c r="A14" s="7">
        <v>45404</v>
      </c>
      <c r="B14">
        <v>213</v>
      </c>
      <c r="C14">
        <v>215.06</v>
      </c>
      <c r="D14">
        <v>216.21</v>
      </c>
      <c r="E14">
        <v>212.87</v>
      </c>
      <c r="F14" t="s">
        <v>244</v>
      </c>
      <c r="G14" s="8">
        <v>-7.9000000000000008E-3</v>
      </c>
      <c r="H14" s="3">
        <f t="shared" si="0"/>
        <v>-7.8718151753691679E-3</v>
      </c>
    </row>
    <row r="15" spans="1:12" x14ac:dyDescent="0.3">
      <c r="A15" s="7">
        <v>45405</v>
      </c>
      <c r="B15">
        <v>214.02</v>
      </c>
      <c r="C15">
        <v>213.73</v>
      </c>
      <c r="D15">
        <v>215.21</v>
      </c>
      <c r="E15">
        <v>212.36</v>
      </c>
      <c r="F15" t="s">
        <v>99</v>
      </c>
      <c r="G15" s="8">
        <v>4.7999999999999996E-3</v>
      </c>
      <c r="H15" s="3">
        <f t="shared" si="0"/>
        <v>4.7887323943662796E-3</v>
      </c>
    </row>
    <row r="16" spans="1:12" x14ac:dyDescent="0.3">
      <c r="A16" s="7">
        <v>45406</v>
      </c>
      <c r="B16">
        <v>212.2</v>
      </c>
      <c r="C16">
        <v>213.81</v>
      </c>
      <c r="D16">
        <v>215.1</v>
      </c>
      <c r="E16">
        <v>209.79</v>
      </c>
      <c r="F16" t="s">
        <v>236</v>
      </c>
      <c r="G16" s="8">
        <v>-8.5000000000000006E-3</v>
      </c>
      <c r="H16" s="3">
        <f t="shared" si="0"/>
        <v>-8.5038781422297482E-3</v>
      </c>
    </row>
    <row r="17" spans="1:8" x14ac:dyDescent="0.3">
      <c r="A17" s="7">
        <v>45407</v>
      </c>
      <c r="B17">
        <v>210.07</v>
      </c>
      <c r="C17">
        <v>212.14</v>
      </c>
      <c r="D17">
        <v>212.31</v>
      </c>
      <c r="E17">
        <v>209.08</v>
      </c>
      <c r="F17" t="s">
        <v>96</v>
      </c>
      <c r="G17" s="8">
        <v>-0.01</v>
      </c>
      <c r="H17" s="3">
        <f t="shared" si="0"/>
        <v>-1.0037700282752082E-2</v>
      </c>
    </row>
    <row r="18" spans="1:8" x14ac:dyDescent="0.3">
      <c r="A18" s="7">
        <v>45408</v>
      </c>
      <c r="B18">
        <v>208.03</v>
      </c>
      <c r="C18">
        <v>209.01</v>
      </c>
      <c r="D18">
        <v>209.91</v>
      </c>
      <c r="E18">
        <v>205.5</v>
      </c>
      <c r="F18" t="s">
        <v>236</v>
      </c>
      <c r="G18" s="8">
        <v>-9.7000000000000003E-3</v>
      </c>
      <c r="H18" s="3">
        <f t="shared" si="0"/>
        <v>-9.7110486980529487E-3</v>
      </c>
    </row>
    <row r="19" spans="1:8" x14ac:dyDescent="0.3">
      <c r="A19" s="7">
        <v>45411</v>
      </c>
      <c r="B19">
        <v>206.67</v>
      </c>
      <c r="C19">
        <v>208</v>
      </c>
      <c r="D19">
        <v>208.03</v>
      </c>
      <c r="E19">
        <v>205.24</v>
      </c>
      <c r="F19" t="s">
        <v>65</v>
      </c>
      <c r="G19" s="8">
        <v>-6.4999999999999997E-3</v>
      </c>
      <c r="H19" s="3">
        <f t="shared" si="0"/>
        <v>-6.5375186271211527E-3</v>
      </c>
    </row>
    <row r="20" spans="1:8" x14ac:dyDescent="0.3">
      <c r="A20" s="7">
        <v>45412</v>
      </c>
      <c r="B20">
        <v>208.25</v>
      </c>
      <c r="C20">
        <v>206.84</v>
      </c>
      <c r="D20">
        <v>210.78</v>
      </c>
      <c r="E20">
        <v>206.2</v>
      </c>
      <c r="F20" t="s">
        <v>315</v>
      </c>
      <c r="G20" s="8">
        <v>7.6E-3</v>
      </c>
      <c r="H20" s="3">
        <f t="shared" si="0"/>
        <v>7.6450379832584403E-3</v>
      </c>
    </row>
    <row r="21" spans="1:8" x14ac:dyDescent="0.3">
      <c r="A21" s="7">
        <v>45413</v>
      </c>
      <c r="B21">
        <v>211.8</v>
      </c>
      <c r="C21">
        <v>209.16</v>
      </c>
      <c r="D21">
        <v>213.74</v>
      </c>
      <c r="E21">
        <v>208.48</v>
      </c>
      <c r="F21" t="s">
        <v>235</v>
      </c>
      <c r="G21" s="8">
        <v>1.7000000000000001E-2</v>
      </c>
      <c r="H21" s="3">
        <f t="shared" si="0"/>
        <v>1.7046818727491031E-2</v>
      </c>
    </row>
    <row r="22" spans="1:8" x14ac:dyDescent="0.3">
      <c r="A22" s="7">
        <v>45414</v>
      </c>
      <c r="B22">
        <v>209.03</v>
      </c>
      <c r="C22">
        <v>211.75</v>
      </c>
      <c r="D22">
        <v>212.78</v>
      </c>
      <c r="E22">
        <v>208.32</v>
      </c>
      <c r="F22" t="s">
        <v>179</v>
      </c>
      <c r="G22" s="8">
        <v>-1.3100000000000001E-2</v>
      </c>
      <c r="H22" s="3">
        <f t="shared" si="0"/>
        <v>-1.3078375826251265E-2</v>
      </c>
    </row>
    <row r="23" spans="1:8" x14ac:dyDescent="0.3">
      <c r="A23" s="7">
        <v>45415</v>
      </c>
      <c r="B23">
        <v>208.72</v>
      </c>
      <c r="C23">
        <v>207.8</v>
      </c>
      <c r="D23">
        <v>209.26</v>
      </c>
      <c r="E23">
        <v>204.65</v>
      </c>
      <c r="F23" t="s">
        <v>252</v>
      </c>
      <c r="G23" s="8">
        <v>-1.5E-3</v>
      </c>
      <c r="H23" s="3">
        <f t="shared" si="0"/>
        <v>-1.4830407118595623E-3</v>
      </c>
    </row>
    <row r="24" spans="1:8" x14ac:dyDescent="0.3">
      <c r="A24" s="7">
        <v>45418</v>
      </c>
      <c r="B24">
        <v>215.51</v>
      </c>
      <c r="C24">
        <v>209.21</v>
      </c>
      <c r="D24">
        <v>215.54</v>
      </c>
      <c r="E24">
        <v>209.07</v>
      </c>
      <c r="F24" t="s">
        <v>207</v>
      </c>
      <c r="G24" s="8">
        <v>3.2500000000000001E-2</v>
      </c>
      <c r="H24" s="3">
        <f t="shared" si="0"/>
        <v>3.2531621310847081E-2</v>
      </c>
    </row>
    <row r="25" spans="1:8" x14ac:dyDescent="0.3">
      <c r="A25" s="7">
        <v>45419</v>
      </c>
      <c r="B25">
        <v>215.46</v>
      </c>
      <c r="C25">
        <v>216.33</v>
      </c>
      <c r="D25">
        <v>216.33</v>
      </c>
      <c r="E25">
        <v>213.26</v>
      </c>
      <c r="F25" t="s">
        <v>190</v>
      </c>
      <c r="G25" s="8">
        <v>-2.0000000000000001E-4</v>
      </c>
      <c r="H25" s="3">
        <f t="shared" si="0"/>
        <v>-2.3200779546184158E-4</v>
      </c>
    </row>
    <row r="26" spans="1:8" x14ac:dyDescent="0.3">
      <c r="A26" s="7">
        <v>45420</v>
      </c>
      <c r="B26">
        <v>215.9</v>
      </c>
      <c r="C26">
        <v>216.46</v>
      </c>
      <c r="D26">
        <v>217.77</v>
      </c>
      <c r="E26">
        <v>215.87</v>
      </c>
      <c r="F26" t="s">
        <v>250</v>
      </c>
      <c r="G26" s="8">
        <v>2E-3</v>
      </c>
      <c r="H26" s="3">
        <f t="shared" si="0"/>
        <v>2.0421423930194749E-3</v>
      </c>
    </row>
    <row r="27" spans="1:8" x14ac:dyDescent="0.3">
      <c r="A27" s="7">
        <v>45421</v>
      </c>
      <c r="B27">
        <v>213.72</v>
      </c>
      <c r="C27">
        <v>214.55</v>
      </c>
      <c r="D27">
        <v>215.13</v>
      </c>
      <c r="E27">
        <v>213.52</v>
      </c>
      <c r="F27" t="s">
        <v>180</v>
      </c>
      <c r="G27" s="8">
        <v>-1.01E-2</v>
      </c>
      <c r="H27" s="3">
        <f t="shared" si="0"/>
        <v>-1.0097267253358022E-2</v>
      </c>
    </row>
    <row r="28" spans="1:8" x14ac:dyDescent="0.3">
      <c r="A28" s="7">
        <v>45422</v>
      </c>
      <c r="B28">
        <v>215.76</v>
      </c>
      <c r="C28">
        <v>214.39</v>
      </c>
      <c r="D28">
        <v>216.1</v>
      </c>
      <c r="E28">
        <v>213.73</v>
      </c>
      <c r="F28" t="s">
        <v>105</v>
      </c>
      <c r="G28" s="8">
        <v>9.4999999999999998E-3</v>
      </c>
      <c r="H28" s="3">
        <f t="shared" si="0"/>
        <v>9.5451993262212209E-3</v>
      </c>
    </row>
    <row r="29" spans="1:8" x14ac:dyDescent="0.3">
      <c r="A29" s="7">
        <v>45425</v>
      </c>
      <c r="B29">
        <v>212.41</v>
      </c>
      <c r="C29">
        <v>216.5</v>
      </c>
      <c r="D29">
        <v>217.65</v>
      </c>
      <c r="E29">
        <v>212.41</v>
      </c>
      <c r="F29" t="s">
        <v>266</v>
      </c>
      <c r="G29" s="8">
        <v>-1.55E-2</v>
      </c>
      <c r="H29" s="3">
        <f t="shared" si="0"/>
        <v>-1.552651093807933E-2</v>
      </c>
    </row>
    <row r="30" spans="1:8" x14ac:dyDescent="0.3">
      <c r="A30" s="7">
        <v>45426</v>
      </c>
      <c r="B30">
        <v>213.67</v>
      </c>
      <c r="C30">
        <v>212.11</v>
      </c>
      <c r="D30">
        <v>214.39</v>
      </c>
      <c r="E30">
        <v>211.51</v>
      </c>
      <c r="F30" t="s">
        <v>100</v>
      </c>
      <c r="G30" s="8">
        <v>5.8999999999999999E-3</v>
      </c>
      <c r="H30" s="3">
        <f t="shared" si="0"/>
        <v>5.9319241090343144E-3</v>
      </c>
    </row>
    <row r="31" spans="1:8" x14ac:dyDescent="0.3">
      <c r="A31" s="7">
        <v>45427</v>
      </c>
      <c r="B31">
        <v>209.25</v>
      </c>
      <c r="C31">
        <v>207.36</v>
      </c>
      <c r="D31">
        <v>213.23</v>
      </c>
      <c r="E31">
        <v>207.05</v>
      </c>
      <c r="F31" t="s">
        <v>314</v>
      </c>
      <c r="G31" s="8">
        <v>-2.07E-2</v>
      </c>
      <c r="H31" s="3">
        <f t="shared" si="0"/>
        <v>-2.0686104740955669E-2</v>
      </c>
    </row>
    <row r="32" spans="1:8" x14ac:dyDescent="0.3">
      <c r="A32" s="7">
        <v>45428</v>
      </c>
      <c r="B32">
        <v>207.01</v>
      </c>
      <c r="C32">
        <v>209.99</v>
      </c>
      <c r="D32">
        <v>211.41</v>
      </c>
      <c r="E32">
        <v>205.64</v>
      </c>
      <c r="F32" t="s">
        <v>45</v>
      </c>
      <c r="G32" s="8">
        <v>-1.0699999999999999E-2</v>
      </c>
      <c r="H32" s="3">
        <f t="shared" si="0"/>
        <v>-1.0704898446833977E-2</v>
      </c>
    </row>
    <row r="33" spans="1:8" x14ac:dyDescent="0.3">
      <c r="A33" s="7">
        <v>45429</v>
      </c>
      <c r="B33">
        <v>209.22</v>
      </c>
      <c r="C33">
        <v>209.31</v>
      </c>
      <c r="D33">
        <v>209.68</v>
      </c>
      <c r="E33">
        <v>207.28</v>
      </c>
      <c r="F33" t="s">
        <v>174</v>
      </c>
      <c r="G33" s="8">
        <v>1.0699999999999999E-2</v>
      </c>
      <c r="H33" s="3">
        <f t="shared" si="0"/>
        <v>1.0675812762668491E-2</v>
      </c>
    </row>
    <row r="34" spans="1:8" x14ac:dyDescent="0.3">
      <c r="A34" s="7">
        <v>45432</v>
      </c>
      <c r="B34">
        <v>206.98</v>
      </c>
      <c r="C34">
        <v>209</v>
      </c>
      <c r="D34">
        <v>209.51</v>
      </c>
      <c r="E34">
        <v>206.9</v>
      </c>
      <c r="F34" t="s">
        <v>202</v>
      </c>
      <c r="G34" s="8">
        <v>-1.0699999999999999E-2</v>
      </c>
      <c r="H34" s="3">
        <f t="shared" si="0"/>
        <v>-1.0706433419367167E-2</v>
      </c>
    </row>
    <row r="35" spans="1:8" x14ac:dyDescent="0.3">
      <c r="A35" s="7">
        <v>45433</v>
      </c>
      <c r="B35">
        <v>209.38</v>
      </c>
      <c r="C35">
        <v>207.99</v>
      </c>
      <c r="D35">
        <v>211.28</v>
      </c>
      <c r="E35">
        <v>207.79</v>
      </c>
      <c r="F35" t="s">
        <v>203</v>
      </c>
      <c r="G35" s="8">
        <v>1.1599999999999999E-2</v>
      </c>
      <c r="H35" s="3">
        <f t="shared" si="0"/>
        <v>1.1595323219634857E-2</v>
      </c>
    </row>
    <row r="36" spans="1:8" x14ac:dyDescent="0.3">
      <c r="A36" s="7">
        <v>45434</v>
      </c>
      <c r="B36">
        <v>206.34</v>
      </c>
      <c r="C36">
        <v>209.39</v>
      </c>
      <c r="D36">
        <v>209.87</v>
      </c>
      <c r="E36">
        <v>206.33</v>
      </c>
      <c r="F36" t="s">
        <v>279</v>
      </c>
      <c r="G36" s="8">
        <v>-1.4500000000000001E-2</v>
      </c>
      <c r="H36" s="3">
        <f t="shared" si="0"/>
        <v>-1.4519056261342977E-2</v>
      </c>
    </row>
    <row r="37" spans="1:8" x14ac:dyDescent="0.3">
      <c r="A37" s="7">
        <v>45435</v>
      </c>
      <c r="B37">
        <v>203.18</v>
      </c>
      <c r="C37">
        <v>205.75</v>
      </c>
      <c r="D37">
        <v>207.46</v>
      </c>
      <c r="E37">
        <v>203.02</v>
      </c>
      <c r="F37" t="s">
        <v>243</v>
      </c>
      <c r="G37" s="8">
        <v>-1.5299999999999999E-2</v>
      </c>
      <c r="H37" s="3">
        <f t="shared" si="0"/>
        <v>-1.5314529417466249E-2</v>
      </c>
    </row>
    <row r="38" spans="1:8" x14ac:dyDescent="0.3">
      <c r="A38" s="7">
        <v>45436</v>
      </c>
      <c r="B38">
        <v>203.91</v>
      </c>
      <c r="C38">
        <v>203.46</v>
      </c>
      <c r="D38">
        <v>204.94</v>
      </c>
      <c r="E38">
        <v>202.95</v>
      </c>
      <c r="F38" t="s">
        <v>123</v>
      </c>
      <c r="G38" s="8">
        <v>3.5999999999999999E-3</v>
      </c>
      <c r="H38" s="3">
        <f t="shared" si="0"/>
        <v>3.5928733143024694E-3</v>
      </c>
    </row>
    <row r="39" spans="1:8" x14ac:dyDescent="0.3">
      <c r="A39" s="7">
        <v>45440</v>
      </c>
      <c r="B39">
        <v>205.18</v>
      </c>
      <c r="C39">
        <v>202.98</v>
      </c>
      <c r="D39">
        <v>205.66</v>
      </c>
      <c r="E39">
        <v>202.85</v>
      </c>
      <c r="F39" t="s">
        <v>25</v>
      </c>
      <c r="G39" s="8">
        <v>6.1999999999999998E-3</v>
      </c>
      <c r="H39" s="3">
        <f t="shared" si="0"/>
        <v>6.2282379481144456E-3</v>
      </c>
    </row>
    <row r="40" spans="1:8" x14ac:dyDescent="0.3">
      <c r="A40" s="7">
        <v>45441</v>
      </c>
      <c r="B40">
        <v>203.15</v>
      </c>
      <c r="C40">
        <v>204.43</v>
      </c>
      <c r="D40">
        <v>205.04</v>
      </c>
      <c r="E40">
        <v>201.78</v>
      </c>
      <c r="F40" t="s">
        <v>86</v>
      </c>
      <c r="G40" s="8">
        <v>-9.9000000000000008E-3</v>
      </c>
      <c r="H40" s="3">
        <f t="shared" si="0"/>
        <v>-9.8937518276634995E-3</v>
      </c>
    </row>
    <row r="41" spans="1:8" x14ac:dyDescent="0.3">
      <c r="A41" s="7">
        <v>45442</v>
      </c>
      <c r="B41">
        <v>206.93</v>
      </c>
      <c r="C41">
        <v>203.15</v>
      </c>
      <c r="D41">
        <v>207.11</v>
      </c>
      <c r="E41">
        <v>203.1</v>
      </c>
      <c r="F41" t="s">
        <v>24</v>
      </c>
      <c r="G41" s="8">
        <v>1.8599999999999998E-2</v>
      </c>
      <c r="H41" s="3">
        <f t="shared" si="0"/>
        <v>1.8606940684223527E-2</v>
      </c>
    </row>
    <row r="42" spans="1:8" x14ac:dyDescent="0.3">
      <c r="A42" s="7">
        <v>45443</v>
      </c>
      <c r="B42">
        <v>211.18</v>
      </c>
      <c r="C42">
        <v>207.45</v>
      </c>
      <c r="D42">
        <v>211.35</v>
      </c>
      <c r="E42">
        <v>207.22</v>
      </c>
      <c r="F42" t="s">
        <v>313</v>
      </c>
      <c r="G42" s="8">
        <v>2.0500000000000001E-2</v>
      </c>
      <c r="H42" s="3">
        <f t="shared" si="0"/>
        <v>2.0538346300681409E-2</v>
      </c>
    </row>
    <row r="43" spans="1:8" x14ac:dyDescent="0.3">
      <c r="A43" s="7">
        <v>45446</v>
      </c>
      <c r="B43">
        <v>209.38</v>
      </c>
      <c r="C43">
        <v>211.46</v>
      </c>
      <c r="D43">
        <v>211.75</v>
      </c>
      <c r="E43">
        <v>207.17</v>
      </c>
      <c r="F43" t="s">
        <v>51</v>
      </c>
      <c r="G43" s="8">
        <v>-8.5000000000000006E-3</v>
      </c>
      <c r="H43" s="3">
        <f t="shared" si="0"/>
        <v>-8.5235344256084922E-3</v>
      </c>
    </row>
    <row r="44" spans="1:8" x14ac:dyDescent="0.3">
      <c r="A44" s="7">
        <v>45447</v>
      </c>
      <c r="B44">
        <v>211.97</v>
      </c>
      <c r="C44">
        <v>208.88</v>
      </c>
      <c r="D44">
        <v>212.42</v>
      </c>
      <c r="E44">
        <v>208.62</v>
      </c>
      <c r="F44" t="s">
        <v>312</v>
      </c>
      <c r="G44" s="8">
        <v>1.24E-2</v>
      </c>
      <c r="H44" s="3">
        <f t="shared" si="0"/>
        <v>1.2369853854236279E-2</v>
      </c>
    </row>
    <row r="45" spans="1:8" x14ac:dyDescent="0.3">
      <c r="A45" s="7">
        <v>45448</v>
      </c>
      <c r="B45">
        <v>212.61</v>
      </c>
      <c r="C45">
        <v>212.4</v>
      </c>
      <c r="D45">
        <v>213.3</v>
      </c>
      <c r="E45">
        <v>210.3</v>
      </c>
      <c r="F45" t="s">
        <v>105</v>
      </c>
      <c r="G45" s="8">
        <v>3.0000000000000001E-3</v>
      </c>
      <c r="H45" s="3">
        <f t="shared" si="0"/>
        <v>3.0192951832808124E-3</v>
      </c>
    </row>
    <row r="46" spans="1:8" x14ac:dyDescent="0.3">
      <c r="A46" s="7">
        <v>45449</v>
      </c>
      <c r="B46">
        <v>213.19</v>
      </c>
      <c r="C46">
        <v>213.47</v>
      </c>
      <c r="D46">
        <v>214.45</v>
      </c>
      <c r="E46">
        <v>211.54</v>
      </c>
      <c r="F46" t="s">
        <v>176</v>
      </c>
      <c r="G46" s="8">
        <v>2.7000000000000001E-3</v>
      </c>
      <c r="H46" s="3">
        <f t="shared" si="0"/>
        <v>2.7279996237241644E-3</v>
      </c>
    </row>
    <row r="47" spans="1:8" x14ac:dyDescent="0.3">
      <c r="A47" s="7">
        <v>45450</v>
      </c>
      <c r="B47">
        <v>212.53</v>
      </c>
      <c r="C47">
        <v>215.01</v>
      </c>
      <c r="D47">
        <v>216.5</v>
      </c>
      <c r="E47">
        <v>211.75</v>
      </c>
      <c r="F47" t="s">
        <v>215</v>
      </c>
      <c r="G47" s="8">
        <v>-3.0999999999999999E-3</v>
      </c>
      <c r="H47" s="3">
        <f t="shared" si="0"/>
        <v>-3.0958300107885028E-3</v>
      </c>
    </row>
    <row r="48" spans="1:8" x14ac:dyDescent="0.3">
      <c r="A48" s="7">
        <v>45453</v>
      </c>
      <c r="B48">
        <v>210.28</v>
      </c>
      <c r="C48">
        <v>211.75</v>
      </c>
      <c r="D48">
        <v>212.49</v>
      </c>
      <c r="E48">
        <v>209.3</v>
      </c>
      <c r="F48" t="s">
        <v>236</v>
      </c>
      <c r="G48" s="8">
        <v>-1.06E-2</v>
      </c>
      <c r="H48" s="3">
        <f t="shared" si="0"/>
        <v>-1.0586740695431196E-2</v>
      </c>
    </row>
    <row r="49" spans="1:8" x14ac:dyDescent="0.3">
      <c r="A49" s="7">
        <v>45454</v>
      </c>
      <c r="B49">
        <v>208.49</v>
      </c>
      <c r="C49">
        <v>209.91</v>
      </c>
      <c r="D49">
        <v>210.04</v>
      </c>
      <c r="E49">
        <v>207.34</v>
      </c>
      <c r="F49" t="s">
        <v>145</v>
      </c>
      <c r="G49" s="8">
        <v>-8.5000000000000006E-3</v>
      </c>
      <c r="H49" s="3">
        <f t="shared" si="0"/>
        <v>-8.5124595777058554E-3</v>
      </c>
    </row>
    <row r="50" spans="1:8" x14ac:dyDescent="0.3">
      <c r="A50" s="7">
        <v>45455</v>
      </c>
      <c r="B50">
        <v>202.44</v>
      </c>
      <c r="C50">
        <v>207.07</v>
      </c>
      <c r="D50">
        <v>208</v>
      </c>
      <c r="E50">
        <v>201.34</v>
      </c>
      <c r="F50" t="s">
        <v>311</v>
      </c>
      <c r="G50" s="8">
        <v>-2.9000000000000001E-2</v>
      </c>
      <c r="H50" s="3">
        <f t="shared" si="0"/>
        <v>-2.9018178329895949E-2</v>
      </c>
    </row>
    <row r="51" spans="1:8" x14ac:dyDescent="0.3">
      <c r="A51" s="7">
        <v>45456</v>
      </c>
      <c r="B51">
        <v>203.6</v>
      </c>
      <c r="C51">
        <v>203.45</v>
      </c>
      <c r="D51">
        <v>204.74</v>
      </c>
      <c r="E51">
        <v>202.3</v>
      </c>
      <c r="F51" t="s">
        <v>32</v>
      </c>
      <c r="G51" s="8">
        <v>5.7000000000000002E-3</v>
      </c>
      <c r="H51" s="3">
        <f t="shared" si="0"/>
        <v>5.7300928670223072E-3</v>
      </c>
    </row>
    <row r="52" spans="1:8" x14ac:dyDescent="0.3">
      <c r="A52" s="7">
        <v>45457</v>
      </c>
      <c r="B52">
        <v>203.92</v>
      </c>
      <c r="C52">
        <v>205.8</v>
      </c>
      <c r="D52">
        <v>208.91</v>
      </c>
      <c r="E52">
        <v>203.39</v>
      </c>
      <c r="F52" t="s">
        <v>257</v>
      </c>
      <c r="G52" s="8">
        <v>1.6000000000000001E-3</v>
      </c>
      <c r="H52" s="3">
        <f t="shared" si="0"/>
        <v>1.5717092337916849E-3</v>
      </c>
    </row>
    <row r="53" spans="1:8" x14ac:dyDescent="0.3">
      <c r="A53" s="7">
        <v>45460</v>
      </c>
      <c r="B53">
        <v>208.24</v>
      </c>
      <c r="C53">
        <v>204.62</v>
      </c>
      <c r="D53">
        <v>208.31</v>
      </c>
      <c r="E53">
        <v>204.62</v>
      </c>
      <c r="F53" t="s">
        <v>117</v>
      </c>
      <c r="G53" s="8">
        <v>2.12E-2</v>
      </c>
      <c r="H53" s="3">
        <f t="shared" si="0"/>
        <v>2.1184778344448985E-2</v>
      </c>
    </row>
    <row r="54" spans="1:8" x14ac:dyDescent="0.3">
      <c r="A54" s="7">
        <v>45461</v>
      </c>
      <c r="B54">
        <v>210.75</v>
      </c>
      <c r="C54">
        <v>209.1</v>
      </c>
      <c r="D54">
        <v>211.87</v>
      </c>
      <c r="E54">
        <v>208.17</v>
      </c>
      <c r="F54" t="s">
        <v>164</v>
      </c>
      <c r="G54" s="8">
        <v>1.21E-2</v>
      </c>
      <c r="H54" s="3">
        <f t="shared" si="0"/>
        <v>1.2053399923165564E-2</v>
      </c>
    </row>
    <row r="55" spans="1:8" x14ac:dyDescent="0.3">
      <c r="A55" s="7">
        <v>45463</v>
      </c>
      <c r="B55">
        <v>210.85</v>
      </c>
      <c r="C55">
        <v>210.87</v>
      </c>
      <c r="D55">
        <v>212.22</v>
      </c>
      <c r="E55">
        <v>209.19</v>
      </c>
      <c r="F55" t="s">
        <v>187</v>
      </c>
      <c r="G55" s="8">
        <v>5.0000000000000001E-4</v>
      </c>
      <c r="H55" s="3">
        <f t="shared" si="0"/>
        <v>4.7449584816128265E-4</v>
      </c>
    </row>
    <row r="56" spans="1:8" x14ac:dyDescent="0.3">
      <c r="A56" s="7">
        <v>45464</v>
      </c>
      <c r="B56">
        <v>209.19</v>
      </c>
      <c r="C56">
        <v>209.08</v>
      </c>
      <c r="D56">
        <v>210.27</v>
      </c>
      <c r="E56">
        <v>206.67</v>
      </c>
      <c r="F56" t="s">
        <v>289</v>
      </c>
      <c r="G56" s="8">
        <v>-7.9000000000000008E-3</v>
      </c>
      <c r="H56" s="3">
        <f t="shared" si="0"/>
        <v>-7.8728954232867299E-3</v>
      </c>
    </row>
    <row r="57" spans="1:8" x14ac:dyDescent="0.3">
      <c r="A57" s="7">
        <v>45467</v>
      </c>
      <c r="B57">
        <v>210.68</v>
      </c>
      <c r="C57">
        <v>209.81</v>
      </c>
      <c r="D57">
        <v>212.8</v>
      </c>
      <c r="E57">
        <v>209.57</v>
      </c>
      <c r="F57" t="s">
        <v>310</v>
      </c>
      <c r="G57" s="8">
        <v>7.1000000000000004E-3</v>
      </c>
      <c r="H57" s="3">
        <f t="shared" si="0"/>
        <v>7.1227114106793277E-3</v>
      </c>
    </row>
    <row r="58" spans="1:8" x14ac:dyDescent="0.3">
      <c r="A58" s="7">
        <v>45468</v>
      </c>
      <c r="B58">
        <v>208.28</v>
      </c>
      <c r="C58">
        <v>210.97</v>
      </c>
      <c r="D58">
        <v>212.54</v>
      </c>
      <c r="E58">
        <v>207.8</v>
      </c>
      <c r="F58" t="s">
        <v>198</v>
      </c>
      <c r="G58" s="8">
        <v>-1.14E-2</v>
      </c>
      <c r="H58" s="3">
        <f t="shared" si="0"/>
        <v>-1.1391684070628516E-2</v>
      </c>
    </row>
    <row r="59" spans="1:8" x14ac:dyDescent="0.3">
      <c r="A59" s="7">
        <v>45469</v>
      </c>
      <c r="B59">
        <v>208.19</v>
      </c>
      <c r="C59">
        <v>207.22</v>
      </c>
      <c r="D59">
        <v>208.41</v>
      </c>
      <c r="E59">
        <v>204.88</v>
      </c>
      <c r="F59" t="s">
        <v>178</v>
      </c>
      <c r="G59" s="8">
        <v>-4.0000000000000002E-4</v>
      </c>
      <c r="H59" s="3">
        <f t="shared" si="0"/>
        <v>-4.3211062031878189E-4</v>
      </c>
    </row>
    <row r="60" spans="1:8" x14ac:dyDescent="0.3">
      <c r="A60" s="7">
        <v>45470</v>
      </c>
      <c r="B60">
        <v>211.35</v>
      </c>
      <c r="C60">
        <v>208.88</v>
      </c>
      <c r="D60">
        <v>211.4</v>
      </c>
      <c r="E60">
        <v>207.77</v>
      </c>
      <c r="F60" t="s">
        <v>68</v>
      </c>
      <c r="G60" s="8">
        <v>1.52E-2</v>
      </c>
      <c r="H60" s="3">
        <f t="shared" si="0"/>
        <v>1.5178442768624789E-2</v>
      </c>
    </row>
    <row r="61" spans="1:8" x14ac:dyDescent="0.3">
      <c r="A61" s="7">
        <v>45471</v>
      </c>
      <c r="B61">
        <v>207.71</v>
      </c>
      <c r="C61">
        <v>210.4</v>
      </c>
      <c r="D61">
        <v>211.84</v>
      </c>
      <c r="E61">
        <v>207.53</v>
      </c>
      <c r="F61" t="s">
        <v>309</v>
      </c>
      <c r="G61" s="8">
        <v>-1.72E-2</v>
      </c>
      <c r="H61" s="3">
        <f t="shared" si="0"/>
        <v>-1.7222616512893252E-2</v>
      </c>
    </row>
    <row r="62" spans="1:8" x14ac:dyDescent="0.3">
      <c r="A62" s="7">
        <v>45474</v>
      </c>
      <c r="B62">
        <v>209.46</v>
      </c>
      <c r="C62">
        <v>209.27</v>
      </c>
      <c r="D62">
        <v>210.5</v>
      </c>
      <c r="E62">
        <v>207.91</v>
      </c>
      <c r="F62" t="s">
        <v>248</v>
      </c>
      <c r="G62" s="8">
        <v>8.3999999999999995E-3</v>
      </c>
      <c r="H62" s="3">
        <f t="shared" si="0"/>
        <v>8.4252082230031888E-3</v>
      </c>
    </row>
    <row r="63" spans="1:8" x14ac:dyDescent="0.3">
      <c r="A63" s="7">
        <v>45475</v>
      </c>
      <c r="B63">
        <v>211.12</v>
      </c>
      <c r="C63">
        <v>208.06</v>
      </c>
      <c r="D63">
        <v>211.22</v>
      </c>
      <c r="E63">
        <v>207.48</v>
      </c>
      <c r="F63" t="s">
        <v>183</v>
      </c>
      <c r="G63" s="8">
        <v>7.9000000000000008E-3</v>
      </c>
      <c r="H63" s="3">
        <f t="shared" si="0"/>
        <v>7.9251408383462785E-3</v>
      </c>
    </row>
    <row r="64" spans="1:8" x14ac:dyDescent="0.3">
      <c r="A64" s="7">
        <v>45476</v>
      </c>
      <c r="B64">
        <v>210.27</v>
      </c>
      <c r="C64">
        <v>210.91</v>
      </c>
      <c r="D64">
        <v>211.16</v>
      </c>
      <c r="E64">
        <v>208.67</v>
      </c>
      <c r="F64" t="s">
        <v>89</v>
      </c>
      <c r="G64" s="8">
        <v>-4.0000000000000001E-3</v>
      </c>
      <c r="H64" s="3">
        <f t="shared" si="0"/>
        <v>-4.02614626752551E-3</v>
      </c>
    </row>
    <row r="65" spans="1:8" x14ac:dyDescent="0.3">
      <c r="A65" s="7">
        <v>45478</v>
      </c>
      <c r="B65">
        <v>210.18</v>
      </c>
      <c r="C65">
        <v>210.38</v>
      </c>
      <c r="D65">
        <v>210.56</v>
      </c>
      <c r="E65">
        <v>207.99</v>
      </c>
      <c r="F65" t="s">
        <v>87</v>
      </c>
      <c r="G65" s="8">
        <v>-4.0000000000000002E-4</v>
      </c>
      <c r="H65" s="3">
        <f t="shared" si="0"/>
        <v>-4.2802111570838797E-4</v>
      </c>
    </row>
    <row r="66" spans="1:8" x14ac:dyDescent="0.3">
      <c r="A66" s="7">
        <v>45481</v>
      </c>
      <c r="B66">
        <v>209.71</v>
      </c>
      <c r="C66">
        <v>211.17</v>
      </c>
      <c r="D66">
        <v>212.87</v>
      </c>
      <c r="E66">
        <v>209.55</v>
      </c>
      <c r="F66" t="s">
        <v>190</v>
      </c>
      <c r="G66" s="8">
        <v>-2.2000000000000001E-3</v>
      </c>
      <c r="H66" s="3">
        <f t="shared" si="0"/>
        <v>-2.236178513654985E-3</v>
      </c>
    </row>
    <row r="67" spans="1:8" x14ac:dyDescent="0.3">
      <c r="A67" s="7">
        <v>45482</v>
      </c>
      <c r="B67">
        <v>209.49</v>
      </c>
      <c r="C67">
        <v>209.96</v>
      </c>
      <c r="D67">
        <v>212.73</v>
      </c>
      <c r="E67">
        <v>209.29</v>
      </c>
      <c r="F67" t="s">
        <v>242</v>
      </c>
      <c r="G67" s="8">
        <v>-1E-3</v>
      </c>
      <c r="H67" s="3">
        <f t="shared" si="0"/>
        <v>-1.0490677602402743E-3</v>
      </c>
    </row>
    <row r="68" spans="1:8" x14ac:dyDescent="0.3">
      <c r="A68" s="7">
        <v>45483</v>
      </c>
      <c r="B68">
        <v>209.99</v>
      </c>
      <c r="C68">
        <v>209.5</v>
      </c>
      <c r="D68">
        <v>210.99</v>
      </c>
      <c r="E68">
        <v>208.5</v>
      </c>
      <c r="F68" t="s">
        <v>68</v>
      </c>
      <c r="G68" s="8">
        <v>2.3999999999999998E-3</v>
      </c>
      <c r="H68" s="3">
        <f t="shared" ref="H68:H131" si="1">(B68/B67)-1</f>
        <v>2.3867487708244539E-3</v>
      </c>
    </row>
    <row r="69" spans="1:8" x14ac:dyDescent="0.3">
      <c r="A69" s="7">
        <v>45484</v>
      </c>
      <c r="B69">
        <v>211.82</v>
      </c>
      <c r="C69">
        <v>208.29</v>
      </c>
      <c r="D69">
        <v>212.38</v>
      </c>
      <c r="E69">
        <v>207.5</v>
      </c>
      <c r="F69" t="s">
        <v>187</v>
      </c>
      <c r="G69" s="8">
        <v>8.6999999999999994E-3</v>
      </c>
      <c r="H69" s="3">
        <f t="shared" si="1"/>
        <v>8.7147007000332177E-3</v>
      </c>
    </row>
    <row r="70" spans="1:8" x14ac:dyDescent="0.3">
      <c r="A70" s="7">
        <v>45485</v>
      </c>
      <c r="B70">
        <v>213.3</v>
      </c>
      <c r="C70">
        <v>212.43</v>
      </c>
      <c r="D70">
        <v>214.44</v>
      </c>
      <c r="E70">
        <v>210.79</v>
      </c>
      <c r="F70" t="s">
        <v>44</v>
      </c>
      <c r="G70" s="8">
        <v>7.0000000000000001E-3</v>
      </c>
      <c r="H70" s="3">
        <f t="shared" si="1"/>
        <v>6.9870644887168876E-3</v>
      </c>
    </row>
    <row r="71" spans="1:8" x14ac:dyDescent="0.3">
      <c r="A71" s="7">
        <v>45488</v>
      </c>
      <c r="B71">
        <v>217.1</v>
      </c>
      <c r="C71">
        <v>214.32</v>
      </c>
      <c r="D71">
        <v>217.24</v>
      </c>
      <c r="E71">
        <v>214.32</v>
      </c>
      <c r="F71" t="s">
        <v>308</v>
      </c>
      <c r="G71" s="8">
        <v>1.78E-2</v>
      </c>
      <c r="H71" s="3">
        <f t="shared" si="1"/>
        <v>1.781528363806828E-2</v>
      </c>
    </row>
    <row r="72" spans="1:8" x14ac:dyDescent="0.3">
      <c r="A72" s="7">
        <v>45489</v>
      </c>
      <c r="B72">
        <v>210</v>
      </c>
      <c r="C72">
        <v>222.52</v>
      </c>
      <c r="D72">
        <v>223.84</v>
      </c>
      <c r="E72">
        <v>208.37</v>
      </c>
      <c r="F72" t="s">
        <v>55</v>
      </c>
      <c r="G72" s="8">
        <v>-3.27E-2</v>
      </c>
      <c r="H72" s="3">
        <f t="shared" si="1"/>
        <v>-3.270382312298481E-2</v>
      </c>
    </row>
    <row r="73" spans="1:8" x14ac:dyDescent="0.3">
      <c r="A73" s="7">
        <v>45490</v>
      </c>
      <c r="B73">
        <v>221.35</v>
      </c>
      <c r="C73">
        <v>214.8</v>
      </c>
      <c r="D73">
        <v>221.46</v>
      </c>
      <c r="E73">
        <v>214.64</v>
      </c>
      <c r="F73" t="s">
        <v>30</v>
      </c>
      <c r="G73" s="8">
        <v>5.3999999999999999E-2</v>
      </c>
      <c r="H73" s="3">
        <f t="shared" si="1"/>
        <v>5.4047619047619122E-2</v>
      </c>
    </row>
    <row r="74" spans="1:8" x14ac:dyDescent="0.3">
      <c r="A74" s="7">
        <v>45491</v>
      </c>
      <c r="B74">
        <v>224.53</v>
      </c>
      <c r="C74">
        <v>223.31</v>
      </c>
      <c r="D74">
        <v>229</v>
      </c>
      <c r="E74">
        <v>223.31</v>
      </c>
      <c r="F74" t="s">
        <v>97</v>
      </c>
      <c r="G74" s="8">
        <v>1.44E-2</v>
      </c>
      <c r="H74" s="3">
        <f t="shared" si="1"/>
        <v>1.4366388073187242E-2</v>
      </c>
    </row>
    <row r="75" spans="1:8" x14ac:dyDescent="0.3">
      <c r="A75" s="7">
        <v>45492</v>
      </c>
      <c r="B75">
        <v>219.35</v>
      </c>
      <c r="C75">
        <v>224.5</v>
      </c>
      <c r="D75">
        <v>224.79</v>
      </c>
      <c r="E75">
        <v>218.72</v>
      </c>
      <c r="F75" t="s">
        <v>178</v>
      </c>
      <c r="G75" s="8">
        <v>-2.3099999999999999E-2</v>
      </c>
      <c r="H75" s="3">
        <f t="shared" si="1"/>
        <v>-2.3070413753173313E-2</v>
      </c>
    </row>
    <row r="76" spans="1:8" x14ac:dyDescent="0.3">
      <c r="A76" s="7">
        <v>45495</v>
      </c>
      <c r="B76">
        <v>216.3</v>
      </c>
      <c r="C76">
        <v>214.01</v>
      </c>
      <c r="D76">
        <v>218.62</v>
      </c>
      <c r="E76">
        <v>213.17</v>
      </c>
      <c r="F76" t="s">
        <v>108</v>
      </c>
      <c r="G76" s="8">
        <v>-1.3899999999999999E-2</v>
      </c>
      <c r="H76" s="3">
        <f t="shared" si="1"/>
        <v>-1.3904718486437151E-2</v>
      </c>
    </row>
    <row r="77" spans="1:8" x14ac:dyDescent="0.3">
      <c r="A77" s="7">
        <v>45496</v>
      </c>
      <c r="B77">
        <v>215.9</v>
      </c>
      <c r="C77">
        <v>216.31</v>
      </c>
      <c r="D77">
        <v>216.45</v>
      </c>
      <c r="E77">
        <v>214.71</v>
      </c>
      <c r="F77" t="s">
        <v>307</v>
      </c>
      <c r="G77" s="8">
        <v>-1.8E-3</v>
      </c>
      <c r="H77" s="3">
        <f t="shared" si="1"/>
        <v>-1.8492834026815341E-3</v>
      </c>
    </row>
    <row r="78" spans="1:8" x14ac:dyDescent="0.3">
      <c r="A78" s="7">
        <v>45497</v>
      </c>
      <c r="B78">
        <v>215.44</v>
      </c>
      <c r="C78">
        <v>216.55</v>
      </c>
      <c r="D78">
        <v>217.43</v>
      </c>
      <c r="E78">
        <v>214.87</v>
      </c>
      <c r="F78" t="s">
        <v>185</v>
      </c>
      <c r="G78" s="8">
        <v>-2.0999999999999999E-3</v>
      </c>
      <c r="H78" s="3">
        <f t="shared" si="1"/>
        <v>-2.1306160259380036E-3</v>
      </c>
    </row>
    <row r="79" spans="1:8" x14ac:dyDescent="0.3">
      <c r="A79" s="7">
        <v>45498</v>
      </c>
      <c r="B79">
        <v>212.77</v>
      </c>
      <c r="C79">
        <v>215.99</v>
      </c>
      <c r="D79">
        <v>217.23</v>
      </c>
      <c r="E79">
        <v>212.09</v>
      </c>
      <c r="F79" t="s">
        <v>80</v>
      </c>
      <c r="G79" s="8">
        <v>-1.24E-2</v>
      </c>
      <c r="H79" s="3">
        <f t="shared" si="1"/>
        <v>-1.2393241737838734E-2</v>
      </c>
    </row>
    <row r="80" spans="1:8" x14ac:dyDescent="0.3">
      <c r="A80" s="7">
        <v>45499</v>
      </c>
      <c r="B80">
        <v>215.68</v>
      </c>
      <c r="C80">
        <v>213.09</v>
      </c>
      <c r="D80">
        <v>216.32</v>
      </c>
      <c r="E80">
        <v>213.09</v>
      </c>
      <c r="F80" t="s">
        <v>199</v>
      </c>
      <c r="G80" s="8">
        <v>1.37E-2</v>
      </c>
      <c r="H80" s="3">
        <f t="shared" si="1"/>
        <v>1.3676740141937316E-2</v>
      </c>
    </row>
    <row r="81" spans="1:8" x14ac:dyDescent="0.3">
      <c r="A81" s="7">
        <v>45502</v>
      </c>
      <c r="B81">
        <v>213.63</v>
      </c>
      <c r="C81">
        <v>215.86</v>
      </c>
      <c r="D81">
        <v>216.99</v>
      </c>
      <c r="E81">
        <v>213.41</v>
      </c>
      <c r="F81" t="s">
        <v>191</v>
      </c>
      <c r="G81" s="8">
        <v>-9.4999999999999998E-3</v>
      </c>
      <c r="H81" s="3">
        <f t="shared" si="1"/>
        <v>-9.5048219584570326E-3</v>
      </c>
    </row>
    <row r="82" spans="1:8" x14ac:dyDescent="0.3">
      <c r="A82" s="7">
        <v>45503</v>
      </c>
      <c r="B82">
        <v>215.68</v>
      </c>
      <c r="C82">
        <v>214.1</v>
      </c>
      <c r="D82">
        <v>217.68</v>
      </c>
      <c r="E82">
        <v>213.81</v>
      </c>
      <c r="F82" t="s">
        <v>181</v>
      </c>
      <c r="G82" s="8">
        <v>9.5999999999999992E-3</v>
      </c>
      <c r="H82" s="3">
        <f t="shared" si="1"/>
        <v>9.5960305200581963E-3</v>
      </c>
    </row>
    <row r="83" spans="1:8" x14ac:dyDescent="0.3">
      <c r="A83" s="7">
        <v>45504</v>
      </c>
      <c r="B83">
        <v>214.12</v>
      </c>
      <c r="C83">
        <v>214.79</v>
      </c>
      <c r="D83">
        <v>215.62</v>
      </c>
      <c r="E83">
        <v>212.67</v>
      </c>
      <c r="F83" t="s">
        <v>44</v>
      </c>
      <c r="G83" s="8">
        <v>-7.1999999999999998E-3</v>
      </c>
      <c r="H83" s="3">
        <f t="shared" si="1"/>
        <v>-7.2329376854599614E-3</v>
      </c>
    </row>
    <row r="84" spans="1:8" x14ac:dyDescent="0.3">
      <c r="A84" s="7">
        <v>45505</v>
      </c>
      <c r="B84">
        <v>215.28</v>
      </c>
      <c r="C84">
        <v>216.5</v>
      </c>
      <c r="D84">
        <v>217.43</v>
      </c>
      <c r="E84">
        <v>212.38</v>
      </c>
      <c r="F84" t="s">
        <v>186</v>
      </c>
      <c r="G84" s="8">
        <v>5.4000000000000003E-3</v>
      </c>
      <c r="H84" s="3">
        <f t="shared" si="1"/>
        <v>5.4175228843638124E-3</v>
      </c>
    </row>
    <row r="85" spans="1:8" x14ac:dyDescent="0.3">
      <c r="A85" s="7">
        <v>45506</v>
      </c>
      <c r="B85">
        <v>216.94</v>
      </c>
      <c r="C85">
        <v>216.52</v>
      </c>
      <c r="D85">
        <v>219.51</v>
      </c>
      <c r="E85">
        <v>214.51</v>
      </c>
      <c r="F85" t="s">
        <v>121</v>
      </c>
      <c r="G85" s="8">
        <v>7.7000000000000002E-3</v>
      </c>
      <c r="H85" s="3">
        <f t="shared" si="1"/>
        <v>7.710888145670669E-3</v>
      </c>
    </row>
    <row r="86" spans="1:8" x14ac:dyDescent="0.3">
      <c r="A86" s="7">
        <v>45509</v>
      </c>
      <c r="B86">
        <v>210.91</v>
      </c>
      <c r="C86">
        <v>216.94</v>
      </c>
      <c r="D86">
        <v>218.04</v>
      </c>
      <c r="E86">
        <v>208.13</v>
      </c>
      <c r="F86" t="s">
        <v>240</v>
      </c>
      <c r="G86" s="8">
        <v>-2.7799999999999998E-2</v>
      </c>
      <c r="H86" s="3">
        <f t="shared" si="1"/>
        <v>-2.7795703881257516E-2</v>
      </c>
    </row>
    <row r="87" spans="1:8" x14ac:dyDescent="0.3">
      <c r="A87" s="7">
        <v>45510</v>
      </c>
      <c r="B87">
        <v>214.05</v>
      </c>
      <c r="C87">
        <v>213.2</v>
      </c>
      <c r="D87">
        <v>217.3</v>
      </c>
      <c r="E87">
        <v>212.27</v>
      </c>
      <c r="F87" t="s">
        <v>190</v>
      </c>
      <c r="G87" s="8">
        <v>1.49E-2</v>
      </c>
      <c r="H87" s="3">
        <f t="shared" si="1"/>
        <v>1.4887866862642873E-2</v>
      </c>
    </row>
    <row r="88" spans="1:8" x14ac:dyDescent="0.3">
      <c r="A88" s="7">
        <v>45511</v>
      </c>
      <c r="B88">
        <v>215.88</v>
      </c>
      <c r="C88">
        <v>213.61</v>
      </c>
      <c r="D88">
        <v>218.31</v>
      </c>
      <c r="E88">
        <v>213.47</v>
      </c>
      <c r="F88" t="s">
        <v>141</v>
      </c>
      <c r="G88" s="8">
        <v>8.5000000000000006E-3</v>
      </c>
      <c r="H88" s="3">
        <f t="shared" si="1"/>
        <v>8.5494043447791324E-3</v>
      </c>
    </row>
    <row r="89" spans="1:8" x14ac:dyDescent="0.3">
      <c r="A89" s="7">
        <v>45512</v>
      </c>
      <c r="B89">
        <v>218.36</v>
      </c>
      <c r="C89">
        <v>214.99</v>
      </c>
      <c r="D89">
        <v>219.72</v>
      </c>
      <c r="E89">
        <v>214.99</v>
      </c>
      <c r="F89" t="s">
        <v>163</v>
      </c>
      <c r="G89" s="8">
        <v>1.15E-2</v>
      </c>
      <c r="H89" s="3">
        <f t="shared" si="1"/>
        <v>1.148786362794163E-2</v>
      </c>
    </row>
    <row r="90" spans="1:8" x14ac:dyDescent="0.3">
      <c r="A90" s="7">
        <v>45513</v>
      </c>
      <c r="B90">
        <v>221.73</v>
      </c>
      <c r="C90">
        <v>219.3</v>
      </c>
      <c r="D90">
        <v>221.89</v>
      </c>
      <c r="E90">
        <v>217.91</v>
      </c>
      <c r="F90" t="s">
        <v>88</v>
      </c>
      <c r="G90" s="8">
        <v>1.54E-2</v>
      </c>
      <c r="H90" s="3">
        <f t="shared" si="1"/>
        <v>1.5433229529217662E-2</v>
      </c>
    </row>
    <row r="91" spans="1:8" x14ac:dyDescent="0.3">
      <c r="A91" s="7">
        <v>45516</v>
      </c>
      <c r="B91">
        <v>222.99</v>
      </c>
      <c r="C91">
        <v>224.79</v>
      </c>
      <c r="D91">
        <v>225.75</v>
      </c>
      <c r="E91">
        <v>221.51</v>
      </c>
      <c r="F91" t="s">
        <v>197</v>
      </c>
      <c r="G91" s="8">
        <v>5.7000000000000002E-3</v>
      </c>
      <c r="H91" s="3">
        <f t="shared" si="1"/>
        <v>5.682586930050082E-3</v>
      </c>
    </row>
    <row r="92" spans="1:8" x14ac:dyDescent="0.3">
      <c r="A92" s="7">
        <v>45517</v>
      </c>
      <c r="B92">
        <v>222.33</v>
      </c>
      <c r="C92">
        <v>222.67</v>
      </c>
      <c r="D92">
        <v>224.46</v>
      </c>
      <c r="E92">
        <v>220.33</v>
      </c>
      <c r="F92" t="s">
        <v>66</v>
      </c>
      <c r="G92" s="8">
        <v>-3.0000000000000001E-3</v>
      </c>
      <c r="H92" s="3">
        <f t="shared" si="1"/>
        <v>-2.9597739808959744E-3</v>
      </c>
    </row>
    <row r="93" spans="1:8" x14ac:dyDescent="0.3">
      <c r="A93" s="7">
        <v>45518</v>
      </c>
      <c r="B93">
        <v>234.34</v>
      </c>
      <c r="C93">
        <v>227</v>
      </c>
      <c r="D93">
        <v>234.74</v>
      </c>
      <c r="E93">
        <v>226.52</v>
      </c>
      <c r="F93" t="s">
        <v>155</v>
      </c>
      <c r="G93" s="8">
        <v>5.3999999999999999E-2</v>
      </c>
      <c r="H93" s="3">
        <f t="shared" si="1"/>
        <v>5.4018800881572293E-2</v>
      </c>
    </row>
    <row r="94" spans="1:8" x14ac:dyDescent="0.3">
      <c r="A94" s="7">
        <v>45519</v>
      </c>
      <c r="B94">
        <v>236.77</v>
      </c>
      <c r="C94">
        <v>237.5</v>
      </c>
      <c r="D94">
        <v>238.45</v>
      </c>
      <c r="E94">
        <v>234.51</v>
      </c>
      <c r="F94" t="s">
        <v>303</v>
      </c>
      <c r="G94" s="8">
        <v>1.04E-2</v>
      </c>
      <c r="H94" s="3">
        <f t="shared" si="1"/>
        <v>1.0369548519245653E-2</v>
      </c>
    </row>
    <row r="95" spans="1:8" x14ac:dyDescent="0.3">
      <c r="A95" s="7">
        <v>45520</v>
      </c>
      <c r="B95">
        <v>235.88</v>
      </c>
      <c r="C95">
        <v>237.16</v>
      </c>
      <c r="D95">
        <v>238.04</v>
      </c>
      <c r="E95">
        <v>234.06</v>
      </c>
      <c r="F95" t="s">
        <v>184</v>
      </c>
      <c r="G95" s="8">
        <v>-3.8E-3</v>
      </c>
      <c r="H95" s="3">
        <f t="shared" si="1"/>
        <v>-3.7589221607468026E-3</v>
      </c>
    </row>
    <row r="96" spans="1:8" x14ac:dyDescent="0.3">
      <c r="A96" s="7">
        <v>45523</v>
      </c>
      <c r="B96">
        <v>237.78</v>
      </c>
      <c r="C96">
        <v>235.19</v>
      </c>
      <c r="D96">
        <v>237.83</v>
      </c>
      <c r="E96">
        <v>234.75</v>
      </c>
      <c r="F96" t="s">
        <v>78</v>
      </c>
      <c r="G96" s="8">
        <v>8.0999999999999996E-3</v>
      </c>
      <c r="H96" s="3">
        <f t="shared" si="1"/>
        <v>8.0549431914533898E-3</v>
      </c>
    </row>
    <row r="97" spans="1:8" x14ac:dyDescent="0.3">
      <c r="A97" s="7">
        <v>45524</v>
      </c>
      <c r="B97">
        <v>238.75</v>
      </c>
      <c r="C97">
        <v>238.96</v>
      </c>
      <c r="D97">
        <v>239.16</v>
      </c>
      <c r="E97">
        <v>237.15</v>
      </c>
      <c r="F97" t="s">
        <v>150</v>
      </c>
      <c r="G97" s="8">
        <v>4.1000000000000003E-3</v>
      </c>
      <c r="H97" s="3">
        <f t="shared" si="1"/>
        <v>4.0794011270923747E-3</v>
      </c>
    </row>
    <row r="98" spans="1:8" x14ac:dyDescent="0.3">
      <c r="A98" s="7">
        <v>45525</v>
      </c>
      <c r="B98">
        <v>237.32</v>
      </c>
      <c r="C98">
        <v>240.44</v>
      </c>
      <c r="D98">
        <v>240.8</v>
      </c>
      <c r="E98">
        <v>235.42</v>
      </c>
      <c r="F98" t="s">
        <v>77</v>
      </c>
      <c r="G98" s="8">
        <v>-6.0000000000000001E-3</v>
      </c>
      <c r="H98" s="3">
        <f t="shared" si="1"/>
        <v>-5.989528795811494E-3</v>
      </c>
    </row>
    <row r="99" spans="1:8" x14ac:dyDescent="0.3">
      <c r="A99" s="7">
        <v>45526</v>
      </c>
      <c r="B99">
        <v>240.22</v>
      </c>
      <c r="C99">
        <v>237.62</v>
      </c>
      <c r="D99">
        <v>240.4</v>
      </c>
      <c r="E99">
        <v>236.99</v>
      </c>
      <c r="F99" t="s">
        <v>119</v>
      </c>
      <c r="G99" s="8">
        <v>1.2200000000000001E-2</v>
      </c>
      <c r="H99" s="3">
        <f t="shared" si="1"/>
        <v>1.2219787628518386E-2</v>
      </c>
    </row>
    <row r="100" spans="1:8" x14ac:dyDescent="0.3">
      <c r="A100" s="7">
        <v>45527</v>
      </c>
      <c r="B100">
        <v>241.25</v>
      </c>
      <c r="C100">
        <v>239.95</v>
      </c>
      <c r="D100">
        <v>241.43</v>
      </c>
      <c r="E100">
        <v>238.95</v>
      </c>
      <c r="F100" t="s">
        <v>221</v>
      </c>
      <c r="G100" s="8">
        <v>4.3E-3</v>
      </c>
      <c r="H100" s="3">
        <f t="shared" si="1"/>
        <v>4.2877362417783615E-3</v>
      </c>
    </row>
    <row r="101" spans="1:8" x14ac:dyDescent="0.3">
      <c r="A101" s="7">
        <v>45530</v>
      </c>
      <c r="B101">
        <v>242.45</v>
      </c>
      <c r="C101">
        <v>242.37</v>
      </c>
      <c r="D101">
        <v>245</v>
      </c>
      <c r="E101">
        <v>241.74</v>
      </c>
      <c r="F101" t="s">
        <v>83</v>
      </c>
      <c r="G101" s="8">
        <v>5.0000000000000001E-3</v>
      </c>
      <c r="H101" s="3">
        <f t="shared" si="1"/>
        <v>4.9740932642485802E-3</v>
      </c>
    </row>
    <row r="102" spans="1:8" x14ac:dyDescent="0.3">
      <c r="A102" s="7">
        <v>45531</v>
      </c>
      <c r="B102">
        <v>245.57</v>
      </c>
      <c r="C102">
        <v>243.11</v>
      </c>
      <c r="D102">
        <v>245.93</v>
      </c>
      <c r="E102">
        <v>242.05</v>
      </c>
      <c r="F102" t="s">
        <v>25</v>
      </c>
      <c r="G102" s="8">
        <v>1.29E-2</v>
      </c>
      <c r="H102" s="3">
        <f t="shared" si="1"/>
        <v>1.2868632707774719E-2</v>
      </c>
    </row>
    <row r="103" spans="1:8" x14ac:dyDescent="0.3">
      <c r="A103" s="7">
        <v>45532</v>
      </c>
      <c r="B103">
        <v>248.26</v>
      </c>
      <c r="C103">
        <v>245.96</v>
      </c>
      <c r="D103">
        <v>248.34</v>
      </c>
      <c r="E103">
        <v>245.35</v>
      </c>
      <c r="F103" t="s">
        <v>163</v>
      </c>
      <c r="G103" s="8">
        <v>1.0999999999999999E-2</v>
      </c>
      <c r="H103" s="3">
        <f t="shared" si="1"/>
        <v>1.0954106771999816E-2</v>
      </c>
    </row>
    <row r="104" spans="1:8" x14ac:dyDescent="0.3">
      <c r="A104" s="7">
        <v>45533</v>
      </c>
      <c r="B104">
        <v>250.01</v>
      </c>
      <c r="C104">
        <v>247.39</v>
      </c>
      <c r="D104">
        <v>250.23</v>
      </c>
      <c r="E104">
        <v>245.99</v>
      </c>
      <c r="F104" t="s">
        <v>90</v>
      </c>
      <c r="G104" s="8">
        <v>7.0000000000000001E-3</v>
      </c>
      <c r="H104" s="3">
        <f t="shared" si="1"/>
        <v>7.0490614678160313E-3</v>
      </c>
    </row>
    <row r="105" spans="1:8" x14ac:dyDescent="0.3">
      <c r="A105" s="7">
        <v>45534</v>
      </c>
      <c r="B105">
        <v>252.2</v>
      </c>
      <c r="C105">
        <v>249.62</v>
      </c>
      <c r="D105">
        <v>254.35</v>
      </c>
      <c r="E105">
        <v>248.8</v>
      </c>
      <c r="F105" t="s">
        <v>240</v>
      </c>
      <c r="G105" s="8">
        <v>8.8000000000000005E-3</v>
      </c>
      <c r="H105" s="3">
        <f t="shared" si="1"/>
        <v>8.7596496140154301E-3</v>
      </c>
    </row>
    <row r="106" spans="1:8" x14ac:dyDescent="0.3">
      <c r="A106" s="7">
        <v>45538</v>
      </c>
      <c r="B106">
        <v>252.32</v>
      </c>
      <c r="C106">
        <v>252.2</v>
      </c>
      <c r="D106">
        <v>254.83</v>
      </c>
      <c r="E106">
        <v>251.08</v>
      </c>
      <c r="F106" t="s">
        <v>209</v>
      </c>
      <c r="G106" s="8">
        <v>5.0000000000000001E-4</v>
      </c>
      <c r="H106" s="3">
        <f t="shared" si="1"/>
        <v>4.7581284694686587E-4</v>
      </c>
    </row>
    <row r="107" spans="1:8" x14ac:dyDescent="0.3">
      <c r="A107" s="7">
        <v>45539</v>
      </c>
      <c r="B107">
        <v>253.91</v>
      </c>
      <c r="C107">
        <v>253.79</v>
      </c>
      <c r="D107">
        <v>254.53</v>
      </c>
      <c r="E107">
        <v>251.33</v>
      </c>
      <c r="F107" t="s">
        <v>169</v>
      </c>
      <c r="G107" s="8">
        <v>6.3E-3</v>
      </c>
      <c r="H107" s="3">
        <f t="shared" si="1"/>
        <v>6.3015218769815196E-3</v>
      </c>
    </row>
    <row r="108" spans="1:8" x14ac:dyDescent="0.3">
      <c r="A108" s="7">
        <v>45540</v>
      </c>
      <c r="B108">
        <v>249.54</v>
      </c>
      <c r="C108">
        <v>253.17</v>
      </c>
      <c r="D108">
        <v>253.91</v>
      </c>
      <c r="E108">
        <v>247.29</v>
      </c>
      <c r="F108" t="s">
        <v>198</v>
      </c>
      <c r="G108" s="8">
        <v>-1.72E-2</v>
      </c>
      <c r="H108" s="3">
        <f t="shared" si="1"/>
        <v>-1.7210822732464326E-2</v>
      </c>
    </row>
    <row r="109" spans="1:8" x14ac:dyDescent="0.3">
      <c r="A109" s="7">
        <v>45541</v>
      </c>
      <c r="B109">
        <v>248.69</v>
      </c>
      <c r="C109">
        <v>250.09</v>
      </c>
      <c r="D109">
        <v>252.03</v>
      </c>
      <c r="E109">
        <v>248.05</v>
      </c>
      <c r="F109" t="s">
        <v>58</v>
      </c>
      <c r="G109" s="8">
        <v>-3.3999999999999998E-3</v>
      </c>
      <c r="H109" s="3">
        <f t="shared" si="1"/>
        <v>-3.4062675322593661E-3</v>
      </c>
    </row>
    <row r="110" spans="1:8" x14ac:dyDescent="0.3">
      <c r="A110" s="7">
        <v>45544</v>
      </c>
      <c r="B110">
        <v>251.31</v>
      </c>
      <c r="C110">
        <v>249.76</v>
      </c>
      <c r="D110">
        <v>252.8</v>
      </c>
      <c r="E110">
        <v>248.52</v>
      </c>
      <c r="F110" t="s">
        <v>42</v>
      </c>
      <c r="G110" s="8">
        <v>1.0500000000000001E-2</v>
      </c>
      <c r="H110" s="3">
        <f t="shared" si="1"/>
        <v>1.0535204471430415E-2</v>
      </c>
    </row>
    <row r="111" spans="1:8" x14ac:dyDescent="0.3">
      <c r="A111" s="7">
        <v>45545</v>
      </c>
      <c r="B111">
        <v>249.13</v>
      </c>
      <c r="C111">
        <v>252.58</v>
      </c>
      <c r="D111">
        <v>254.73</v>
      </c>
      <c r="E111">
        <v>249</v>
      </c>
      <c r="F111" t="s">
        <v>107</v>
      </c>
      <c r="G111" s="8">
        <v>-8.6999999999999994E-3</v>
      </c>
      <c r="H111" s="3">
        <f t="shared" si="1"/>
        <v>-8.6745453821973628E-3</v>
      </c>
    </row>
    <row r="112" spans="1:8" x14ac:dyDescent="0.3">
      <c r="A112" s="7">
        <v>45546</v>
      </c>
      <c r="B112">
        <v>249.59</v>
      </c>
      <c r="C112">
        <v>248.96</v>
      </c>
      <c r="D112">
        <v>249.86</v>
      </c>
      <c r="E112">
        <v>245.3</v>
      </c>
      <c r="F112" t="s">
        <v>306</v>
      </c>
      <c r="G112" s="8">
        <v>1.8E-3</v>
      </c>
      <c r="H112" s="3">
        <f t="shared" si="1"/>
        <v>1.8464255609520475E-3</v>
      </c>
    </row>
    <row r="113" spans="1:8" x14ac:dyDescent="0.3">
      <c r="A113" s="7">
        <v>45547</v>
      </c>
      <c r="B113">
        <v>249.48</v>
      </c>
      <c r="C113">
        <v>247.85</v>
      </c>
      <c r="D113">
        <v>250.08</v>
      </c>
      <c r="E113">
        <v>246.51</v>
      </c>
      <c r="F113" t="s">
        <v>60</v>
      </c>
      <c r="G113" s="8">
        <v>-4.0000000000000002E-4</v>
      </c>
      <c r="H113" s="3">
        <f t="shared" si="1"/>
        <v>-4.4072278536810838E-4</v>
      </c>
    </row>
    <row r="114" spans="1:8" x14ac:dyDescent="0.3">
      <c r="A114" s="7">
        <v>45548</v>
      </c>
      <c r="B114">
        <v>255.46</v>
      </c>
      <c r="C114">
        <v>256.31</v>
      </c>
      <c r="D114">
        <v>256.74</v>
      </c>
      <c r="E114">
        <v>249.68</v>
      </c>
      <c r="F114" t="s">
        <v>86</v>
      </c>
      <c r="G114" s="8">
        <v>2.4E-2</v>
      </c>
      <c r="H114" s="3">
        <f t="shared" si="1"/>
        <v>2.3969857303190789E-2</v>
      </c>
    </row>
    <row r="115" spans="1:8" x14ac:dyDescent="0.3">
      <c r="A115" s="7">
        <v>45551</v>
      </c>
      <c r="B115">
        <v>256.31</v>
      </c>
      <c r="C115">
        <v>257.31</v>
      </c>
      <c r="D115">
        <v>260.45999999999998</v>
      </c>
      <c r="E115">
        <v>255.55</v>
      </c>
      <c r="F115" t="s">
        <v>71</v>
      </c>
      <c r="G115" s="8">
        <v>3.3E-3</v>
      </c>
      <c r="H115" s="3">
        <f t="shared" si="1"/>
        <v>3.3273310890158392E-3</v>
      </c>
    </row>
    <row r="116" spans="1:8" x14ac:dyDescent="0.3">
      <c r="A116" s="7">
        <v>45552</v>
      </c>
      <c r="B116">
        <v>256.91000000000003</v>
      </c>
      <c r="C116">
        <v>256.02</v>
      </c>
      <c r="D116">
        <v>257.18</v>
      </c>
      <c r="E116">
        <v>253.57</v>
      </c>
      <c r="F116" t="s">
        <v>132</v>
      </c>
      <c r="G116" s="8">
        <v>2.3E-3</v>
      </c>
      <c r="H116" s="3">
        <f t="shared" si="1"/>
        <v>2.3409152978814962E-3</v>
      </c>
    </row>
    <row r="117" spans="1:8" x14ac:dyDescent="0.3">
      <c r="A117" s="7">
        <v>45553</v>
      </c>
      <c r="B117">
        <v>257.66000000000003</v>
      </c>
      <c r="C117">
        <v>256.99</v>
      </c>
      <c r="D117">
        <v>259.05</v>
      </c>
      <c r="E117">
        <v>255.5</v>
      </c>
      <c r="F117" t="s">
        <v>59</v>
      </c>
      <c r="G117" s="8">
        <v>2.8999999999999998E-3</v>
      </c>
      <c r="H117" s="3">
        <f t="shared" si="1"/>
        <v>2.9193102642948165E-3</v>
      </c>
    </row>
    <row r="118" spans="1:8" x14ac:dyDescent="0.3">
      <c r="A118" s="7">
        <v>45554</v>
      </c>
      <c r="B118">
        <v>255.3</v>
      </c>
      <c r="C118">
        <v>256.89</v>
      </c>
      <c r="D118">
        <v>257.11</v>
      </c>
      <c r="E118">
        <v>252.74</v>
      </c>
      <c r="F118" t="s">
        <v>194</v>
      </c>
      <c r="G118" s="8">
        <v>-9.1999999999999998E-3</v>
      </c>
      <c r="H118" s="3">
        <f t="shared" si="1"/>
        <v>-9.1593572925561251E-3</v>
      </c>
    </row>
    <row r="119" spans="1:8" x14ac:dyDescent="0.3">
      <c r="A119" s="7">
        <v>45555</v>
      </c>
      <c r="B119">
        <v>259.24</v>
      </c>
      <c r="C119">
        <v>255.21</v>
      </c>
      <c r="D119">
        <v>259.51</v>
      </c>
      <c r="E119">
        <v>254.2</v>
      </c>
      <c r="F119" t="s">
        <v>305</v>
      </c>
      <c r="G119" s="8">
        <v>1.54E-2</v>
      </c>
      <c r="H119" s="3">
        <f t="shared" si="1"/>
        <v>1.5432824128476241E-2</v>
      </c>
    </row>
    <row r="120" spans="1:8" x14ac:dyDescent="0.3">
      <c r="A120" s="7">
        <v>45558</v>
      </c>
      <c r="B120">
        <v>257.60000000000002</v>
      </c>
      <c r="C120">
        <v>260</v>
      </c>
      <c r="D120">
        <v>260.39</v>
      </c>
      <c r="E120">
        <v>256.69</v>
      </c>
      <c r="F120" t="s">
        <v>236</v>
      </c>
      <c r="G120" s="8">
        <v>-6.3E-3</v>
      </c>
      <c r="H120" s="3">
        <f t="shared" si="1"/>
        <v>-6.3261842308285354E-3</v>
      </c>
    </row>
    <row r="121" spans="1:8" x14ac:dyDescent="0.3">
      <c r="A121" s="7">
        <v>45559</v>
      </c>
      <c r="B121">
        <v>256.54000000000002</v>
      </c>
      <c r="C121">
        <v>256.92</v>
      </c>
      <c r="D121">
        <v>257.12</v>
      </c>
      <c r="E121">
        <v>254.01</v>
      </c>
      <c r="F121" t="s">
        <v>121</v>
      </c>
      <c r="G121" s="8">
        <v>-4.1000000000000003E-3</v>
      </c>
      <c r="H121" s="3">
        <f t="shared" si="1"/>
        <v>-4.1149068322980931E-3</v>
      </c>
    </row>
    <row r="122" spans="1:8" x14ac:dyDescent="0.3">
      <c r="A122" s="7">
        <v>45560</v>
      </c>
      <c r="B122">
        <v>256.99</v>
      </c>
      <c r="C122">
        <v>258.12</v>
      </c>
      <c r="D122">
        <v>258.73</v>
      </c>
      <c r="E122">
        <v>256.47000000000003</v>
      </c>
      <c r="F122" t="s">
        <v>58</v>
      </c>
      <c r="G122" s="8">
        <v>1.8E-3</v>
      </c>
      <c r="H122" s="3">
        <f t="shared" si="1"/>
        <v>1.7541124191158275E-3</v>
      </c>
    </row>
    <row r="123" spans="1:8" x14ac:dyDescent="0.3">
      <c r="A123" s="7">
        <v>45561</v>
      </c>
      <c r="B123">
        <v>252.38</v>
      </c>
      <c r="C123">
        <v>255.45</v>
      </c>
      <c r="D123">
        <v>255.87</v>
      </c>
      <c r="E123">
        <v>251.74</v>
      </c>
      <c r="F123" t="s">
        <v>60</v>
      </c>
      <c r="G123" s="8">
        <v>-1.7899999999999999E-2</v>
      </c>
      <c r="H123" s="3">
        <f t="shared" si="1"/>
        <v>-1.7938441184481957E-2</v>
      </c>
    </row>
    <row r="124" spans="1:8" x14ac:dyDescent="0.3">
      <c r="A124" s="7">
        <v>45562</v>
      </c>
      <c r="B124">
        <v>251.1</v>
      </c>
      <c r="C124">
        <v>251.06</v>
      </c>
      <c r="D124">
        <v>252.88</v>
      </c>
      <c r="E124">
        <v>250.55</v>
      </c>
      <c r="F124" t="s">
        <v>174</v>
      </c>
      <c r="G124" s="8">
        <v>-5.1000000000000004E-3</v>
      </c>
      <c r="H124" s="3">
        <f t="shared" si="1"/>
        <v>-5.0717172517632525E-3</v>
      </c>
    </row>
    <row r="125" spans="1:8" x14ac:dyDescent="0.3">
      <c r="A125" s="7">
        <v>45565</v>
      </c>
      <c r="B125">
        <v>253.76</v>
      </c>
      <c r="C125">
        <v>252.89</v>
      </c>
      <c r="D125">
        <v>253.94</v>
      </c>
      <c r="E125">
        <v>248.93</v>
      </c>
      <c r="F125" t="s">
        <v>76</v>
      </c>
      <c r="G125" s="8">
        <v>1.06E-2</v>
      </c>
      <c r="H125" s="3">
        <f t="shared" si="1"/>
        <v>1.0593389088012772E-2</v>
      </c>
    </row>
    <row r="126" spans="1:8" x14ac:dyDescent="0.3">
      <c r="A126" s="7">
        <v>45566</v>
      </c>
      <c r="B126">
        <v>254.27</v>
      </c>
      <c r="C126">
        <v>251.41</v>
      </c>
      <c r="D126">
        <v>256.17</v>
      </c>
      <c r="E126">
        <v>251.14</v>
      </c>
      <c r="F126" t="s">
        <v>304</v>
      </c>
      <c r="G126" s="8">
        <v>2E-3</v>
      </c>
      <c r="H126" s="3">
        <f t="shared" si="1"/>
        <v>2.0097730138715075E-3</v>
      </c>
    </row>
    <row r="127" spans="1:8" x14ac:dyDescent="0.3">
      <c r="A127" s="7">
        <v>45567</v>
      </c>
      <c r="B127">
        <v>254.43</v>
      </c>
      <c r="C127">
        <v>253.51</v>
      </c>
      <c r="D127">
        <v>254.86</v>
      </c>
      <c r="E127">
        <v>252.89</v>
      </c>
      <c r="F127" t="s">
        <v>256</v>
      </c>
      <c r="G127" s="8">
        <v>5.9999999999999995E-4</v>
      </c>
      <c r="H127" s="3">
        <f t="shared" si="1"/>
        <v>6.2925236952837693E-4</v>
      </c>
    </row>
    <row r="128" spans="1:8" x14ac:dyDescent="0.3">
      <c r="A128" s="7">
        <v>45568</v>
      </c>
      <c r="B128">
        <v>252.27</v>
      </c>
      <c r="C128">
        <v>254.04</v>
      </c>
      <c r="D128">
        <v>254.92</v>
      </c>
      <c r="E128">
        <v>250.22</v>
      </c>
      <c r="F128" t="s">
        <v>46</v>
      </c>
      <c r="G128" s="8">
        <v>-8.5000000000000006E-3</v>
      </c>
      <c r="H128" s="3">
        <f t="shared" si="1"/>
        <v>-8.4895649097983528E-3</v>
      </c>
    </row>
    <row r="129" spans="1:8" x14ac:dyDescent="0.3">
      <c r="A129" s="7">
        <v>45569</v>
      </c>
      <c r="B129">
        <v>255.36</v>
      </c>
      <c r="C129">
        <v>251.73</v>
      </c>
      <c r="D129">
        <v>256.17</v>
      </c>
      <c r="E129">
        <v>251.49</v>
      </c>
      <c r="F129" t="s">
        <v>81</v>
      </c>
      <c r="G129" s="8">
        <v>1.2200000000000001E-2</v>
      </c>
      <c r="H129" s="3">
        <f t="shared" si="1"/>
        <v>1.2248781067903503E-2</v>
      </c>
    </row>
    <row r="130" spans="1:8" x14ac:dyDescent="0.3">
      <c r="A130" s="7">
        <v>45572</v>
      </c>
      <c r="B130">
        <v>245.52</v>
      </c>
      <c r="C130">
        <v>254.85</v>
      </c>
      <c r="D130">
        <v>255.86</v>
      </c>
      <c r="E130">
        <v>243.18</v>
      </c>
      <c r="F130" t="s">
        <v>182</v>
      </c>
      <c r="G130" s="8">
        <v>-3.85E-2</v>
      </c>
      <c r="H130" s="3">
        <f t="shared" si="1"/>
        <v>-3.8533834586466198E-2</v>
      </c>
    </row>
    <row r="131" spans="1:8" x14ac:dyDescent="0.3">
      <c r="A131" s="7">
        <v>45573</v>
      </c>
      <c r="B131">
        <v>249.02</v>
      </c>
      <c r="C131">
        <v>247.65</v>
      </c>
      <c r="D131">
        <v>249.89</v>
      </c>
      <c r="E131">
        <v>247.26</v>
      </c>
      <c r="F131" t="s">
        <v>174</v>
      </c>
      <c r="G131" s="8">
        <v>1.43E-2</v>
      </c>
      <c r="H131" s="3">
        <f t="shared" si="1"/>
        <v>1.4255457803844962E-2</v>
      </c>
    </row>
    <row r="132" spans="1:8" x14ac:dyDescent="0.3">
      <c r="A132" s="7">
        <v>45574</v>
      </c>
      <c r="B132">
        <v>250.76</v>
      </c>
      <c r="C132">
        <v>248.25</v>
      </c>
      <c r="D132">
        <v>252.54</v>
      </c>
      <c r="E132">
        <v>247.91</v>
      </c>
      <c r="F132" t="s">
        <v>180</v>
      </c>
      <c r="G132" s="8">
        <v>7.0000000000000001E-3</v>
      </c>
      <c r="H132" s="3">
        <f t="shared" ref="H132:H195" si="2">(B132/B131)-1</f>
        <v>6.9873905710384765E-3</v>
      </c>
    </row>
    <row r="133" spans="1:8" x14ac:dyDescent="0.3">
      <c r="A133" s="7">
        <v>45575</v>
      </c>
      <c r="B133">
        <v>251.78</v>
      </c>
      <c r="C133">
        <v>254.77</v>
      </c>
      <c r="D133">
        <v>255.88</v>
      </c>
      <c r="E133">
        <v>251.03</v>
      </c>
      <c r="F133" t="s">
        <v>88</v>
      </c>
      <c r="G133" s="8">
        <v>4.1000000000000003E-3</v>
      </c>
      <c r="H133" s="3">
        <f t="shared" si="2"/>
        <v>4.0676343914500812E-3</v>
      </c>
    </row>
    <row r="134" spans="1:8" x14ac:dyDescent="0.3">
      <c r="A134" s="7">
        <v>45576</v>
      </c>
      <c r="B134">
        <v>254.09</v>
      </c>
      <c r="C134">
        <v>251.55</v>
      </c>
      <c r="D134">
        <v>254.17</v>
      </c>
      <c r="E134">
        <v>251.47</v>
      </c>
      <c r="F134" t="s">
        <v>222</v>
      </c>
      <c r="G134" s="8">
        <v>9.1999999999999998E-3</v>
      </c>
      <c r="H134" s="3">
        <f t="shared" si="2"/>
        <v>9.1746763047104718E-3</v>
      </c>
    </row>
    <row r="135" spans="1:8" x14ac:dyDescent="0.3">
      <c r="A135" s="7">
        <v>45579</v>
      </c>
      <c r="B135">
        <v>251.88</v>
      </c>
      <c r="C135">
        <v>254.64</v>
      </c>
      <c r="D135">
        <v>254.64</v>
      </c>
      <c r="E135">
        <v>250.39</v>
      </c>
      <c r="F135" t="s">
        <v>41</v>
      </c>
      <c r="G135" s="8">
        <v>-8.6999999999999994E-3</v>
      </c>
      <c r="H135" s="3">
        <f t="shared" si="2"/>
        <v>-8.697705537408007E-3</v>
      </c>
    </row>
    <row r="136" spans="1:8" x14ac:dyDescent="0.3">
      <c r="A136" s="7">
        <v>45580</v>
      </c>
      <c r="B136">
        <v>251.6</v>
      </c>
      <c r="C136">
        <v>254</v>
      </c>
      <c r="D136">
        <v>255.41</v>
      </c>
      <c r="E136">
        <v>249.74</v>
      </c>
      <c r="F136" t="s">
        <v>303</v>
      </c>
      <c r="G136" s="8">
        <v>-1.1000000000000001E-3</v>
      </c>
      <c r="H136" s="3">
        <f t="shared" si="2"/>
        <v>-1.1116404637129262E-3</v>
      </c>
    </row>
    <row r="137" spans="1:8" x14ac:dyDescent="0.3">
      <c r="A137" s="7">
        <v>45581</v>
      </c>
      <c r="B137">
        <v>255.37</v>
      </c>
      <c r="C137">
        <v>252.11</v>
      </c>
      <c r="D137">
        <v>256</v>
      </c>
      <c r="E137">
        <v>251.31</v>
      </c>
      <c r="F137" t="s">
        <v>42</v>
      </c>
      <c r="G137" s="8">
        <v>1.4999999999999999E-2</v>
      </c>
      <c r="H137" s="3">
        <f t="shared" si="2"/>
        <v>1.498410174880771E-2</v>
      </c>
    </row>
    <row r="138" spans="1:8" x14ac:dyDescent="0.3">
      <c r="A138" s="7">
        <v>45582</v>
      </c>
      <c r="B138">
        <v>251.34</v>
      </c>
      <c r="C138">
        <v>257.01</v>
      </c>
      <c r="D138">
        <v>259.58999999999997</v>
      </c>
      <c r="E138">
        <v>250.88</v>
      </c>
      <c r="F138" t="s">
        <v>296</v>
      </c>
      <c r="G138" s="8">
        <v>-1.5800000000000002E-2</v>
      </c>
      <c r="H138" s="3">
        <f t="shared" si="2"/>
        <v>-1.5781023612797096E-2</v>
      </c>
    </row>
    <row r="139" spans="1:8" x14ac:dyDescent="0.3">
      <c r="A139" s="7">
        <v>45583</v>
      </c>
      <c r="B139">
        <v>251.12</v>
      </c>
      <c r="C139">
        <v>252.2</v>
      </c>
      <c r="D139">
        <v>252.94</v>
      </c>
      <c r="E139">
        <v>249.87</v>
      </c>
      <c r="F139" t="s">
        <v>83</v>
      </c>
      <c r="G139" s="8">
        <v>-8.9999999999999998E-4</v>
      </c>
      <c r="H139" s="3">
        <f t="shared" si="2"/>
        <v>-8.7530834725868534E-4</v>
      </c>
    </row>
    <row r="140" spans="1:8" x14ac:dyDescent="0.3">
      <c r="A140" s="7">
        <v>45586</v>
      </c>
      <c r="B140">
        <v>250.74</v>
      </c>
      <c r="C140">
        <v>251.15</v>
      </c>
      <c r="D140">
        <v>252.71</v>
      </c>
      <c r="E140">
        <v>249.43</v>
      </c>
      <c r="F140" t="s">
        <v>151</v>
      </c>
      <c r="G140" s="8">
        <v>-1.5E-3</v>
      </c>
      <c r="H140" s="3">
        <f t="shared" si="2"/>
        <v>-1.5132207709461776E-3</v>
      </c>
    </row>
    <row r="141" spans="1:8" x14ac:dyDescent="0.3">
      <c r="A141" s="7">
        <v>45587</v>
      </c>
      <c r="B141">
        <v>248.25</v>
      </c>
      <c r="C141">
        <v>248.39</v>
      </c>
      <c r="D141">
        <v>249.83</v>
      </c>
      <c r="E141">
        <v>245.38</v>
      </c>
      <c r="F141" t="s">
        <v>169</v>
      </c>
      <c r="G141" s="8">
        <v>-9.9000000000000008E-3</v>
      </c>
      <c r="H141" s="3">
        <f t="shared" si="2"/>
        <v>-9.9306054079923989E-3</v>
      </c>
    </row>
    <row r="142" spans="1:8" x14ac:dyDescent="0.3">
      <c r="A142" s="7">
        <v>45588</v>
      </c>
      <c r="B142">
        <v>247.25</v>
      </c>
      <c r="C142">
        <v>247.99</v>
      </c>
      <c r="D142">
        <v>249.35</v>
      </c>
      <c r="E142">
        <v>246.35</v>
      </c>
      <c r="F142" t="s">
        <v>137</v>
      </c>
      <c r="G142" s="8">
        <v>-4.0000000000000001E-3</v>
      </c>
      <c r="H142" s="3">
        <f t="shared" si="2"/>
        <v>-4.0281973816717054E-3</v>
      </c>
    </row>
    <row r="143" spans="1:8" x14ac:dyDescent="0.3">
      <c r="A143" s="7">
        <v>45589</v>
      </c>
      <c r="B143">
        <v>246.87</v>
      </c>
      <c r="C143">
        <v>248.2</v>
      </c>
      <c r="D143">
        <v>249.96</v>
      </c>
      <c r="E143">
        <v>246.4</v>
      </c>
      <c r="F143" t="s">
        <v>129</v>
      </c>
      <c r="G143" s="8">
        <v>-1.5E-3</v>
      </c>
      <c r="H143" s="3">
        <f t="shared" si="2"/>
        <v>-1.5369059656218376E-3</v>
      </c>
    </row>
    <row r="144" spans="1:8" x14ac:dyDescent="0.3">
      <c r="A144" s="7">
        <v>45590</v>
      </c>
      <c r="B144">
        <v>243.78</v>
      </c>
      <c r="C144">
        <v>246.33</v>
      </c>
      <c r="D144">
        <v>246.57</v>
      </c>
      <c r="E144">
        <v>242.38</v>
      </c>
      <c r="F144" t="s">
        <v>173</v>
      </c>
      <c r="G144" s="8">
        <v>-1.2500000000000001E-2</v>
      </c>
      <c r="H144" s="3">
        <f t="shared" si="2"/>
        <v>-1.2516709199173692E-2</v>
      </c>
    </row>
    <row r="145" spans="1:8" x14ac:dyDescent="0.3">
      <c r="A145" s="7">
        <v>45593</v>
      </c>
      <c r="B145">
        <v>244.31</v>
      </c>
      <c r="C145">
        <v>244.84</v>
      </c>
      <c r="D145">
        <v>245.68</v>
      </c>
      <c r="E145">
        <v>243.6</v>
      </c>
      <c r="F145" t="s">
        <v>73</v>
      </c>
      <c r="G145" s="8">
        <v>2.2000000000000001E-3</v>
      </c>
      <c r="H145" s="3">
        <f t="shared" si="2"/>
        <v>2.1740913938796957E-3</v>
      </c>
    </row>
    <row r="146" spans="1:8" x14ac:dyDescent="0.3">
      <c r="A146" s="7">
        <v>45594</v>
      </c>
      <c r="B146">
        <v>241.68</v>
      </c>
      <c r="C146">
        <v>244.46</v>
      </c>
      <c r="D146">
        <v>245.45</v>
      </c>
      <c r="E146">
        <v>241.64</v>
      </c>
      <c r="F146" t="s">
        <v>118</v>
      </c>
      <c r="G146" s="8">
        <v>-1.0800000000000001E-2</v>
      </c>
      <c r="H146" s="3">
        <f t="shared" si="2"/>
        <v>-1.0765011665506918E-2</v>
      </c>
    </row>
    <row r="147" spans="1:8" x14ac:dyDescent="0.3">
      <c r="A147" s="7">
        <v>45595</v>
      </c>
      <c r="B147">
        <v>243</v>
      </c>
      <c r="C147">
        <v>242.5</v>
      </c>
      <c r="D147">
        <v>243.41</v>
      </c>
      <c r="E147">
        <v>241.37</v>
      </c>
      <c r="F147" t="s">
        <v>119</v>
      </c>
      <c r="G147" s="8">
        <v>5.4999999999999997E-3</v>
      </c>
      <c r="H147" s="3">
        <f t="shared" si="2"/>
        <v>5.4617676266137671E-3</v>
      </c>
    </row>
    <row r="148" spans="1:8" x14ac:dyDescent="0.3">
      <c r="A148" s="7">
        <v>45596</v>
      </c>
      <c r="B148">
        <v>242.83</v>
      </c>
      <c r="C148">
        <v>242.1</v>
      </c>
      <c r="D148">
        <v>245.6</v>
      </c>
      <c r="E148">
        <v>240.18</v>
      </c>
      <c r="F148" t="s">
        <v>259</v>
      </c>
      <c r="G148" s="8">
        <v>-6.9999999999999999E-4</v>
      </c>
      <c r="H148" s="3">
        <f t="shared" si="2"/>
        <v>-6.9958847736617535E-4</v>
      </c>
    </row>
    <row r="149" spans="1:8" x14ac:dyDescent="0.3">
      <c r="A149" s="7">
        <v>45597</v>
      </c>
      <c r="B149">
        <v>242.72</v>
      </c>
      <c r="C149">
        <v>243.35</v>
      </c>
      <c r="D149">
        <v>245.86</v>
      </c>
      <c r="E149">
        <v>242.55</v>
      </c>
      <c r="F149" t="s">
        <v>302</v>
      </c>
      <c r="G149" s="8">
        <v>-5.0000000000000001E-4</v>
      </c>
      <c r="H149" s="3">
        <f t="shared" si="2"/>
        <v>-4.5299180496649605E-4</v>
      </c>
    </row>
    <row r="150" spans="1:8" x14ac:dyDescent="0.3">
      <c r="A150" s="7">
        <v>45600</v>
      </c>
      <c r="B150">
        <v>241.48</v>
      </c>
      <c r="C150">
        <v>243.48</v>
      </c>
      <c r="D150">
        <v>243.93</v>
      </c>
      <c r="E150">
        <v>240.25</v>
      </c>
      <c r="F150" t="s">
        <v>186</v>
      </c>
      <c r="G150" s="8">
        <v>-5.1000000000000004E-3</v>
      </c>
      <c r="H150" s="3">
        <f t="shared" si="2"/>
        <v>-5.1087673038893167E-3</v>
      </c>
    </row>
    <row r="151" spans="1:8" x14ac:dyDescent="0.3">
      <c r="A151" s="7">
        <v>45601</v>
      </c>
      <c r="B151">
        <v>248.07</v>
      </c>
      <c r="C151">
        <v>240.25</v>
      </c>
      <c r="D151">
        <v>248.13</v>
      </c>
      <c r="E151">
        <v>239.5</v>
      </c>
      <c r="F151" t="s">
        <v>107</v>
      </c>
      <c r="G151" s="8">
        <v>2.7300000000000001E-2</v>
      </c>
      <c r="H151" s="3">
        <f t="shared" si="2"/>
        <v>2.7290044724200824E-2</v>
      </c>
    </row>
    <row r="152" spans="1:8" x14ac:dyDescent="0.3">
      <c r="A152" s="7">
        <v>45602</v>
      </c>
      <c r="B152">
        <v>258.75</v>
      </c>
      <c r="C152">
        <v>259.79000000000002</v>
      </c>
      <c r="D152">
        <v>259.86</v>
      </c>
      <c r="E152">
        <v>250.67</v>
      </c>
      <c r="F152" t="s">
        <v>196</v>
      </c>
      <c r="G152" s="8">
        <v>4.3099999999999999E-2</v>
      </c>
      <c r="H152" s="3">
        <f t="shared" si="2"/>
        <v>4.3052364252025743E-2</v>
      </c>
    </row>
    <row r="153" spans="1:8" x14ac:dyDescent="0.3">
      <c r="A153" s="7">
        <v>45603</v>
      </c>
      <c r="B153">
        <v>255.27</v>
      </c>
      <c r="C153">
        <v>257.81</v>
      </c>
      <c r="D153">
        <v>260.36</v>
      </c>
      <c r="E153">
        <v>253.18</v>
      </c>
      <c r="F153" t="s">
        <v>58</v>
      </c>
      <c r="G153" s="8">
        <v>-1.34E-2</v>
      </c>
      <c r="H153" s="3">
        <f t="shared" si="2"/>
        <v>-1.3449275362318769E-2</v>
      </c>
    </row>
    <row r="154" spans="1:8" x14ac:dyDescent="0.3">
      <c r="A154" s="7">
        <v>45604</v>
      </c>
      <c r="B154">
        <v>261.52</v>
      </c>
      <c r="C154">
        <v>259.45999999999998</v>
      </c>
      <c r="D154">
        <v>263.39</v>
      </c>
      <c r="E154">
        <v>257.39</v>
      </c>
      <c r="F154" t="s">
        <v>184</v>
      </c>
      <c r="G154" s="8">
        <v>2.4500000000000001E-2</v>
      </c>
      <c r="H154" s="3">
        <f t="shared" si="2"/>
        <v>2.4483879813530729E-2</v>
      </c>
    </row>
    <row r="155" spans="1:8" x14ac:dyDescent="0.3">
      <c r="A155" s="7">
        <v>45607</v>
      </c>
      <c r="B155">
        <v>259.89</v>
      </c>
      <c r="C155">
        <v>262.60000000000002</v>
      </c>
      <c r="D155">
        <v>263.85000000000002</v>
      </c>
      <c r="E155">
        <v>259.39999999999998</v>
      </c>
      <c r="F155" t="s">
        <v>61</v>
      </c>
      <c r="G155" s="8">
        <v>-6.1999999999999998E-3</v>
      </c>
      <c r="H155" s="3">
        <f t="shared" si="2"/>
        <v>-6.2327929030284723E-3</v>
      </c>
    </row>
    <row r="156" spans="1:8" x14ac:dyDescent="0.3">
      <c r="A156" s="7">
        <v>45608</v>
      </c>
      <c r="B156">
        <v>262.33999999999997</v>
      </c>
      <c r="C156">
        <v>260.98</v>
      </c>
      <c r="D156">
        <v>263.58999999999997</v>
      </c>
      <c r="E156">
        <v>258.26</v>
      </c>
      <c r="F156" t="s">
        <v>95</v>
      </c>
      <c r="G156" s="8">
        <v>9.4000000000000004E-3</v>
      </c>
      <c r="H156" s="3">
        <f t="shared" si="2"/>
        <v>9.4270652968562185E-3</v>
      </c>
    </row>
    <row r="157" spans="1:8" x14ac:dyDescent="0.3">
      <c r="A157" s="7">
        <v>45609</v>
      </c>
      <c r="B157">
        <v>261.37</v>
      </c>
      <c r="C157">
        <v>263.64999999999998</v>
      </c>
      <c r="D157">
        <v>263.64999999999998</v>
      </c>
      <c r="E157">
        <v>260.83999999999997</v>
      </c>
      <c r="F157" t="s">
        <v>101</v>
      </c>
      <c r="G157" s="8">
        <v>-3.7000000000000002E-3</v>
      </c>
      <c r="H157" s="3">
        <f t="shared" si="2"/>
        <v>-3.6974918045283856E-3</v>
      </c>
    </row>
    <row r="158" spans="1:8" x14ac:dyDescent="0.3">
      <c r="A158" s="7">
        <v>45610</v>
      </c>
      <c r="B158">
        <v>257.5</v>
      </c>
      <c r="C158">
        <v>260.08</v>
      </c>
      <c r="D158">
        <v>261</v>
      </c>
      <c r="E158">
        <v>255.51</v>
      </c>
      <c r="F158" t="s">
        <v>46</v>
      </c>
      <c r="G158" s="8">
        <v>-1.4800000000000001E-2</v>
      </c>
      <c r="H158" s="3">
        <f t="shared" si="2"/>
        <v>-1.4806596013314466E-2</v>
      </c>
    </row>
    <row r="159" spans="1:8" x14ac:dyDescent="0.3">
      <c r="A159" s="7">
        <v>45611</v>
      </c>
      <c r="B159">
        <v>255.78</v>
      </c>
      <c r="C159">
        <v>260.08</v>
      </c>
      <c r="D159">
        <v>260.92</v>
      </c>
      <c r="E159">
        <v>253.01</v>
      </c>
      <c r="F159" t="s">
        <v>111</v>
      </c>
      <c r="G159" s="8">
        <v>-6.7000000000000002E-3</v>
      </c>
      <c r="H159" s="3">
        <f t="shared" si="2"/>
        <v>-6.679611650485473E-3</v>
      </c>
    </row>
    <row r="160" spans="1:8" x14ac:dyDescent="0.3">
      <c r="A160" s="7">
        <v>45614</v>
      </c>
      <c r="B160">
        <v>256.52</v>
      </c>
      <c r="C160">
        <v>255.68</v>
      </c>
      <c r="D160">
        <v>257.51</v>
      </c>
      <c r="E160">
        <v>254.3</v>
      </c>
      <c r="F160" t="s">
        <v>205</v>
      </c>
      <c r="G160" s="8">
        <v>2.8999999999999998E-3</v>
      </c>
      <c r="H160" s="3">
        <f t="shared" si="2"/>
        <v>2.893111267495474E-3</v>
      </c>
    </row>
    <row r="161" spans="1:8" x14ac:dyDescent="0.3">
      <c r="A161" s="7">
        <v>45615</v>
      </c>
      <c r="B161">
        <v>254.51</v>
      </c>
      <c r="C161">
        <v>254.59</v>
      </c>
      <c r="D161">
        <v>257.13</v>
      </c>
      <c r="E161">
        <v>252.74</v>
      </c>
      <c r="F161" t="s">
        <v>121</v>
      </c>
      <c r="G161" s="8">
        <v>-7.7999999999999996E-3</v>
      </c>
      <c r="H161" s="3">
        <f t="shared" si="2"/>
        <v>-7.835646343364977E-3</v>
      </c>
    </row>
    <row r="162" spans="1:8" x14ac:dyDescent="0.3">
      <c r="A162" s="7">
        <v>45616</v>
      </c>
      <c r="B162">
        <v>257.02</v>
      </c>
      <c r="C162">
        <v>254.84</v>
      </c>
      <c r="D162">
        <v>257.61</v>
      </c>
      <c r="E162">
        <v>253.26</v>
      </c>
      <c r="F162" t="s">
        <v>222</v>
      </c>
      <c r="G162" s="8">
        <v>9.9000000000000008E-3</v>
      </c>
      <c r="H162" s="3">
        <f t="shared" si="2"/>
        <v>9.8620879336763778E-3</v>
      </c>
    </row>
    <row r="163" spans="1:8" x14ac:dyDescent="0.3">
      <c r="A163" s="7">
        <v>45617</v>
      </c>
      <c r="B163">
        <v>263.44</v>
      </c>
      <c r="C163">
        <v>259.39999999999998</v>
      </c>
      <c r="D163">
        <v>263.51</v>
      </c>
      <c r="E163">
        <v>257.2</v>
      </c>
      <c r="F163" t="s">
        <v>183</v>
      </c>
      <c r="G163" s="8">
        <v>2.5000000000000001E-2</v>
      </c>
      <c r="H163" s="3">
        <f t="shared" si="2"/>
        <v>2.4978600887090474E-2</v>
      </c>
    </row>
    <row r="164" spans="1:8" x14ac:dyDescent="0.3">
      <c r="A164" s="7">
        <v>45618</v>
      </c>
      <c r="B164">
        <v>266.06</v>
      </c>
      <c r="C164">
        <v>264.22000000000003</v>
      </c>
      <c r="D164">
        <v>266.18</v>
      </c>
      <c r="E164">
        <v>263.23</v>
      </c>
      <c r="F164" t="s">
        <v>44</v>
      </c>
      <c r="G164" s="8">
        <v>9.9000000000000008E-3</v>
      </c>
      <c r="H164" s="3">
        <f t="shared" si="2"/>
        <v>9.9453385970240671E-3</v>
      </c>
    </row>
    <row r="165" spans="1:8" x14ac:dyDescent="0.3">
      <c r="A165" s="7">
        <v>45621</v>
      </c>
      <c r="B165">
        <v>265.88</v>
      </c>
      <c r="C165">
        <v>265.27</v>
      </c>
      <c r="D165">
        <v>266.89</v>
      </c>
      <c r="E165">
        <v>261.72000000000003</v>
      </c>
      <c r="F165" t="s">
        <v>301</v>
      </c>
      <c r="G165" s="8">
        <v>-6.9999999999999999E-4</v>
      </c>
      <c r="H165" s="3">
        <f t="shared" si="2"/>
        <v>-6.7653912651288728E-4</v>
      </c>
    </row>
    <row r="166" spans="1:8" x14ac:dyDescent="0.3">
      <c r="A166" s="7">
        <v>45622</v>
      </c>
      <c r="B166">
        <v>268.02</v>
      </c>
      <c r="C166">
        <v>265.19</v>
      </c>
      <c r="D166">
        <v>268.16000000000003</v>
      </c>
      <c r="E166">
        <v>263.63</v>
      </c>
      <c r="F166" t="s">
        <v>215</v>
      </c>
      <c r="G166" s="8">
        <v>8.0000000000000002E-3</v>
      </c>
      <c r="H166" s="3">
        <f t="shared" si="2"/>
        <v>8.0487437941927364E-3</v>
      </c>
    </row>
    <row r="167" spans="1:8" x14ac:dyDescent="0.3">
      <c r="A167" s="7">
        <v>45623</v>
      </c>
      <c r="B167">
        <v>266.86</v>
      </c>
      <c r="C167">
        <v>268.02</v>
      </c>
      <c r="D167">
        <v>270.62</v>
      </c>
      <c r="E167">
        <v>266.58999999999997</v>
      </c>
      <c r="F167" t="s">
        <v>228</v>
      </c>
      <c r="G167" s="8">
        <v>-4.3E-3</v>
      </c>
      <c r="H167" s="3">
        <f t="shared" si="2"/>
        <v>-4.3280352212520246E-3</v>
      </c>
    </row>
    <row r="168" spans="1:8" x14ac:dyDescent="0.3">
      <c r="A168" s="7">
        <v>45625</v>
      </c>
      <c r="B168">
        <v>268.88</v>
      </c>
      <c r="C168">
        <v>268.08999999999997</v>
      </c>
      <c r="D168">
        <v>270.17</v>
      </c>
      <c r="E168">
        <v>267.27</v>
      </c>
      <c r="F168" t="s">
        <v>101</v>
      </c>
      <c r="G168" s="8">
        <v>7.6E-3</v>
      </c>
      <c r="H168" s="3">
        <f t="shared" si="2"/>
        <v>7.569512103724696E-3</v>
      </c>
    </row>
    <row r="169" spans="1:8" x14ac:dyDescent="0.3">
      <c r="A169" s="7">
        <v>45628</v>
      </c>
      <c r="B169">
        <v>264.04000000000002</v>
      </c>
      <c r="C169">
        <v>268.3</v>
      </c>
      <c r="D169">
        <v>270.17</v>
      </c>
      <c r="E169">
        <v>263.77999999999997</v>
      </c>
      <c r="F169" t="s">
        <v>300</v>
      </c>
      <c r="G169" s="8">
        <v>-1.7999999999999999E-2</v>
      </c>
      <c r="H169" s="3">
        <f t="shared" si="2"/>
        <v>-1.8000595060993607E-2</v>
      </c>
    </row>
    <row r="170" spans="1:8" x14ac:dyDescent="0.3">
      <c r="A170" s="7">
        <v>45629</v>
      </c>
      <c r="B170">
        <v>262.61</v>
      </c>
      <c r="C170">
        <v>265.2</v>
      </c>
      <c r="D170">
        <v>266.32</v>
      </c>
      <c r="E170">
        <v>262.10000000000002</v>
      </c>
      <c r="F170" t="s">
        <v>299</v>
      </c>
      <c r="G170" s="8">
        <v>-5.4000000000000003E-3</v>
      </c>
      <c r="H170" s="3">
        <f t="shared" si="2"/>
        <v>-5.4158460839267564E-3</v>
      </c>
    </row>
    <row r="171" spans="1:8" x14ac:dyDescent="0.3">
      <c r="A171" s="7">
        <v>45630</v>
      </c>
      <c r="B171">
        <v>260.35000000000002</v>
      </c>
      <c r="C171">
        <v>262</v>
      </c>
      <c r="D171">
        <v>262.93</v>
      </c>
      <c r="E171">
        <v>259.49</v>
      </c>
      <c r="F171" t="s">
        <v>82</v>
      </c>
      <c r="G171" s="8">
        <v>-8.6E-3</v>
      </c>
      <c r="H171" s="3">
        <f t="shared" si="2"/>
        <v>-8.6059175202771732E-3</v>
      </c>
    </row>
    <row r="172" spans="1:8" x14ac:dyDescent="0.3">
      <c r="A172" s="7">
        <v>45631</v>
      </c>
      <c r="B172">
        <v>261.29000000000002</v>
      </c>
      <c r="C172">
        <v>260.87</v>
      </c>
      <c r="D172">
        <v>264.39999999999998</v>
      </c>
      <c r="E172">
        <v>260.44</v>
      </c>
      <c r="F172" t="s">
        <v>298</v>
      </c>
      <c r="G172" s="8">
        <v>3.5999999999999999E-3</v>
      </c>
      <c r="H172" s="3">
        <f t="shared" si="2"/>
        <v>3.6105242942192639E-3</v>
      </c>
    </row>
    <row r="173" spans="1:8" x14ac:dyDescent="0.3">
      <c r="A173" s="7">
        <v>45632</v>
      </c>
      <c r="B173">
        <v>254.56</v>
      </c>
      <c r="C173">
        <v>261.04000000000002</v>
      </c>
      <c r="D173">
        <v>262.41000000000003</v>
      </c>
      <c r="E173">
        <v>252.86</v>
      </c>
      <c r="F173" t="s">
        <v>212</v>
      </c>
      <c r="G173" s="8">
        <v>-2.58E-2</v>
      </c>
      <c r="H173" s="3">
        <f t="shared" si="2"/>
        <v>-2.575682192200246E-2</v>
      </c>
    </row>
    <row r="174" spans="1:8" x14ac:dyDescent="0.3">
      <c r="A174" s="7">
        <v>45635</v>
      </c>
      <c r="B174">
        <v>247.86</v>
      </c>
      <c r="C174">
        <v>252.02</v>
      </c>
      <c r="D174">
        <v>253.98</v>
      </c>
      <c r="E174">
        <v>246</v>
      </c>
      <c r="F174" t="s">
        <v>259</v>
      </c>
      <c r="G174" s="8">
        <v>-2.63E-2</v>
      </c>
      <c r="H174" s="3">
        <f t="shared" si="2"/>
        <v>-2.6319924575738507E-2</v>
      </c>
    </row>
    <row r="175" spans="1:8" x14ac:dyDescent="0.3">
      <c r="A175" s="7">
        <v>45636</v>
      </c>
      <c r="B175">
        <v>247.27</v>
      </c>
      <c r="C175">
        <v>248.59</v>
      </c>
      <c r="D175">
        <v>249.37</v>
      </c>
      <c r="E175">
        <v>245</v>
      </c>
      <c r="F175" t="s">
        <v>48</v>
      </c>
      <c r="G175" s="8">
        <v>-2.3999999999999998E-3</v>
      </c>
      <c r="H175" s="3">
        <f t="shared" si="2"/>
        <v>-2.3803760187202094E-3</v>
      </c>
    </row>
    <row r="176" spans="1:8" x14ac:dyDescent="0.3">
      <c r="A176" s="7">
        <v>45637</v>
      </c>
      <c r="B176">
        <v>243.73</v>
      </c>
      <c r="C176">
        <v>247.08</v>
      </c>
      <c r="D176">
        <v>248.12</v>
      </c>
      <c r="E176">
        <v>242.47</v>
      </c>
      <c r="F176" t="s">
        <v>19</v>
      </c>
      <c r="G176" s="8">
        <v>-1.43E-2</v>
      </c>
      <c r="H176" s="3">
        <f t="shared" si="2"/>
        <v>-1.431633437133506E-2</v>
      </c>
    </row>
    <row r="177" spans="1:8" x14ac:dyDescent="0.3">
      <c r="A177" s="7">
        <v>45638</v>
      </c>
      <c r="B177">
        <v>242.76</v>
      </c>
      <c r="C177">
        <v>245.32</v>
      </c>
      <c r="D177">
        <v>246.99</v>
      </c>
      <c r="E177">
        <v>241.33</v>
      </c>
      <c r="F177" t="s">
        <v>162</v>
      </c>
      <c r="G177" s="8">
        <v>-4.0000000000000001E-3</v>
      </c>
      <c r="H177" s="3">
        <f t="shared" si="2"/>
        <v>-3.9798137283059143E-3</v>
      </c>
    </row>
    <row r="178" spans="1:8" x14ac:dyDescent="0.3">
      <c r="A178" s="7">
        <v>45639</v>
      </c>
      <c r="B178">
        <v>251.8</v>
      </c>
      <c r="C178">
        <v>249</v>
      </c>
      <c r="D178">
        <v>254.68</v>
      </c>
      <c r="E178">
        <v>248.04</v>
      </c>
      <c r="F178" t="s">
        <v>253</v>
      </c>
      <c r="G178" s="8">
        <v>3.7199999999999997E-2</v>
      </c>
      <c r="H178" s="3">
        <f t="shared" si="2"/>
        <v>3.7238424781677493E-2</v>
      </c>
    </row>
    <row r="179" spans="1:8" x14ac:dyDescent="0.3">
      <c r="A179" s="7">
        <v>45642</v>
      </c>
      <c r="B179">
        <v>250.25</v>
      </c>
      <c r="C179">
        <v>253.7</v>
      </c>
      <c r="D179">
        <v>254.13</v>
      </c>
      <c r="E179">
        <v>249.75</v>
      </c>
      <c r="F179" t="s">
        <v>297</v>
      </c>
      <c r="G179" s="8">
        <v>-6.1999999999999998E-3</v>
      </c>
      <c r="H179" s="3">
        <f t="shared" si="2"/>
        <v>-6.1556791104051545E-3</v>
      </c>
    </row>
    <row r="180" spans="1:8" x14ac:dyDescent="0.3">
      <c r="A180" s="7">
        <v>45643</v>
      </c>
      <c r="B180">
        <v>247.53</v>
      </c>
      <c r="C180">
        <v>247.94</v>
      </c>
      <c r="D180">
        <v>249.01</v>
      </c>
      <c r="E180">
        <v>245.39</v>
      </c>
      <c r="F180" t="s">
        <v>163</v>
      </c>
      <c r="G180" s="8">
        <v>-1.09E-2</v>
      </c>
      <c r="H180" s="3">
        <f t="shared" si="2"/>
        <v>-1.0869130869130883E-2</v>
      </c>
    </row>
    <row r="181" spans="1:8" x14ac:dyDescent="0.3">
      <c r="A181" s="7">
        <v>45644</v>
      </c>
      <c r="B181">
        <v>240.28</v>
      </c>
      <c r="C181">
        <v>247.65</v>
      </c>
      <c r="D181">
        <v>248</v>
      </c>
      <c r="E181">
        <v>240.02</v>
      </c>
      <c r="F181" t="s">
        <v>296</v>
      </c>
      <c r="G181" s="8">
        <v>-2.93E-2</v>
      </c>
      <c r="H181" s="3">
        <f t="shared" si="2"/>
        <v>-2.9289379065163823E-2</v>
      </c>
    </row>
    <row r="182" spans="1:8" x14ac:dyDescent="0.3">
      <c r="A182" s="7">
        <v>45645</v>
      </c>
      <c r="B182">
        <v>239.71</v>
      </c>
      <c r="C182">
        <v>241.04</v>
      </c>
      <c r="D182">
        <v>243.53</v>
      </c>
      <c r="E182">
        <v>239.37</v>
      </c>
      <c r="F182" t="s">
        <v>164</v>
      </c>
      <c r="G182" s="8">
        <v>-2.3999999999999998E-3</v>
      </c>
      <c r="H182" s="3">
        <f t="shared" si="2"/>
        <v>-2.3722323955385205E-3</v>
      </c>
    </row>
    <row r="183" spans="1:8" x14ac:dyDescent="0.3">
      <c r="A183" s="7">
        <v>45646</v>
      </c>
      <c r="B183">
        <v>239.97</v>
      </c>
      <c r="C183">
        <v>237.97</v>
      </c>
      <c r="D183">
        <v>243.36</v>
      </c>
      <c r="E183">
        <v>236.9</v>
      </c>
      <c r="F183" t="s">
        <v>158</v>
      </c>
      <c r="G183" s="8">
        <v>1.1000000000000001E-3</v>
      </c>
      <c r="H183" s="3">
        <f t="shared" si="2"/>
        <v>1.0846439447664835E-3</v>
      </c>
    </row>
    <row r="184" spans="1:8" x14ac:dyDescent="0.3">
      <c r="A184" s="7">
        <v>45649</v>
      </c>
      <c r="B184">
        <v>241.01</v>
      </c>
      <c r="C184">
        <v>239.69</v>
      </c>
      <c r="D184">
        <v>241.52</v>
      </c>
      <c r="E184">
        <v>238.47</v>
      </c>
      <c r="F184" t="s">
        <v>82</v>
      </c>
      <c r="G184" s="8">
        <v>4.3E-3</v>
      </c>
      <c r="H184" s="3">
        <f t="shared" si="2"/>
        <v>4.3338750677168747E-3</v>
      </c>
    </row>
    <row r="185" spans="1:8" x14ac:dyDescent="0.3">
      <c r="A185" s="7">
        <v>45650</v>
      </c>
      <c r="B185">
        <v>243.24</v>
      </c>
      <c r="C185">
        <v>241.27</v>
      </c>
      <c r="D185">
        <v>243.25</v>
      </c>
      <c r="E185">
        <v>240.35</v>
      </c>
      <c r="F185" t="s">
        <v>295</v>
      </c>
      <c r="G185" s="8">
        <v>9.2999999999999992E-3</v>
      </c>
      <c r="H185" s="3">
        <f t="shared" si="2"/>
        <v>9.2527281025684971E-3</v>
      </c>
    </row>
    <row r="186" spans="1:8" x14ac:dyDescent="0.3">
      <c r="A186" s="7">
        <v>45652</v>
      </c>
      <c r="B186">
        <v>243.19</v>
      </c>
      <c r="C186">
        <v>243.49</v>
      </c>
      <c r="D186">
        <v>244.04</v>
      </c>
      <c r="E186">
        <v>241.85</v>
      </c>
      <c r="F186" t="s">
        <v>294</v>
      </c>
      <c r="G186" s="8">
        <v>-2.0000000000000001E-4</v>
      </c>
      <c r="H186" s="3">
        <f t="shared" si="2"/>
        <v>-2.0555829633284173E-4</v>
      </c>
    </row>
    <row r="187" spans="1:8" x14ac:dyDescent="0.3">
      <c r="A187" s="7">
        <v>45653</v>
      </c>
      <c r="B187">
        <v>241.02</v>
      </c>
      <c r="C187">
        <v>241.64</v>
      </c>
      <c r="D187">
        <v>243.48</v>
      </c>
      <c r="E187">
        <v>240.04</v>
      </c>
      <c r="F187" t="s">
        <v>251</v>
      </c>
      <c r="G187" s="8">
        <v>-8.8999999999999999E-3</v>
      </c>
      <c r="H187" s="3">
        <f t="shared" si="2"/>
        <v>-8.9230642707347485E-3</v>
      </c>
    </row>
    <row r="188" spans="1:8" x14ac:dyDescent="0.3">
      <c r="A188" s="7">
        <v>45656</v>
      </c>
      <c r="B188">
        <v>239.6</v>
      </c>
      <c r="C188">
        <v>238.66</v>
      </c>
      <c r="D188">
        <v>241.55</v>
      </c>
      <c r="E188">
        <v>237.2</v>
      </c>
      <c r="F188" t="s">
        <v>248</v>
      </c>
      <c r="G188" s="8">
        <v>-5.8999999999999999E-3</v>
      </c>
      <c r="H188" s="3">
        <f t="shared" si="2"/>
        <v>-5.8916272508505729E-3</v>
      </c>
    </row>
    <row r="189" spans="1:8" x14ac:dyDescent="0.3">
      <c r="A189" s="7">
        <v>45657</v>
      </c>
      <c r="B189">
        <v>239.61</v>
      </c>
      <c r="C189">
        <v>239.52</v>
      </c>
      <c r="D189">
        <v>240.47</v>
      </c>
      <c r="E189">
        <v>238.65</v>
      </c>
      <c r="F189" t="s">
        <v>121</v>
      </c>
      <c r="G189" s="8">
        <v>0</v>
      </c>
      <c r="H189" s="3">
        <f t="shared" si="2"/>
        <v>4.1736227045063856E-5</v>
      </c>
    </row>
    <row r="190" spans="1:8" x14ac:dyDescent="0.3">
      <c r="A190" s="7">
        <v>45659</v>
      </c>
      <c r="B190">
        <v>240.65</v>
      </c>
      <c r="C190">
        <v>240.49</v>
      </c>
      <c r="D190">
        <v>241.75</v>
      </c>
      <c r="E190">
        <v>238.86</v>
      </c>
      <c r="F190" t="s">
        <v>112</v>
      </c>
      <c r="G190" s="8">
        <v>4.3E-3</v>
      </c>
      <c r="H190" s="3">
        <f t="shared" si="2"/>
        <v>4.3403864613329457E-3</v>
      </c>
    </row>
    <row r="191" spans="1:8" x14ac:dyDescent="0.3">
      <c r="A191" s="7">
        <v>45660</v>
      </c>
      <c r="B191">
        <v>242.22</v>
      </c>
      <c r="C191">
        <v>242.31</v>
      </c>
      <c r="D191">
        <v>244.45</v>
      </c>
      <c r="E191">
        <v>240.42</v>
      </c>
      <c r="F191" t="s">
        <v>72</v>
      </c>
      <c r="G191" s="8">
        <v>6.4999999999999997E-3</v>
      </c>
      <c r="H191" s="3">
        <f t="shared" si="2"/>
        <v>6.5239975067525879E-3</v>
      </c>
    </row>
    <row r="192" spans="1:8" x14ac:dyDescent="0.3">
      <c r="A192" s="7">
        <v>45663</v>
      </c>
      <c r="B192">
        <v>239.59</v>
      </c>
      <c r="C192">
        <v>242.77</v>
      </c>
      <c r="D192">
        <v>243.61</v>
      </c>
      <c r="E192">
        <v>239.24</v>
      </c>
      <c r="F192" t="s">
        <v>105</v>
      </c>
      <c r="G192" s="8">
        <v>-1.09E-2</v>
      </c>
      <c r="H192" s="3">
        <f t="shared" si="2"/>
        <v>-1.0857897778878689E-2</v>
      </c>
    </row>
    <row r="193" spans="1:8" x14ac:dyDescent="0.3">
      <c r="A193" s="7">
        <v>45664</v>
      </c>
      <c r="B193">
        <v>242.28</v>
      </c>
      <c r="C193">
        <v>239.89</v>
      </c>
      <c r="D193">
        <v>243.34</v>
      </c>
      <c r="E193">
        <v>238.94</v>
      </c>
      <c r="F193" t="s">
        <v>197</v>
      </c>
      <c r="G193" s="8">
        <v>1.12E-2</v>
      </c>
      <c r="H193" s="3">
        <f t="shared" si="2"/>
        <v>1.1227513669184841E-2</v>
      </c>
    </row>
    <row r="194" spans="1:8" x14ac:dyDescent="0.3">
      <c r="A194" s="7">
        <v>45665</v>
      </c>
      <c r="B194">
        <v>243.59</v>
      </c>
      <c r="C194">
        <v>243.23</v>
      </c>
      <c r="D194">
        <v>247.74</v>
      </c>
      <c r="E194">
        <v>241.5</v>
      </c>
      <c r="F194" t="s">
        <v>184</v>
      </c>
      <c r="G194" s="8">
        <v>5.4000000000000003E-3</v>
      </c>
      <c r="H194" s="3">
        <f t="shared" si="2"/>
        <v>5.4069671454515245E-3</v>
      </c>
    </row>
    <row r="195" spans="1:8" x14ac:dyDescent="0.3">
      <c r="A195" s="7">
        <v>45667</v>
      </c>
      <c r="B195">
        <v>235.61</v>
      </c>
      <c r="C195">
        <v>237.23</v>
      </c>
      <c r="D195">
        <v>241.57</v>
      </c>
      <c r="E195">
        <v>234.72</v>
      </c>
      <c r="F195" t="s">
        <v>293</v>
      </c>
      <c r="G195" s="8">
        <v>-3.2800000000000003E-2</v>
      </c>
      <c r="H195" s="3">
        <f t="shared" si="2"/>
        <v>-3.2759965515825717E-2</v>
      </c>
    </row>
    <row r="196" spans="1:8" x14ac:dyDescent="0.3">
      <c r="A196" s="7">
        <v>45670</v>
      </c>
      <c r="B196">
        <v>235.78</v>
      </c>
      <c r="C196">
        <v>230.36</v>
      </c>
      <c r="D196">
        <v>236.32</v>
      </c>
      <c r="E196">
        <v>228.54</v>
      </c>
      <c r="F196" t="s">
        <v>260</v>
      </c>
      <c r="G196" s="8">
        <v>6.9999999999999999E-4</v>
      </c>
      <c r="H196" s="3">
        <f t="shared" ref="H196:H250" si="3">(B196/B195)-1</f>
        <v>7.2153134417041187E-4</v>
      </c>
    </row>
    <row r="197" spans="1:8" x14ac:dyDescent="0.3">
      <c r="A197" s="7">
        <v>45671</v>
      </c>
      <c r="B197">
        <v>239.76</v>
      </c>
      <c r="C197">
        <v>235.48</v>
      </c>
      <c r="D197">
        <v>239.83</v>
      </c>
      <c r="E197">
        <v>233.11</v>
      </c>
      <c r="F197" t="s">
        <v>248</v>
      </c>
      <c r="G197" s="8">
        <v>1.6899999999999998E-2</v>
      </c>
      <c r="H197" s="3">
        <f t="shared" si="3"/>
        <v>1.688014250572567E-2</v>
      </c>
    </row>
    <row r="198" spans="1:8" x14ac:dyDescent="0.3">
      <c r="A198" s="7">
        <v>45672</v>
      </c>
      <c r="B198">
        <v>242.47</v>
      </c>
      <c r="C198">
        <v>240.91</v>
      </c>
      <c r="D198">
        <v>242.94</v>
      </c>
      <c r="E198">
        <v>238.43</v>
      </c>
      <c r="F198" t="s">
        <v>292</v>
      </c>
      <c r="G198" s="8">
        <v>1.1299999999999999E-2</v>
      </c>
      <c r="H198" s="3">
        <f t="shared" si="3"/>
        <v>1.1302969636302951E-2</v>
      </c>
    </row>
    <row r="199" spans="1:8" x14ac:dyDescent="0.3">
      <c r="A199" s="7">
        <v>45673</v>
      </c>
      <c r="B199">
        <v>245.54</v>
      </c>
      <c r="C199">
        <v>242.69</v>
      </c>
      <c r="D199">
        <v>246.35</v>
      </c>
      <c r="E199">
        <v>242</v>
      </c>
      <c r="F199" t="s">
        <v>70</v>
      </c>
      <c r="G199" s="8">
        <v>1.2699999999999999E-2</v>
      </c>
      <c r="H199" s="3">
        <f t="shared" si="3"/>
        <v>1.2661360168268132E-2</v>
      </c>
    </row>
    <row r="200" spans="1:8" x14ac:dyDescent="0.3">
      <c r="A200" s="7">
        <v>45674</v>
      </c>
      <c r="B200">
        <v>243.68</v>
      </c>
      <c r="C200">
        <v>245.73</v>
      </c>
      <c r="D200">
        <v>246.83</v>
      </c>
      <c r="E200">
        <v>243.61</v>
      </c>
      <c r="F200" t="s">
        <v>199</v>
      </c>
      <c r="G200" s="8">
        <v>-7.6E-3</v>
      </c>
      <c r="H200" s="3">
        <f t="shared" si="3"/>
        <v>-7.5751405066383226E-3</v>
      </c>
    </row>
    <row r="201" spans="1:8" x14ac:dyDescent="0.3">
      <c r="A201" s="7">
        <v>45678</v>
      </c>
      <c r="B201">
        <v>241.01</v>
      </c>
      <c r="C201">
        <v>244.01</v>
      </c>
      <c r="D201">
        <v>246.93</v>
      </c>
      <c r="E201">
        <v>239.76</v>
      </c>
      <c r="F201" t="s">
        <v>84</v>
      </c>
      <c r="G201" s="8">
        <v>-1.0999999999999999E-2</v>
      </c>
      <c r="H201" s="3">
        <f t="shared" si="3"/>
        <v>-1.0956992777413022E-2</v>
      </c>
    </row>
    <row r="202" spans="1:8" x14ac:dyDescent="0.3">
      <c r="A202" s="7">
        <v>45679</v>
      </c>
      <c r="B202">
        <v>239.17</v>
      </c>
      <c r="C202">
        <v>243.29</v>
      </c>
      <c r="D202">
        <v>243.49</v>
      </c>
      <c r="E202">
        <v>236.9</v>
      </c>
      <c r="F202" t="s">
        <v>161</v>
      </c>
      <c r="G202" s="8">
        <v>-7.6E-3</v>
      </c>
      <c r="H202" s="3">
        <f t="shared" si="3"/>
        <v>-7.6345379859756868E-3</v>
      </c>
    </row>
    <row r="203" spans="1:8" x14ac:dyDescent="0.3">
      <c r="A203" s="7">
        <v>45680</v>
      </c>
      <c r="B203">
        <v>239.51</v>
      </c>
      <c r="C203">
        <v>240</v>
      </c>
      <c r="D203">
        <v>241.5</v>
      </c>
      <c r="E203">
        <v>238.15</v>
      </c>
      <c r="F203" t="s">
        <v>24</v>
      </c>
      <c r="G203" s="8">
        <v>1.4E-3</v>
      </c>
      <c r="H203" s="3">
        <f t="shared" si="3"/>
        <v>1.4215829744532726E-3</v>
      </c>
    </row>
    <row r="204" spans="1:8" x14ac:dyDescent="0.3">
      <c r="A204" s="7">
        <v>45681</v>
      </c>
      <c r="B204">
        <v>238.82</v>
      </c>
      <c r="C204">
        <v>238.63</v>
      </c>
      <c r="D204">
        <v>239.93</v>
      </c>
      <c r="E204">
        <v>236.01</v>
      </c>
      <c r="F204" t="s">
        <v>44</v>
      </c>
      <c r="G204" s="8">
        <v>-2.8999999999999998E-3</v>
      </c>
      <c r="H204" s="3">
        <f t="shared" si="3"/>
        <v>-2.8808818003424053E-3</v>
      </c>
    </row>
    <row r="205" spans="1:8" x14ac:dyDescent="0.3">
      <c r="A205" s="7">
        <v>45684</v>
      </c>
      <c r="B205">
        <v>246.91</v>
      </c>
      <c r="C205">
        <v>240.44</v>
      </c>
      <c r="D205">
        <v>247.02</v>
      </c>
      <c r="E205">
        <v>240.11</v>
      </c>
      <c r="F205" t="s">
        <v>217</v>
      </c>
      <c r="G205" s="8">
        <v>3.39E-2</v>
      </c>
      <c r="H205" s="3">
        <f t="shared" si="3"/>
        <v>3.3874884850515041E-2</v>
      </c>
    </row>
    <row r="206" spans="1:8" x14ac:dyDescent="0.3">
      <c r="A206" s="7">
        <v>45685</v>
      </c>
      <c r="B206">
        <v>245.05</v>
      </c>
      <c r="C206">
        <v>246.69</v>
      </c>
      <c r="D206">
        <v>246.69</v>
      </c>
      <c r="E206">
        <v>243.03</v>
      </c>
      <c r="F206" t="s">
        <v>164</v>
      </c>
      <c r="G206" s="8">
        <v>-7.4999999999999997E-3</v>
      </c>
      <c r="H206" s="3">
        <f t="shared" si="3"/>
        <v>-7.5331092300837676E-3</v>
      </c>
    </row>
    <row r="207" spans="1:8" x14ac:dyDescent="0.3">
      <c r="A207" s="7">
        <v>45686</v>
      </c>
      <c r="B207">
        <v>246.4</v>
      </c>
      <c r="C207">
        <v>238.42</v>
      </c>
      <c r="D207">
        <v>252</v>
      </c>
      <c r="E207">
        <v>237.73</v>
      </c>
      <c r="F207" t="s">
        <v>291</v>
      </c>
      <c r="G207" s="8">
        <v>5.4999999999999997E-3</v>
      </c>
      <c r="H207" s="3">
        <f t="shared" si="3"/>
        <v>5.5090797796368829E-3</v>
      </c>
    </row>
    <row r="208" spans="1:8" x14ac:dyDescent="0.3">
      <c r="A208" s="7">
        <v>45687</v>
      </c>
      <c r="B208">
        <v>249.22</v>
      </c>
      <c r="C208">
        <v>247.39</v>
      </c>
      <c r="D208">
        <v>249.69</v>
      </c>
      <c r="E208">
        <v>244.18</v>
      </c>
      <c r="F208" t="s">
        <v>242</v>
      </c>
      <c r="G208" s="8">
        <v>1.14E-2</v>
      </c>
      <c r="H208" s="3">
        <f t="shared" si="3"/>
        <v>1.1444805194805063E-2</v>
      </c>
    </row>
    <row r="209" spans="1:8" x14ac:dyDescent="0.3">
      <c r="A209" s="7">
        <v>45688</v>
      </c>
      <c r="B209">
        <v>246.44</v>
      </c>
      <c r="C209">
        <v>250.2</v>
      </c>
      <c r="D209">
        <v>251.26</v>
      </c>
      <c r="E209">
        <v>246.43</v>
      </c>
      <c r="F209" t="s">
        <v>238</v>
      </c>
      <c r="G209" s="8">
        <v>-1.12E-2</v>
      </c>
      <c r="H209" s="3">
        <f t="shared" si="3"/>
        <v>-1.1154802985314238E-2</v>
      </c>
    </row>
    <row r="210" spans="1:8" x14ac:dyDescent="0.3">
      <c r="A210" s="7">
        <v>45691</v>
      </c>
      <c r="B210">
        <v>248.92</v>
      </c>
      <c r="C210">
        <v>247.52</v>
      </c>
      <c r="D210">
        <v>250.71</v>
      </c>
      <c r="E210">
        <v>245.51</v>
      </c>
      <c r="F210" t="s">
        <v>138</v>
      </c>
      <c r="G210" s="8">
        <v>1.01E-2</v>
      </c>
      <c r="H210" s="3">
        <f t="shared" si="3"/>
        <v>1.0063301412108316E-2</v>
      </c>
    </row>
    <row r="211" spans="1:8" x14ac:dyDescent="0.3">
      <c r="A211" s="7">
        <v>45692</v>
      </c>
      <c r="B211">
        <v>248</v>
      </c>
      <c r="C211">
        <v>247.21</v>
      </c>
      <c r="D211">
        <v>251.5</v>
      </c>
      <c r="E211">
        <v>247.11</v>
      </c>
      <c r="F211" t="s">
        <v>100</v>
      </c>
      <c r="G211" s="8">
        <v>-3.7000000000000002E-3</v>
      </c>
      <c r="H211" s="3">
        <f t="shared" si="3"/>
        <v>-3.6959665756065574E-3</v>
      </c>
    </row>
    <row r="212" spans="1:8" x14ac:dyDescent="0.3">
      <c r="A212" s="7">
        <v>45693</v>
      </c>
      <c r="B212">
        <v>249</v>
      </c>
      <c r="C212">
        <v>249.76</v>
      </c>
      <c r="D212">
        <v>250.38</v>
      </c>
      <c r="E212">
        <v>247.26</v>
      </c>
      <c r="F212" t="s">
        <v>124</v>
      </c>
      <c r="G212" s="8">
        <v>4.0000000000000001E-3</v>
      </c>
      <c r="H212" s="3">
        <f t="shared" si="3"/>
        <v>4.0322580645162365E-3</v>
      </c>
    </row>
    <row r="213" spans="1:8" x14ac:dyDescent="0.3">
      <c r="A213" s="7">
        <v>45694</v>
      </c>
      <c r="B213">
        <v>251.35</v>
      </c>
      <c r="C213">
        <v>250.79</v>
      </c>
      <c r="D213">
        <v>252.65</v>
      </c>
      <c r="E213">
        <v>250.34</v>
      </c>
      <c r="F213" t="s">
        <v>173</v>
      </c>
      <c r="G213" s="8">
        <v>9.4000000000000004E-3</v>
      </c>
      <c r="H213" s="3">
        <f t="shared" si="3"/>
        <v>9.437751004016004E-3</v>
      </c>
    </row>
    <row r="214" spans="1:8" x14ac:dyDescent="0.3">
      <c r="A214" s="7">
        <v>45695</v>
      </c>
      <c r="B214">
        <v>250.6</v>
      </c>
      <c r="C214">
        <v>251.59</v>
      </c>
      <c r="D214">
        <v>253.35</v>
      </c>
      <c r="E214">
        <v>249.63</v>
      </c>
      <c r="F214" t="s">
        <v>59</v>
      </c>
      <c r="G214" s="8">
        <v>-3.0000000000000001E-3</v>
      </c>
      <c r="H214" s="3">
        <f t="shared" si="3"/>
        <v>-2.9838870101451809E-3</v>
      </c>
    </row>
    <row r="215" spans="1:8" x14ac:dyDescent="0.3">
      <c r="A215" s="7">
        <v>45698</v>
      </c>
      <c r="B215">
        <v>249.69</v>
      </c>
      <c r="C215">
        <v>252</v>
      </c>
      <c r="D215">
        <v>252.47</v>
      </c>
      <c r="E215">
        <v>248.51</v>
      </c>
      <c r="F215" t="s">
        <v>180</v>
      </c>
      <c r="G215" s="8">
        <v>-3.5999999999999999E-3</v>
      </c>
      <c r="H215" s="3">
        <f t="shared" si="3"/>
        <v>-3.6312849162011274E-3</v>
      </c>
    </row>
    <row r="216" spans="1:8" x14ac:dyDescent="0.3">
      <c r="A216" s="7">
        <v>45699</v>
      </c>
      <c r="B216">
        <v>257.57</v>
      </c>
      <c r="C216">
        <v>253</v>
      </c>
      <c r="D216">
        <v>258.73</v>
      </c>
      <c r="E216">
        <v>248.59</v>
      </c>
      <c r="F216" t="s">
        <v>290</v>
      </c>
      <c r="G216" s="8">
        <v>3.1600000000000003E-2</v>
      </c>
      <c r="H216" s="3">
        <f t="shared" si="3"/>
        <v>3.1559133325323341E-2</v>
      </c>
    </row>
    <row r="217" spans="1:8" x14ac:dyDescent="0.3">
      <c r="A217" s="7">
        <v>45700</v>
      </c>
      <c r="B217">
        <v>256.79000000000002</v>
      </c>
      <c r="C217">
        <v>256.36</v>
      </c>
      <c r="D217">
        <v>257.95</v>
      </c>
      <c r="E217">
        <v>255.13</v>
      </c>
      <c r="F217" t="s">
        <v>192</v>
      </c>
      <c r="G217" s="8">
        <v>-3.0000000000000001E-3</v>
      </c>
      <c r="H217" s="3">
        <f t="shared" si="3"/>
        <v>-3.0283029855960875E-3</v>
      </c>
    </row>
    <row r="218" spans="1:8" x14ac:dyDescent="0.3">
      <c r="A218" s="7">
        <v>45701</v>
      </c>
      <c r="B218">
        <v>262.13</v>
      </c>
      <c r="C218">
        <v>257.79000000000002</v>
      </c>
      <c r="D218">
        <v>262.32</v>
      </c>
      <c r="E218">
        <v>256.95</v>
      </c>
      <c r="F218" t="s">
        <v>120</v>
      </c>
      <c r="G218" s="8">
        <v>2.0799999999999999E-2</v>
      </c>
      <c r="H218" s="3">
        <f t="shared" si="3"/>
        <v>2.0795202305385674E-2</v>
      </c>
    </row>
    <row r="219" spans="1:8" x14ac:dyDescent="0.3">
      <c r="A219" s="7">
        <v>45702</v>
      </c>
      <c r="B219">
        <v>262.60000000000002</v>
      </c>
      <c r="C219">
        <v>261.29000000000002</v>
      </c>
      <c r="D219">
        <v>264.35000000000002</v>
      </c>
      <c r="E219">
        <v>260.36</v>
      </c>
      <c r="F219" t="s">
        <v>133</v>
      </c>
      <c r="G219" s="8">
        <v>1.8E-3</v>
      </c>
      <c r="H219" s="3">
        <f t="shared" si="3"/>
        <v>1.793003471560084E-3</v>
      </c>
    </row>
    <row r="220" spans="1:8" x14ac:dyDescent="0.3">
      <c r="A220" s="7">
        <v>45706</v>
      </c>
      <c r="B220">
        <v>263.93</v>
      </c>
      <c r="C220">
        <v>263.12</v>
      </c>
      <c r="D220">
        <v>266.45999999999998</v>
      </c>
      <c r="E220">
        <v>262.04000000000002</v>
      </c>
      <c r="F220" t="s">
        <v>39</v>
      </c>
      <c r="G220" s="8">
        <v>5.1000000000000004E-3</v>
      </c>
      <c r="H220" s="3">
        <f t="shared" si="3"/>
        <v>5.0647372429550863E-3</v>
      </c>
    </row>
    <row r="221" spans="1:8" x14ac:dyDescent="0.3">
      <c r="A221" s="7">
        <v>45707</v>
      </c>
      <c r="B221">
        <v>269.62</v>
      </c>
      <c r="C221">
        <v>263.01</v>
      </c>
      <c r="D221">
        <v>270.79000000000002</v>
      </c>
      <c r="E221">
        <v>262.45</v>
      </c>
      <c r="F221" t="s">
        <v>249</v>
      </c>
      <c r="G221" s="8">
        <v>2.1600000000000001E-2</v>
      </c>
      <c r="H221" s="3">
        <f t="shared" si="3"/>
        <v>2.15587466373659E-2</v>
      </c>
    </row>
    <row r="222" spans="1:8" x14ac:dyDescent="0.3">
      <c r="A222" s="7">
        <v>45708</v>
      </c>
      <c r="B222">
        <v>267.67</v>
      </c>
      <c r="C222">
        <v>268.57</v>
      </c>
      <c r="D222">
        <v>269.23</v>
      </c>
      <c r="E222">
        <v>263.98</v>
      </c>
      <c r="F222" t="s">
        <v>247</v>
      </c>
      <c r="G222" s="8">
        <v>-7.1999999999999998E-3</v>
      </c>
      <c r="H222" s="3">
        <f t="shared" si="3"/>
        <v>-7.232401157184154E-3</v>
      </c>
    </row>
    <row r="223" spans="1:8" x14ac:dyDescent="0.3">
      <c r="A223" s="7">
        <v>45709</v>
      </c>
      <c r="B223">
        <v>266.19</v>
      </c>
      <c r="C223">
        <v>266.92</v>
      </c>
      <c r="D223">
        <v>269.08999999999997</v>
      </c>
      <c r="E223">
        <v>265.75</v>
      </c>
      <c r="F223" t="s">
        <v>151</v>
      </c>
      <c r="G223" s="8">
        <v>-5.4999999999999997E-3</v>
      </c>
      <c r="H223" s="3">
        <f t="shared" si="3"/>
        <v>-5.5291963985505399E-3</v>
      </c>
    </row>
    <row r="224" spans="1:8" x14ac:dyDescent="0.3">
      <c r="A224" s="7">
        <v>45712</v>
      </c>
      <c r="B224">
        <v>272.63</v>
      </c>
      <c r="C224">
        <v>266.48</v>
      </c>
      <c r="D224">
        <v>275.52</v>
      </c>
      <c r="E224">
        <v>266.48</v>
      </c>
      <c r="F224" t="s">
        <v>289</v>
      </c>
      <c r="G224" s="8">
        <v>2.4199999999999999E-2</v>
      </c>
      <c r="H224" s="3">
        <f t="shared" si="3"/>
        <v>2.4193245426199272E-2</v>
      </c>
    </row>
    <row r="225" spans="1:8" x14ac:dyDescent="0.3">
      <c r="A225" s="7">
        <v>45713</v>
      </c>
      <c r="B225">
        <v>278.52</v>
      </c>
      <c r="C225">
        <v>277.64</v>
      </c>
      <c r="D225">
        <v>279.93</v>
      </c>
      <c r="E225">
        <v>274.39</v>
      </c>
      <c r="F225" t="s">
        <v>288</v>
      </c>
      <c r="G225" s="8">
        <v>2.1600000000000001E-2</v>
      </c>
      <c r="H225" s="3">
        <f t="shared" si="3"/>
        <v>2.1604372226093904E-2</v>
      </c>
    </row>
    <row r="226" spans="1:8" x14ac:dyDescent="0.3">
      <c r="A226" s="7">
        <v>45714</v>
      </c>
      <c r="B226">
        <v>273.43</v>
      </c>
      <c r="C226">
        <v>278.47000000000003</v>
      </c>
      <c r="D226">
        <v>280.25</v>
      </c>
      <c r="E226">
        <v>272.45999999999998</v>
      </c>
      <c r="F226" t="s">
        <v>287</v>
      </c>
      <c r="G226" s="8">
        <v>-1.83E-2</v>
      </c>
      <c r="H226" s="3">
        <f t="shared" si="3"/>
        <v>-1.8275168749102289E-2</v>
      </c>
    </row>
    <row r="227" spans="1:8" x14ac:dyDescent="0.3">
      <c r="A227" s="7">
        <v>45715</v>
      </c>
      <c r="B227">
        <v>278.77</v>
      </c>
      <c r="C227">
        <v>274.58999999999997</v>
      </c>
      <c r="D227">
        <v>279.95</v>
      </c>
      <c r="E227">
        <v>274.01</v>
      </c>
      <c r="F227" t="s">
        <v>223</v>
      </c>
      <c r="G227" s="8">
        <v>1.95E-2</v>
      </c>
      <c r="H227" s="3">
        <f t="shared" si="3"/>
        <v>1.9529678528325212E-2</v>
      </c>
    </row>
    <row r="228" spans="1:8" x14ac:dyDescent="0.3">
      <c r="A228" s="7">
        <v>45716</v>
      </c>
      <c r="B228">
        <v>282</v>
      </c>
      <c r="C228">
        <v>279.94</v>
      </c>
      <c r="D228">
        <v>282.39999999999998</v>
      </c>
      <c r="E228">
        <v>276.64</v>
      </c>
      <c r="F228" t="s">
        <v>286</v>
      </c>
      <c r="G228" s="8">
        <v>1.1599999999999999E-2</v>
      </c>
      <c r="H228" s="3">
        <f t="shared" si="3"/>
        <v>1.1586612619722381E-2</v>
      </c>
    </row>
    <row r="229" spans="1:8" x14ac:dyDescent="0.3">
      <c r="A229" s="7">
        <v>45719</v>
      </c>
      <c r="B229">
        <v>285.08</v>
      </c>
      <c r="C229">
        <v>282.38</v>
      </c>
      <c r="D229">
        <v>285.27999999999997</v>
      </c>
      <c r="E229">
        <v>282.08</v>
      </c>
      <c r="F229" t="s">
        <v>296</v>
      </c>
      <c r="G229" s="8">
        <v>1.09E-2</v>
      </c>
      <c r="H229" s="3">
        <f t="shared" si="3"/>
        <v>1.0921985815602886E-2</v>
      </c>
    </row>
    <row r="230" spans="1:8" x14ac:dyDescent="0.3">
      <c r="A230" s="7">
        <v>45720</v>
      </c>
      <c r="B230">
        <v>283.19</v>
      </c>
      <c r="C230">
        <v>285.85000000000002</v>
      </c>
      <c r="D230">
        <v>287.49</v>
      </c>
      <c r="E230">
        <v>281.70999999999998</v>
      </c>
      <c r="F230" t="s">
        <v>259</v>
      </c>
      <c r="G230" s="8">
        <v>-6.6E-3</v>
      </c>
      <c r="H230" s="3">
        <f t="shared" si="3"/>
        <v>-6.629717973901994E-3</v>
      </c>
    </row>
    <row r="231" spans="1:8" x14ac:dyDescent="0.3">
      <c r="A231" s="7">
        <v>45721</v>
      </c>
      <c r="B231">
        <v>281.86</v>
      </c>
      <c r="C231">
        <v>280.91000000000003</v>
      </c>
      <c r="D231">
        <v>283.52999999999997</v>
      </c>
      <c r="E231">
        <v>278.99</v>
      </c>
      <c r="F231" t="s">
        <v>117</v>
      </c>
      <c r="G231" s="8">
        <v>-4.7000000000000002E-3</v>
      </c>
      <c r="H231" s="3">
        <f t="shared" si="3"/>
        <v>-4.6964935202513658E-3</v>
      </c>
    </row>
    <row r="232" spans="1:8" x14ac:dyDescent="0.3">
      <c r="A232" s="7">
        <v>45722</v>
      </c>
      <c r="B232">
        <v>281.17</v>
      </c>
      <c r="C232">
        <v>281</v>
      </c>
      <c r="D232">
        <v>281.55</v>
      </c>
      <c r="E232">
        <v>276.14</v>
      </c>
      <c r="F232" t="s">
        <v>185</v>
      </c>
      <c r="G232" s="8">
        <v>-2.3999999999999998E-3</v>
      </c>
      <c r="H232" s="3">
        <f t="shared" si="3"/>
        <v>-2.448023841623459E-3</v>
      </c>
    </row>
    <row r="233" spans="1:8" x14ac:dyDescent="0.3">
      <c r="A233" s="7">
        <v>45723</v>
      </c>
      <c r="B233">
        <v>279.82</v>
      </c>
      <c r="C233">
        <v>278.57</v>
      </c>
      <c r="D233">
        <v>281.93</v>
      </c>
      <c r="E233">
        <v>277.77999999999997</v>
      </c>
      <c r="F233" t="s">
        <v>230</v>
      </c>
      <c r="G233" s="8">
        <v>-4.7999999999999996E-3</v>
      </c>
      <c r="H233" s="3">
        <f t="shared" si="3"/>
        <v>-4.8013657218053396E-3</v>
      </c>
    </row>
    <row r="234" spans="1:8" x14ac:dyDescent="0.3">
      <c r="A234" s="7">
        <v>45726</v>
      </c>
      <c r="B234">
        <v>278.69</v>
      </c>
      <c r="C234">
        <v>279.22000000000003</v>
      </c>
      <c r="D234">
        <v>286.85000000000002</v>
      </c>
      <c r="E234">
        <v>277.36</v>
      </c>
      <c r="F234" t="s">
        <v>780</v>
      </c>
      <c r="G234" s="8">
        <v>-4.0000000000000001E-3</v>
      </c>
      <c r="H234" s="3">
        <f t="shared" si="3"/>
        <v>-4.0383103423629052E-3</v>
      </c>
    </row>
    <row r="235" spans="1:8" x14ac:dyDescent="0.3">
      <c r="A235" s="7">
        <v>45727</v>
      </c>
      <c r="B235">
        <v>276.94</v>
      </c>
      <c r="C235">
        <v>277.77</v>
      </c>
      <c r="D235">
        <v>279.10000000000002</v>
      </c>
      <c r="E235">
        <v>273.52</v>
      </c>
      <c r="F235" t="s">
        <v>31</v>
      </c>
      <c r="G235" s="8">
        <v>-6.3E-3</v>
      </c>
      <c r="H235" s="3">
        <f t="shared" si="3"/>
        <v>-6.2793785209372954E-3</v>
      </c>
    </row>
    <row r="236" spans="1:8" x14ac:dyDescent="0.3">
      <c r="A236" s="7">
        <v>45728</v>
      </c>
      <c r="B236">
        <v>277.55</v>
      </c>
      <c r="C236">
        <v>278.89</v>
      </c>
      <c r="D236">
        <v>280</v>
      </c>
      <c r="E236">
        <v>273.35000000000002</v>
      </c>
      <c r="F236" t="s">
        <v>25</v>
      </c>
      <c r="G236" s="8">
        <v>2.2000000000000001E-3</v>
      </c>
      <c r="H236" s="3">
        <f t="shared" si="3"/>
        <v>2.2026431718062955E-3</v>
      </c>
    </row>
    <row r="237" spans="1:8" x14ac:dyDescent="0.3">
      <c r="A237" s="7">
        <v>45729</v>
      </c>
      <c r="B237">
        <v>279.39999999999998</v>
      </c>
      <c r="C237">
        <v>278.19</v>
      </c>
      <c r="D237">
        <v>281.16000000000003</v>
      </c>
      <c r="E237">
        <v>276.08</v>
      </c>
      <c r="F237" t="s">
        <v>238</v>
      </c>
      <c r="G237" s="8">
        <v>6.7000000000000002E-3</v>
      </c>
      <c r="H237" s="3">
        <f t="shared" si="3"/>
        <v>6.6654656818589952E-3</v>
      </c>
    </row>
    <row r="238" spans="1:8" x14ac:dyDescent="0.3">
      <c r="A238" s="7">
        <v>45730</v>
      </c>
      <c r="B238">
        <v>283.69</v>
      </c>
      <c r="C238">
        <v>280.2</v>
      </c>
      <c r="D238">
        <v>284.27999999999997</v>
      </c>
      <c r="E238">
        <v>277.57</v>
      </c>
      <c r="F238" t="s">
        <v>189</v>
      </c>
      <c r="G238" s="8">
        <v>1.54E-2</v>
      </c>
      <c r="H238" s="3">
        <f t="shared" si="3"/>
        <v>1.5354330708661434E-2</v>
      </c>
    </row>
    <row r="239" spans="1:8" x14ac:dyDescent="0.3">
      <c r="A239" s="7">
        <v>45733</v>
      </c>
      <c r="B239">
        <v>291.22000000000003</v>
      </c>
      <c r="C239">
        <v>282.66000000000003</v>
      </c>
      <c r="D239">
        <v>292.99</v>
      </c>
      <c r="E239">
        <v>282.44</v>
      </c>
      <c r="F239" t="s">
        <v>62</v>
      </c>
      <c r="G239" s="8">
        <v>2.6499999999999999E-2</v>
      </c>
      <c r="H239" s="3">
        <f t="shared" si="3"/>
        <v>2.6543057562832706E-2</v>
      </c>
    </row>
    <row r="240" spans="1:8" x14ac:dyDescent="0.3">
      <c r="A240" s="7">
        <v>45734</v>
      </c>
      <c r="B240">
        <v>283.27999999999997</v>
      </c>
      <c r="C240">
        <v>290.14</v>
      </c>
      <c r="D240">
        <v>291.64</v>
      </c>
      <c r="E240">
        <v>282.2</v>
      </c>
      <c r="F240" t="s">
        <v>115</v>
      </c>
      <c r="G240" s="8">
        <v>-2.7300000000000001E-2</v>
      </c>
      <c r="H240" s="3">
        <f t="shared" si="3"/>
        <v>-2.7264610947050572E-2</v>
      </c>
    </row>
    <row r="241" spans="1:8" x14ac:dyDescent="0.3">
      <c r="A241" s="7">
        <v>45735</v>
      </c>
      <c r="B241">
        <v>273.29000000000002</v>
      </c>
      <c r="C241">
        <v>276.5</v>
      </c>
      <c r="D241">
        <v>278.38</v>
      </c>
      <c r="E241">
        <v>267.39</v>
      </c>
      <c r="F241" t="s">
        <v>779</v>
      </c>
      <c r="G241" s="8">
        <v>-3.5299999999999998E-2</v>
      </c>
      <c r="H241" s="3">
        <f t="shared" si="3"/>
        <v>-3.5265461733973269E-2</v>
      </c>
    </row>
    <row r="242" spans="1:8" x14ac:dyDescent="0.3">
      <c r="A242" s="7">
        <v>45736</v>
      </c>
      <c r="B242">
        <v>274.62</v>
      </c>
      <c r="C242">
        <v>272.88</v>
      </c>
      <c r="D242">
        <v>278.33999999999997</v>
      </c>
      <c r="E242">
        <v>272.43</v>
      </c>
      <c r="F242" t="s">
        <v>778</v>
      </c>
      <c r="G242" s="8">
        <v>4.8999999999999998E-3</v>
      </c>
      <c r="H242" s="3">
        <f t="shared" si="3"/>
        <v>4.8666251966773544E-3</v>
      </c>
    </row>
    <row r="243" spans="1:8" x14ac:dyDescent="0.3">
      <c r="A243" s="7">
        <v>45737</v>
      </c>
      <c r="B243">
        <v>272.86</v>
      </c>
      <c r="C243">
        <v>275.3</v>
      </c>
      <c r="D243">
        <v>278.33</v>
      </c>
      <c r="E243">
        <v>272.52999999999997</v>
      </c>
      <c r="F243" t="s">
        <v>509</v>
      </c>
      <c r="G243" s="8">
        <v>-6.4000000000000003E-3</v>
      </c>
      <c r="H243" s="3">
        <f t="shared" si="3"/>
        <v>-6.4088558735707624E-3</v>
      </c>
    </row>
    <row r="244" spans="1:8" x14ac:dyDescent="0.3">
      <c r="A244" s="7">
        <v>45740</v>
      </c>
      <c r="B244">
        <v>274</v>
      </c>
      <c r="C244">
        <v>275.48</v>
      </c>
      <c r="D244">
        <v>276.01</v>
      </c>
      <c r="E244">
        <v>272.52999999999997</v>
      </c>
      <c r="F244" t="s">
        <v>187</v>
      </c>
      <c r="G244" s="8">
        <v>4.1999999999999997E-3</v>
      </c>
      <c r="H244" s="3">
        <f t="shared" si="3"/>
        <v>4.1779667228614148E-3</v>
      </c>
    </row>
    <row r="245" spans="1:8" x14ac:dyDescent="0.3">
      <c r="A245" s="7">
        <v>45741</v>
      </c>
      <c r="B245">
        <v>274.43</v>
      </c>
      <c r="C245">
        <v>275.04000000000002</v>
      </c>
      <c r="D245">
        <v>275.94</v>
      </c>
      <c r="E245">
        <v>272.14</v>
      </c>
      <c r="F245" t="s">
        <v>257</v>
      </c>
      <c r="G245" s="8">
        <v>1.6000000000000001E-3</v>
      </c>
      <c r="H245" s="3">
        <f t="shared" si="3"/>
        <v>1.5693430656935625E-3</v>
      </c>
    </row>
    <row r="246" spans="1:8" x14ac:dyDescent="0.3">
      <c r="A246" s="7">
        <v>45742</v>
      </c>
      <c r="B246">
        <v>272.54000000000002</v>
      </c>
      <c r="C246">
        <v>276.25</v>
      </c>
      <c r="D246">
        <v>277.37</v>
      </c>
      <c r="E246">
        <v>271.85000000000002</v>
      </c>
      <c r="F246" t="s">
        <v>326</v>
      </c>
      <c r="G246" s="8">
        <v>-6.8999999999999999E-3</v>
      </c>
      <c r="H246" s="3">
        <f t="shared" si="3"/>
        <v>-6.8870021499106704E-3</v>
      </c>
    </row>
    <row r="247" spans="1:8" x14ac:dyDescent="0.3">
      <c r="A247" s="7">
        <v>45743</v>
      </c>
      <c r="B247">
        <v>274.67</v>
      </c>
      <c r="C247">
        <v>273.66000000000003</v>
      </c>
      <c r="D247">
        <v>275.13</v>
      </c>
      <c r="E247">
        <v>271</v>
      </c>
      <c r="F247" t="s">
        <v>234</v>
      </c>
      <c r="G247" s="8">
        <v>7.7999999999999996E-3</v>
      </c>
      <c r="H247" s="3">
        <f t="shared" si="3"/>
        <v>7.815366551698899E-3</v>
      </c>
    </row>
    <row r="248" spans="1:8" x14ac:dyDescent="0.3">
      <c r="A248" s="7">
        <v>45744</v>
      </c>
      <c r="B248">
        <v>278.86</v>
      </c>
      <c r="C248">
        <v>275.22000000000003</v>
      </c>
      <c r="D248">
        <v>279.81</v>
      </c>
      <c r="E248">
        <v>274.17</v>
      </c>
      <c r="F248" t="s">
        <v>777</v>
      </c>
      <c r="G248" s="8">
        <v>1.5299999999999999E-2</v>
      </c>
      <c r="H248" s="3">
        <f t="shared" si="3"/>
        <v>1.5254669239451069E-2</v>
      </c>
    </row>
    <row r="249" spans="1:8" x14ac:dyDescent="0.3">
      <c r="A249" s="7">
        <v>45747</v>
      </c>
      <c r="B249">
        <v>283.01</v>
      </c>
      <c r="C249">
        <v>278.95</v>
      </c>
      <c r="D249">
        <v>284.70999999999998</v>
      </c>
      <c r="E249">
        <v>278.81</v>
      </c>
      <c r="F249" t="s">
        <v>26</v>
      </c>
      <c r="G249" s="8">
        <v>1.49E-2</v>
      </c>
      <c r="H249" s="3">
        <f t="shared" si="3"/>
        <v>1.4882019651437872E-2</v>
      </c>
    </row>
    <row r="250" spans="1:8" x14ac:dyDescent="0.3">
      <c r="A250" s="7">
        <v>45748</v>
      </c>
      <c r="B250">
        <v>284.29000000000002</v>
      </c>
      <c r="C250">
        <v>283.51</v>
      </c>
      <c r="D250">
        <v>286.42</v>
      </c>
      <c r="E250">
        <v>281.02</v>
      </c>
      <c r="F250" t="s">
        <v>771</v>
      </c>
      <c r="G250" s="8">
        <v>4.4999999999999997E-3</v>
      </c>
      <c r="H250" s="3">
        <f t="shared" si="3"/>
        <v>4.5228083813293463E-3</v>
      </c>
    </row>
    <row r="251" spans="1:8" x14ac:dyDescent="0.3">
      <c r="A251" s="7">
        <v>45749</v>
      </c>
      <c r="B251">
        <v>281.23</v>
      </c>
      <c r="C251">
        <v>283.02</v>
      </c>
      <c r="D251">
        <v>284.32</v>
      </c>
      <c r="E251">
        <v>276.20999999999998</v>
      </c>
      <c r="F251" t="s">
        <v>190</v>
      </c>
      <c r="G251" s="8">
        <v>-1.0800000000000001E-2</v>
      </c>
      <c r="H251" s="3">
        <f>(B251/B250)-1</f>
        <v>-1.0763656829294033E-2</v>
      </c>
    </row>
    <row r="252" spans="1:8" x14ac:dyDescent="0.3">
      <c r="A252" s="7">
        <v>45750</v>
      </c>
      <c r="B252">
        <v>287</v>
      </c>
      <c r="C252">
        <v>278.31</v>
      </c>
      <c r="D252">
        <v>289.88</v>
      </c>
      <c r="E252">
        <v>277.25</v>
      </c>
      <c r="F252" t="s">
        <v>776</v>
      </c>
      <c r="G252" s="8">
        <v>2.0500000000000001E-2</v>
      </c>
      <c r="H252" s="3">
        <f t="shared" ref="H252:H253" si="4">(B252/B251)-1</f>
        <v>2.0517014543256273E-2</v>
      </c>
    </row>
    <row r="253" spans="1:8" x14ac:dyDescent="0.3">
      <c r="A253" s="7">
        <v>45751</v>
      </c>
      <c r="B253">
        <v>257.64</v>
      </c>
      <c r="C253">
        <v>276.10000000000002</v>
      </c>
      <c r="D253">
        <v>281.55</v>
      </c>
      <c r="E253">
        <v>256.55</v>
      </c>
      <c r="F253" t="s">
        <v>775</v>
      </c>
      <c r="G253" s="8">
        <v>-0.1023</v>
      </c>
      <c r="H253" s="3">
        <f t="shared" si="4"/>
        <v>-0.10229965156794429</v>
      </c>
    </row>
    <row r="254" spans="1:8" x14ac:dyDescent="0.3">
      <c r="H254" s="3"/>
    </row>
    <row r="255" spans="1:8" x14ac:dyDescent="0.3">
      <c r="H255" s="3"/>
    </row>
    <row r="256" spans="1:8" x14ac:dyDescent="0.3">
      <c r="H256" s="3"/>
    </row>
  </sheetData>
  <autoFilter ref="A1:G253" xr:uid="{F85478AB-A121-4EA6-94E1-D3EE8E3C1246}">
    <sortState xmlns:xlrd2="http://schemas.microsoft.com/office/spreadsheetml/2017/richdata2" ref="A2:G253">
      <sortCondition ref="A1:A253"/>
    </sortState>
  </autoFilter>
  <sortState xmlns:xlrd2="http://schemas.microsoft.com/office/spreadsheetml/2017/richdata2" ref="A2:G251">
    <sortCondition ref="A2:A25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B1B6-F2B7-415C-B337-B315F5CB2A65}">
  <sheetPr codeName="Hoja5">
    <tabColor theme="6" tint="0.79998168889431442"/>
  </sheetPr>
  <dimension ref="A1:L253"/>
  <sheetViews>
    <sheetView topLeftCell="A227" workbookViewId="0">
      <selection activeCell="B2" sqref="B2:B253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45386</v>
      </c>
      <c r="B2">
        <v>704.88</v>
      </c>
      <c r="C2">
        <v>708.77</v>
      </c>
      <c r="D2">
        <v>717.13</v>
      </c>
      <c r="E2">
        <v>704.22</v>
      </c>
      <c r="F2" t="s">
        <v>217</v>
      </c>
      <c r="G2" s="8">
        <v>-1.1000000000000001E-3</v>
      </c>
      <c r="H2" s="3" t="s">
        <v>11</v>
      </c>
      <c r="J2" t="s">
        <v>12</v>
      </c>
      <c r="K2" s="4">
        <f>AVERAGE(H3:H253)</f>
        <v>1.1319932340319054E-3</v>
      </c>
      <c r="L2" s="5">
        <f>_xlfn.STDEV.S(H3:H253)</f>
        <v>1.306729971687999E-2</v>
      </c>
    </row>
    <row r="3" spans="1:12" x14ac:dyDescent="0.3">
      <c r="A3" s="7">
        <v>45387</v>
      </c>
      <c r="B3">
        <v>713.72</v>
      </c>
      <c r="C3">
        <v>706.04</v>
      </c>
      <c r="D3">
        <v>716.89</v>
      </c>
      <c r="E3">
        <v>706.02</v>
      </c>
      <c r="F3" t="s">
        <v>266</v>
      </c>
      <c r="G3" s="8">
        <v>1.2500000000000001E-2</v>
      </c>
      <c r="H3" s="3">
        <f>(B3/B2)-1</f>
        <v>1.254114175462484E-2</v>
      </c>
      <c r="J3" t="s">
        <v>14</v>
      </c>
      <c r="K3" s="6">
        <f>K2*252</f>
        <v>0.28526229497604016</v>
      </c>
      <c r="L3" s="6">
        <f>L2*SQRT(252)</f>
        <v>0.20743695214805513</v>
      </c>
    </row>
    <row r="4" spans="1:12" x14ac:dyDescent="0.3">
      <c r="A4" s="7">
        <v>45390</v>
      </c>
      <c r="B4">
        <v>711.81</v>
      </c>
      <c r="C4">
        <v>713.51</v>
      </c>
      <c r="D4">
        <v>716.14</v>
      </c>
      <c r="E4">
        <v>710.87</v>
      </c>
      <c r="F4" t="s">
        <v>72</v>
      </c>
      <c r="G4" s="8">
        <v>-2.7000000000000001E-3</v>
      </c>
      <c r="H4" s="3">
        <f t="shared" ref="H4:H67" si="0">(B4/B3)-1</f>
        <v>-2.6761194866334881E-3</v>
      </c>
    </row>
    <row r="5" spans="1:12" x14ac:dyDescent="0.3">
      <c r="A5" s="7">
        <v>45391</v>
      </c>
      <c r="B5">
        <v>718.59</v>
      </c>
      <c r="C5">
        <v>716.24</v>
      </c>
      <c r="D5">
        <v>719.05</v>
      </c>
      <c r="E5">
        <v>706.97</v>
      </c>
      <c r="F5" t="s">
        <v>327</v>
      </c>
      <c r="G5" s="8">
        <v>9.4999999999999998E-3</v>
      </c>
      <c r="H5" s="3">
        <f t="shared" si="0"/>
        <v>9.5250136974756039E-3</v>
      </c>
    </row>
    <row r="6" spans="1:12" x14ac:dyDescent="0.3">
      <c r="A6" s="7">
        <v>45392</v>
      </c>
      <c r="B6">
        <v>722.58</v>
      </c>
      <c r="C6">
        <v>711</v>
      </c>
      <c r="D6">
        <v>723.98</v>
      </c>
      <c r="E6">
        <v>708.95</v>
      </c>
      <c r="F6" t="s">
        <v>51</v>
      </c>
      <c r="G6" s="8">
        <v>5.5999999999999999E-3</v>
      </c>
      <c r="H6" s="3">
        <f t="shared" si="0"/>
        <v>5.5525403916001359E-3</v>
      </c>
    </row>
    <row r="7" spans="1:12" x14ac:dyDescent="0.3">
      <c r="A7" s="7">
        <v>45393</v>
      </c>
      <c r="B7">
        <v>732.35</v>
      </c>
      <c r="C7">
        <v>731.5</v>
      </c>
      <c r="D7">
        <v>733.79</v>
      </c>
      <c r="E7">
        <v>724.15</v>
      </c>
      <c r="F7" t="s">
        <v>215</v>
      </c>
      <c r="G7" s="8">
        <v>1.35E-2</v>
      </c>
      <c r="H7" s="3">
        <f t="shared" si="0"/>
        <v>1.3520994215173276E-2</v>
      </c>
    </row>
    <row r="8" spans="1:12" x14ac:dyDescent="0.3">
      <c r="A8" s="7">
        <v>45394</v>
      </c>
      <c r="B8">
        <v>731.31</v>
      </c>
      <c r="C8">
        <v>728</v>
      </c>
      <c r="D8">
        <v>732.9</v>
      </c>
      <c r="E8">
        <v>726.54</v>
      </c>
      <c r="F8" t="s">
        <v>256</v>
      </c>
      <c r="G8" s="8">
        <v>-1.4E-3</v>
      </c>
      <c r="H8" s="3">
        <f t="shared" si="0"/>
        <v>-1.4200860244419911E-3</v>
      </c>
    </row>
    <row r="9" spans="1:12" x14ac:dyDescent="0.3">
      <c r="A9" s="7">
        <v>45397</v>
      </c>
      <c r="B9">
        <v>718.28</v>
      </c>
      <c r="C9">
        <v>735.43</v>
      </c>
      <c r="D9">
        <v>741</v>
      </c>
      <c r="E9">
        <v>717.95</v>
      </c>
      <c r="F9" t="s">
        <v>77</v>
      </c>
      <c r="G9" s="8">
        <v>-1.78E-2</v>
      </c>
      <c r="H9" s="3">
        <f t="shared" si="0"/>
        <v>-1.7817341483091997E-2</v>
      </c>
    </row>
    <row r="10" spans="1:12" x14ac:dyDescent="0.3">
      <c r="A10" s="7">
        <v>45398</v>
      </c>
      <c r="B10">
        <v>715.97</v>
      </c>
      <c r="C10">
        <v>718.3</v>
      </c>
      <c r="D10">
        <v>722.5</v>
      </c>
      <c r="E10">
        <v>712.13</v>
      </c>
      <c r="F10" t="s">
        <v>251</v>
      </c>
      <c r="G10" s="8">
        <v>-3.2000000000000002E-3</v>
      </c>
      <c r="H10" s="3">
        <f t="shared" si="0"/>
        <v>-3.2160160383136738E-3</v>
      </c>
    </row>
    <row r="11" spans="1:12" x14ac:dyDescent="0.3">
      <c r="A11" s="7">
        <v>45399</v>
      </c>
      <c r="B11">
        <v>715.19</v>
      </c>
      <c r="C11">
        <v>723</v>
      </c>
      <c r="D11">
        <v>723.8</v>
      </c>
      <c r="E11">
        <v>711</v>
      </c>
      <c r="F11" t="s">
        <v>75</v>
      </c>
      <c r="G11" s="8">
        <v>-1.1000000000000001E-3</v>
      </c>
      <c r="H11" s="3">
        <f t="shared" si="0"/>
        <v>-1.0894311214156849E-3</v>
      </c>
    </row>
    <row r="12" spans="1:12" x14ac:dyDescent="0.3">
      <c r="A12" s="7">
        <v>45400</v>
      </c>
      <c r="B12">
        <v>711.25</v>
      </c>
      <c r="C12">
        <v>715.19</v>
      </c>
      <c r="D12">
        <v>718.95</v>
      </c>
      <c r="E12">
        <v>709.57</v>
      </c>
      <c r="F12" t="s">
        <v>82</v>
      </c>
      <c r="G12" s="8">
        <v>-5.4999999999999997E-3</v>
      </c>
      <c r="H12" s="3">
        <f t="shared" si="0"/>
        <v>-5.5090255736238714E-3</v>
      </c>
    </row>
    <row r="13" spans="1:12" x14ac:dyDescent="0.3">
      <c r="A13" s="7">
        <v>45401</v>
      </c>
      <c r="B13">
        <v>709.51</v>
      </c>
      <c r="C13">
        <v>713.03</v>
      </c>
      <c r="D13">
        <v>714.87</v>
      </c>
      <c r="E13">
        <v>702</v>
      </c>
      <c r="F13" t="s">
        <v>43</v>
      </c>
      <c r="G13" s="8">
        <v>-2.3999999999999998E-3</v>
      </c>
      <c r="H13" s="3">
        <f t="shared" si="0"/>
        <v>-2.4463971880491764E-3</v>
      </c>
    </row>
    <row r="14" spans="1:12" x14ac:dyDescent="0.3">
      <c r="A14" s="7">
        <v>45404</v>
      </c>
      <c r="B14">
        <v>715.46</v>
      </c>
      <c r="C14">
        <v>714.86</v>
      </c>
      <c r="D14">
        <v>718.26</v>
      </c>
      <c r="E14">
        <v>706.17</v>
      </c>
      <c r="F14" t="s">
        <v>150</v>
      </c>
      <c r="G14" s="8">
        <v>8.3999999999999995E-3</v>
      </c>
      <c r="H14" s="3">
        <f t="shared" si="0"/>
        <v>8.3860692590662644E-3</v>
      </c>
    </row>
    <row r="15" spans="1:12" x14ac:dyDescent="0.3">
      <c r="A15" s="7">
        <v>45405</v>
      </c>
      <c r="B15">
        <v>722.68</v>
      </c>
      <c r="C15">
        <v>719.03</v>
      </c>
      <c r="D15">
        <v>724.27</v>
      </c>
      <c r="E15">
        <v>716.3</v>
      </c>
      <c r="F15" t="s">
        <v>264</v>
      </c>
      <c r="G15" s="8">
        <v>1.01E-2</v>
      </c>
      <c r="H15" s="3">
        <f t="shared" si="0"/>
        <v>1.0091409722416289E-2</v>
      </c>
    </row>
    <row r="16" spans="1:12" x14ac:dyDescent="0.3">
      <c r="A16" s="7">
        <v>45406</v>
      </c>
      <c r="B16">
        <v>723.89</v>
      </c>
      <c r="C16">
        <v>719.71</v>
      </c>
      <c r="D16">
        <v>725.43</v>
      </c>
      <c r="E16">
        <v>716.09</v>
      </c>
      <c r="F16" t="s">
        <v>255</v>
      </c>
      <c r="G16" s="8">
        <v>1.6999999999999999E-3</v>
      </c>
      <c r="H16" s="3">
        <f t="shared" si="0"/>
        <v>1.6743233519678213E-3</v>
      </c>
    </row>
    <row r="17" spans="1:8" x14ac:dyDescent="0.3">
      <c r="A17" s="7">
        <v>45407</v>
      </c>
      <c r="B17">
        <v>721.86</v>
      </c>
      <c r="C17">
        <v>727.29</v>
      </c>
      <c r="D17">
        <v>727.29</v>
      </c>
      <c r="E17">
        <v>714.41</v>
      </c>
      <c r="F17" t="s">
        <v>135</v>
      </c>
      <c r="G17" s="8">
        <v>-2.8E-3</v>
      </c>
      <c r="H17" s="3">
        <f t="shared" si="0"/>
        <v>-2.8042934700023281E-3</v>
      </c>
    </row>
    <row r="18" spans="1:8" x14ac:dyDescent="0.3">
      <c r="A18" s="7">
        <v>45408</v>
      </c>
      <c r="B18">
        <v>729.18</v>
      </c>
      <c r="C18">
        <v>715</v>
      </c>
      <c r="D18">
        <v>730.95</v>
      </c>
      <c r="E18">
        <v>715</v>
      </c>
      <c r="F18" t="s">
        <v>168</v>
      </c>
      <c r="G18" s="8">
        <v>1.01E-2</v>
      </c>
      <c r="H18" s="3">
        <f t="shared" si="0"/>
        <v>1.0140470451333927E-2</v>
      </c>
    </row>
    <row r="19" spans="1:8" x14ac:dyDescent="0.3">
      <c r="A19" s="7">
        <v>45411</v>
      </c>
      <c r="B19">
        <v>726.33</v>
      </c>
      <c r="C19">
        <v>729.53</v>
      </c>
      <c r="D19">
        <v>732.25</v>
      </c>
      <c r="E19">
        <v>720.22</v>
      </c>
      <c r="F19" t="s">
        <v>131</v>
      </c>
      <c r="G19" s="8">
        <v>-3.8999999999999998E-3</v>
      </c>
      <c r="H19" s="3">
        <f t="shared" si="0"/>
        <v>-3.9084999588577807E-3</v>
      </c>
    </row>
    <row r="20" spans="1:8" x14ac:dyDescent="0.3">
      <c r="A20" s="7">
        <v>45412</v>
      </c>
      <c r="B20">
        <v>722.9</v>
      </c>
      <c r="C20">
        <v>725.51</v>
      </c>
      <c r="D20">
        <v>725.51</v>
      </c>
      <c r="E20">
        <v>717.1</v>
      </c>
      <c r="F20" t="s">
        <v>88</v>
      </c>
      <c r="G20" s="8">
        <v>-4.7000000000000002E-3</v>
      </c>
      <c r="H20" s="3">
        <f t="shared" si="0"/>
        <v>-4.7223713738935302E-3</v>
      </c>
    </row>
    <row r="21" spans="1:8" x14ac:dyDescent="0.3">
      <c r="A21" s="7">
        <v>45413</v>
      </c>
      <c r="B21">
        <v>722.22</v>
      </c>
      <c r="C21">
        <v>722.27</v>
      </c>
      <c r="D21">
        <v>729.86</v>
      </c>
      <c r="E21">
        <v>715.32</v>
      </c>
      <c r="F21" t="s">
        <v>135</v>
      </c>
      <c r="G21" s="8">
        <v>-8.9999999999999998E-4</v>
      </c>
      <c r="H21" s="3">
        <f t="shared" si="0"/>
        <v>-9.4065569235013413E-4</v>
      </c>
    </row>
    <row r="22" spans="1:8" x14ac:dyDescent="0.3">
      <c r="A22" s="7">
        <v>45414</v>
      </c>
      <c r="B22">
        <v>732.44</v>
      </c>
      <c r="C22">
        <v>724.75</v>
      </c>
      <c r="D22">
        <v>734.4</v>
      </c>
      <c r="E22">
        <v>720.63</v>
      </c>
      <c r="F22" t="s">
        <v>51</v>
      </c>
      <c r="G22" s="8">
        <v>1.4200000000000001E-2</v>
      </c>
      <c r="H22" s="3">
        <f t="shared" si="0"/>
        <v>1.415081277173158E-2</v>
      </c>
    </row>
    <row r="23" spans="1:8" x14ac:dyDescent="0.3">
      <c r="A23" s="7">
        <v>45415</v>
      </c>
      <c r="B23">
        <v>743.9</v>
      </c>
      <c r="C23">
        <v>734.28</v>
      </c>
      <c r="D23">
        <v>747.49</v>
      </c>
      <c r="E23">
        <v>733.34</v>
      </c>
      <c r="F23" t="s">
        <v>44</v>
      </c>
      <c r="G23" s="8">
        <v>1.5599999999999999E-2</v>
      </c>
      <c r="H23" s="3">
        <f t="shared" si="0"/>
        <v>1.5646332805417495E-2</v>
      </c>
    </row>
    <row r="24" spans="1:8" x14ac:dyDescent="0.3">
      <c r="A24" s="7">
        <v>45418</v>
      </c>
      <c r="B24">
        <v>756.45</v>
      </c>
      <c r="C24">
        <v>749.59</v>
      </c>
      <c r="D24">
        <v>756.94</v>
      </c>
      <c r="E24">
        <v>746.48</v>
      </c>
      <c r="F24" t="s">
        <v>121</v>
      </c>
      <c r="G24" s="8">
        <v>1.6899999999999998E-2</v>
      </c>
      <c r="H24" s="3">
        <f t="shared" si="0"/>
        <v>1.6870547116548007E-2</v>
      </c>
    </row>
    <row r="25" spans="1:8" x14ac:dyDescent="0.3">
      <c r="A25" s="7">
        <v>45419</v>
      </c>
      <c r="B25">
        <v>771.31</v>
      </c>
      <c r="C25">
        <v>758.69</v>
      </c>
      <c r="D25">
        <v>772.24</v>
      </c>
      <c r="E25">
        <v>755.57</v>
      </c>
      <c r="F25" t="s">
        <v>70</v>
      </c>
      <c r="G25" s="8">
        <v>1.9599999999999999E-2</v>
      </c>
      <c r="H25" s="3">
        <f t="shared" si="0"/>
        <v>1.9644391565866837E-2</v>
      </c>
    </row>
    <row r="26" spans="1:8" x14ac:dyDescent="0.3">
      <c r="A26" s="7">
        <v>45420</v>
      </c>
      <c r="B26">
        <v>763.41</v>
      </c>
      <c r="C26">
        <v>770</v>
      </c>
      <c r="D26">
        <v>773.39</v>
      </c>
      <c r="E26">
        <v>762.71</v>
      </c>
      <c r="F26" t="s">
        <v>124</v>
      </c>
      <c r="G26" s="8">
        <v>-1.0200000000000001E-2</v>
      </c>
      <c r="H26" s="3">
        <f t="shared" si="0"/>
        <v>-1.0242315022494175E-2</v>
      </c>
    </row>
    <row r="27" spans="1:8" x14ac:dyDescent="0.3">
      <c r="A27" s="7">
        <v>45421</v>
      </c>
      <c r="B27">
        <v>779.04</v>
      </c>
      <c r="C27">
        <v>763.8</v>
      </c>
      <c r="D27">
        <v>779.71</v>
      </c>
      <c r="E27">
        <v>763.61</v>
      </c>
      <c r="F27" t="s">
        <v>123</v>
      </c>
      <c r="G27" s="8">
        <v>2.0500000000000001E-2</v>
      </c>
      <c r="H27" s="3">
        <f t="shared" si="0"/>
        <v>2.0473926199551906E-2</v>
      </c>
    </row>
    <row r="28" spans="1:8" x14ac:dyDescent="0.3">
      <c r="A28" s="7">
        <v>45422</v>
      </c>
      <c r="B28">
        <v>787.19</v>
      </c>
      <c r="C28">
        <v>779.04</v>
      </c>
      <c r="D28">
        <v>787.45</v>
      </c>
      <c r="E28">
        <v>778.16</v>
      </c>
      <c r="F28" t="s">
        <v>66</v>
      </c>
      <c r="G28" s="8">
        <v>1.0500000000000001E-2</v>
      </c>
      <c r="H28" s="3">
        <f t="shared" si="0"/>
        <v>1.0461593756418308E-2</v>
      </c>
    </row>
    <row r="29" spans="1:8" x14ac:dyDescent="0.3">
      <c r="A29" s="7">
        <v>45425</v>
      </c>
      <c r="B29">
        <v>775.15</v>
      </c>
      <c r="C29">
        <v>788</v>
      </c>
      <c r="D29">
        <v>789.48</v>
      </c>
      <c r="E29">
        <v>773.58</v>
      </c>
      <c r="F29" t="s">
        <v>181</v>
      </c>
      <c r="G29" s="8">
        <v>-1.5299999999999999E-2</v>
      </c>
      <c r="H29" s="3">
        <f t="shared" si="0"/>
        <v>-1.5294909742247786E-2</v>
      </c>
    </row>
    <row r="30" spans="1:8" x14ac:dyDescent="0.3">
      <c r="A30" s="7">
        <v>45426</v>
      </c>
      <c r="B30">
        <v>777.9</v>
      </c>
      <c r="C30">
        <v>774.93</v>
      </c>
      <c r="D30">
        <v>780.81</v>
      </c>
      <c r="E30">
        <v>771.43</v>
      </c>
      <c r="F30" t="s">
        <v>130</v>
      </c>
      <c r="G30" s="8">
        <v>3.5000000000000001E-3</v>
      </c>
      <c r="H30" s="3">
        <f t="shared" si="0"/>
        <v>3.5477004450752414E-3</v>
      </c>
    </row>
    <row r="31" spans="1:8" x14ac:dyDescent="0.3">
      <c r="A31" s="7">
        <v>45427</v>
      </c>
      <c r="B31">
        <v>787.04</v>
      </c>
      <c r="C31">
        <v>778.52</v>
      </c>
      <c r="D31">
        <v>789.66</v>
      </c>
      <c r="E31">
        <v>778.52</v>
      </c>
      <c r="F31" t="s">
        <v>205</v>
      </c>
      <c r="G31" s="8">
        <v>1.17E-2</v>
      </c>
      <c r="H31" s="3">
        <f t="shared" si="0"/>
        <v>1.1749582208510079E-2</v>
      </c>
    </row>
    <row r="32" spans="1:8" x14ac:dyDescent="0.3">
      <c r="A32" s="7">
        <v>45428</v>
      </c>
      <c r="B32">
        <v>793.07</v>
      </c>
      <c r="C32">
        <v>791.81</v>
      </c>
      <c r="D32">
        <v>804.56</v>
      </c>
      <c r="E32">
        <v>787.83</v>
      </c>
      <c r="F32" t="s">
        <v>107</v>
      </c>
      <c r="G32" s="8">
        <v>7.7000000000000002E-3</v>
      </c>
      <c r="H32" s="3">
        <f t="shared" si="0"/>
        <v>7.6616182150843759E-3</v>
      </c>
    </row>
    <row r="33" spans="1:8" x14ac:dyDescent="0.3">
      <c r="A33" s="7">
        <v>45429</v>
      </c>
      <c r="B33">
        <v>795.81</v>
      </c>
      <c r="C33">
        <v>793.61</v>
      </c>
      <c r="D33">
        <v>797.6</v>
      </c>
      <c r="E33">
        <v>790.6</v>
      </c>
      <c r="F33" t="s">
        <v>102</v>
      </c>
      <c r="G33" s="8">
        <v>3.5000000000000001E-3</v>
      </c>
      <c r="H33" s="3">
        <f t="shared" si="0"/>
        <v>3.4549283165419276E-3</v>
      </c>
    </row>
    <row r="34" spans="1:8" x14ac:dyDescent="0.3">
      <c r="A34" s="7">
        <v>45432</v>
      </c>
      <c r="B34">
        <v>793</v>
      </c>
      <c r="C34">
        <v>795.25</v>
      </c>
      <c r="D34">
        <v>802.98</v>
      </c>
      <c r="E34">
        <v>792.39</v>
      </c>
      <c r="F34" t="s">
        <v>136</v>
      </c>
      <c r="G34" s="8">
        <v>-3.5000000000000001E-3</v>
      </c>
      <c r="H34" s="3">
        <f t="shared" si="0"/>
        <v>-3.5309935788692126E-3</v>
      </c>
    </row>
    <row r="35" spans="1:8" x14ac:dyDescent="0.3">
      <c r="A35" s="7">
        <v>45433</v>
      </c>
      <c r="B35">
        <v>800.93</v>
      </c>
      <c r="C35">
        <v>795.57</v>
      </c>
      <c r="D35">
        <v>801.44</v>
      </c>
      <c r="E35">
        <v>792</v>
      </c>
      <c r="F35" t="s">
        <v>75</v>
      </c>
      <c r="G35" s="8">
        <v>0.01</v>
      </c>
      <c r="H35" s="3">
        <f t="shared" si="0"/>
        <v>1.0000000000000009E-2</v>
      </c>
    </row>
    <row r="36" spans="1:8" x14ac:dyDescent="0.3">
      <c r="A36" s="7">
        <v>45434</v>
      </c>
      <c r="B36">
        <v>801.86</v>
      </c>
      <c r="C36">
        <v>800.04</v>
      </c>
      <c r="D36">
        <v>806.35</v>
      </c>
      <c r="E36">
        <v>798.01</v>
      </c>
      <c r="F36" t="s">
        <v>69</v>
      </c>
      <c r="G36" s="8">
        <v>1.1999999999999999E-3</v>
      </c>
      <c r="H36" s="3">
        <f t="shared" si="0"/>
        <v>1.1611501629356091E-3</v>
      </c>
    </row>
    <row r="37" spans="1:8" x14ac:dyDescent="0.3">
      <c r="A37" s="7">
        <v>45435</v>
      </c>
      <c r="B37">
        <v>796.34</v>
      </c>
      <c r="C37">
        <v>804.3</v>
      </c>
      <c r="D37">
        <v>808.05</v>
      </c>
      <c r="E37">
        <v>795.43</v>
      </c>
      <c r="F37" t="s">
        <v>168</v>
      </c>
      <c r="G37" s="8">
        <v>-6.8999999999999999E-3</v>
      </c>
      <c r="H37" s="3">
        <f t="shared" si="0"/>
        <v>-6.8839947122938394E-3</v>
      </c>
    </row>
    <row r="38" spans="1:8" x14ac:dyDescent="0.3">
      <c r="A38" s="7">
        <v>45436</v>
      </c>
      <c r="B38">
        <v>809.73</v>
      </c>
      <c r="C38">
        <v>800.63</v>
      </c>
      <c r="D38">
        <v>816.87</v>
      </c>
      <c r="E38">
        <v>799.09</v>
      </c>
      <c r="F38" t="s">
        <v>95</v>
      </c>
      <c r="G38" s="8">
        <v>1.6799999999999999E-2</v>
      </c>
      <c r="H38" s="3">
        <f t="shared" si="0"/>
        <v>1.6814425998945115E-2</v>
      </c>
    </row>
    <row r="39" spans="1:8" x14ac:dyDescent="0.3">
      <c r="A39" s="7">
        <v>45440</v>
      </c>
      <c r="B39">
        <v>813.17</v>
      </c>
      <c r="C39">
        <v>809.74</v>
      </c>
      <c r="D39">
        <v>815.29</v>
      </c>
      <c r="E39">
        <v>804.72</v>
      </c>
      <c r="F39" t="s">
        <v>68</v>
      </c>
      <c r="G39" s="8">
        <v>4.1999999999999997E-3</v>
      </c>
      <c r="H39" s="3">
        <f t="shared" si="0"/>
        <v>4.2483296901436596E-3</v>
      </c>
    </row>
    <row r="40" spans="1:8" x14ac:dyDescent="0.3">
      <c r="A40" s="7">
        <v>45441</v>
      </c>
      <c r="B40">
        <v>806.52</v>
      </c>
      <c r="C40">
        <v>807.02</v>
      </c>
      <c r="D40">
        <v>813.44</v>
      </c>
      <c r="E40">
        <v>806.29</v>
      </c>
      <c r="F40" t="s">
        <v>183</v>
      </c>
      <c r="G40" s="8">
        <v>-8.2000000000000007E-3</v>
      </c>
      <c r="H40" s="3">
        <f t="shared" si="0"/>
        <v>-8.1778717857274863E-3</v>
      </c>
    </row>
    <row r="41" spans="1:8" x14ac:dyDescent="0.3">
      <c r="A41" s="7">
        <v>45442</v>
      </c>
      <c r="B41">
        <v>815.34</v>
      </c>
      <c r="C41">
        <v>810.2</v>
      </c>
      <c r="D41">
        <v>819.5</v>
      </c>
      <c r="E41">
        <v>808.3</v>
      </c>
      <c r="F41" t="s">
        <v>80</v>
      </c>
      <c r="G41" s="8">
        <v>1.09E-2</v>
      </c>
      <c r="H41" s="3">
        <f t="shared" si="0"/>
        <v>1.0935872638000443E-2</v>
      </c>
    </row>
    <row r="42" spans="1:8" x14ac:dyDescent="0.3">
      <c r="A42" s="7">
        <v>45443</v>
      </c>
      <c r="B42">
        <v>809.89</v>
      </c>
      <c r="C42">
        <v>809.03</v>
      </c>
      <c r="D42">
        <v>811.74</v>
      </c>
      <c r="E42">
        <v>788.2</v>
      </c>
      <c r="F42" t="s">
        <v>331</v>
      </c>
      <c r="G42" s="8">
        <v>-6.7000000000000002E-3</v>
      </c>
      <c r="H42" s="3">
        <f t="shared" si="0"/>
        <v>-6.684328010400642E-3</v>
      </c>
    </row>
    <row r="43" spans="1:8" x14ac:dyDescent="0.3">
      <c r="A43" s="7">
        <v>45446</v>
      </c>
      <c r="B43">
        <v>815.39</v>
      </c>
      <c r="C43">
        <v>811</v>
      </c>
      <c r="D43">
        <v>827.91</v>
      </c>
      <c r="E43">
        <v>807.13</v>
      </c>
      <c r="F43" t="s">
        <v>174</v>
      </c>
      <c r="G43" s="8">
        <v>6.7999999999999996E-3</v>
      </c>
      <c r="H43" s="3">
        <f t="shared" si="0"/>
        <v>6.7910456975639466E-3</v>
      </c>
    </row>
    <row r="44" spans="1:8" x14ac:dyDescent="0.3">
      <c r="A44" s="7">
        <v>45447</v>
      </c>
      <c r="B44">
        <v>827.39</v>
      </c>
      <c r="C44">
        <v>814.98</v>
      </c>
      <c r="D44">
        <v>828.01</v>
      </c>
      <c r="E44">
        <v>813.04</v>
      </c>
      <c r="F44" t="s">
        <v>57</v>
      </c>
      <c r="G44" s="8">
        <v>1.47E-2</v>
      </c>
      <c r="H44" s="3">
        <f t="shared" si="0"/>
        <v>1.4716883945105952E-2</v>
      </c>
    </row>
    <row r="45" spans="1:8" x14ac:dyDescent="0.3">
      <c r="A45" s="7">
        <v>45448</v>
      </c>
      <c r="B45">
        <v>834.3</v>
      </c>
      <c r="C45">
        <v>830.91</v>
      </c>
      <c r="D45">
        <v>834.39</v>
      </c>
      <c r="E45">
        <v>821.68</v>
      </c>
      <c r="F45" t="s">
        <v>141</v>
      </c>
      <c r="G45" s="8">
        <v>8.3999999999999995E-3</v>
      </c>
      <c r="H45" s="3">
        <f t="shared" si="0"/>
        <v>8.3515633498107977E-3</v>
      </c>
    </row>
    <row r="46" spans="1:8" x14ac:dyDescent="0.3">
      <c r="A46" s="7">
        <v>45449</v>
      </c>
      <c r="B46">
        <v>842.64</v>
      </c>
      <c r="C46">
        <v>835.42</v>
      </c>
      <c r="D46">
        <v>849.09</v>
      </c>
      <c r="E46">
        <v>834.32</v>
      </c>
      <c r="F46" t="s">
        <v>88</v>
      </c>
      <c r="G46" s="8">
        <v>0.01</v>
      </c>
      <c r="H46" s="3">
        <f t="shared" si="0"/>
        <v>9.9964041711615437E-3</v>
      </c>
    </row>
    <row r="47" spans="1:8" x14ac:dyDescent="0.3">
      <c r="A47" s="7">
        <v>45450</v>
      </c>
      <c r="B47">
        <v>845.58</v>
      </c>
      <c r="C47">
        <v>846.68</v>
      </c>
      <c r="D47">
        <v>850.38</v>
      </c>
      <c r="E47">
        <v>842.29</v>
      </c>
      <c r="F47" t="s">
        <v>173</v>
      </c>
      <c r="G47" s="8">
        <v>3.5000000000000001E-3</v>
      </c>
      <c r="H47" s="3">
        <f t="shared" si="0"/>
        <v>3.489034463115992E-3</v>
      </c>
    </row>
    <row r="48" spans="1:8" x14ac:dyDescent="0.3">
      <c r="A48" s="7">
        <v>45453</v>
      </c>
      <c r="B48">
        <v>848.34</v>
      </c>
      <c r="C48">
        <v>847.18</v>
      </c>
      <c r="D48">
        <v>849.48</v>
      </c>
      <c r="E48">
        <v>842.74</v>
      </c>
      <c r="F48" t="s">
        <v>67</v>
      </c>
      <c r="G48" s="8">
        <v>3.3E-3</v>
      </c>
      <c r="H48" s="3">
        <f t="shared" si="0"/>
        <v>3.2640317888312786E-3</v>
      </c>
    </row>
    <row r="49" spans="1:8" x14ac:dyDescent="0.3">
      <c r="A49" s="7">
        <v>45454</v>
      </c>
      <c r="B49">
        <v>849.31</v>
      </c>
      <c r="C49">
        <v>849.24</v>
      </c>
      <c r="D49">
        <v>850.93</v>
      </c>
      <c r="E49">
        <v>840.26</v>
      </c>
      <c r="F49" t="s">
        <v>106</v>
      </c>
      <c r="G49" s="8">
        <v>1.1000000000000001E-3</v>
      </c>
      <c r="H49" s="3">
        <f t="shared" si="0"/>
        <v>1.1434094820472751E-3</v>
      </c>
    </row>
    <row r="50" spans="1:8" x14ac:dyDescent="0.3">
      <c r="A50" s="7">
        <v>45455</v>
      </c>
      <c r="B50">
        <v>847.81</v>
      </c>
      <c r="C50">
        <v>852.31</v>
      </c>
      <c r="D50">
        <v>855.74</v>
      </c>
      <c r="E50">
        <v>843.61</v>
      </c>
      <c r="F50" t="s">
        <v>250</v>
      </c>
      <c r="G50" s="8">
        <v>-1.8E-3</v>
      </c>
      <c r="H50" s="3">
        <f t="shared" si="0"/>
        <v>-1.7661395721232376E-3</v>
      </c>
    </row>
    <row r="51" spans="1:8" x14ac:dyDescent="0.3">
      <c r="A51" s="7">
        <v>45456</v>
      </c>
      <c r="B51">
        <v>845.96</v>
      </c>
      <c r="C51">
        <v>847.81</v>
      </c>
      <c r="D51">
        <v>847.81</v>
      </c>
      <c r="E51">
        <v>837.55</v>
      </c>
      <c r="F51" t="s">
        <v>73</v>
      </c>
      <c r="G51" s="8">
        <v>-2.2000000000000001E-3</v>
      </c>
      <c r="H51" s="3">
        <f t="shared" si="0"/>
        <v>-2.1820926858611145E-3</v>
      </c>
    </row>
    <row r="52" spans="1:8" x14ac:dyDescent="0.3">
      <c r="A52" s="7">
        <v>45457</v>
      </c>
      <c r="B52">
        <v>855.67</v>
      </c>
      <c r="C52">
        <v>843.42</v>
      </c>
      <c r="D52">
        <v>856.18</v>
      </c>
      <c r="E52">
        <v>841.91</v>
      </c>
      <c r="F52" t="s">
        <v>67</v>
      </c>
      <c r="G52" s="8">
        <v>1.15E-2</v>
      </c>
      <c r="H52" s="3">
        <f t="shared" si="0"/>
        <v>1.1478084070168704E-2</v>
      </c>
    </row>
    <row r="53" spans="1:8" x14ac:dyDescent="0.3">
      <c r="A53" s="7">
        <v>45460</v>
      </c>
      <c r="B53">
        <v>867.91</v>
      </c>
      <c r="C53">
        <v>854.49</v>
      </c>
      <c r="D53">
        <v>870.56</v>
      </c>
      <c r="E53">
        <v>853.37</v>
      </c>
      <c r="F53" t="s">
        <v>70</v>
      </c>
      <c r="G53" s="8">
        <v>1.43E-2</v>
      </c>
      <c r="H53" s="3">
        <f t="shared" si="0"/>
        <v>1.4304580036696324E-2</v>
      </c>
    </row>
    <row r="54" spans="1:8" x14ac:dyDescent="0.3">
      <c r="A54" s="7">
        <v>45461</v>
      </c>
      <c r="B54">
        <v>870.75</v>
      </c>
      <c r="C54">
        <v>868</v>
      </c>
      <c r="D54">
        <v>873.96</v>
      </c>
      <c r="E54">
        <v>867.7</v>
      </c>
      <c r="F54" t="s">
        <v>176</v>
      </c>
      <c r="G54" s="8">
        <v>3.3E-3</v>
      </c>
      <c r="H54" s="3">
        <f t="shared" si="0"/>
        <v>3.2722286873063666E-3</v>
      </c>
    </row>
    <row r="55" spans="1:8" x14ac:dyDescent="0.3">
      <c r="A55" s="7">
        <v>45463</v>
      </c>
      <c r="B55">
        <v>862.44</v>
      </c>
      <c r="C55">
        <v>871.31</v>
      </c>
      <c r="D55">
        <v>873.85</v>
      </c>
      <c r="E55">
        <v>860.56</v>
      </c>
      <c r="F55" t="s">
        <v>134</v>
      </c>
      <c r="G55" s="8">
        <v>-9.4999999999999998E-3</v>
      </c>
      <c r="H55" s="3">
        <f t="shared" si="0"/>
        <v>-9.5434969853573914E-3</v>
      </c>
    </row>
    <row r="56" spans="1:8" x14ac:dyDescent="0.3">
      <c r="A56" s="7">
        <v>45464</v>
      </c>
      <c r="B56">
        <v>848.31</v>
      </c>
      <c r="C56">
        <v>866.64</v>
      </c>
      <c r="D56">
        <v>866.97</v>
      </c>
      <c r="E56">
        <v>847.65</v>
      </c>
      <c r="F56" t="s">
        <v>330</v>
      </c>
      <c r="G56" s="8">
        <v>-1.6400000000000001E-2</v>
      </c>
      <c r="H56" s="3">
        <f t="shared" si="0"/>
        <v>-1.6383748434673828E-2</v>
      </c>
    </row>
    <row r="57" spans="1:8" x14ac:dyDescent="0.3">
      <c r="A57" s="7">
        <v>45467</v>
      </c>
      <c r="B57">
        <v>848.16</v>
      </c>
      <c r="C57">
        <v>850</v>
      </c>
      <c r="D57">
        <v>850.63</v>
      </c>
      <c r="E57">
        <v>841.51</v>
      </c>
      <c r="F57" t="s">
        <v>123</v>
      </c>
      <c r="G57" s="8">
        <v>-2.0000000000000001E-4</v>
      </c>
      <c r="H57" s="3">
        <f t="shared" si="0"/>
        <v>-1.7682215227921017E-4</v>
      </c>
    </row>
    <row r="58" spans="1:8" x14ac:dyDescent="0.3">
      <c r="A58" s="7">
        <v>45468</v>
      </c>
      <c r="B58">
        <v>855.51</v>
      </c>
      <c r="C58">
        <v>849.32</v>
      </c>
      <c r="D58">
        <v>855.69</v>
      </c>
      <c r="E58">
        <v>845</v>
      </c>
      <c r="F58" t="s">
        <v>279</v>
      </c>
      <c r="G58" s="8">
        <v>8.6999999999999994E-3</v>
      </c>
      <c r="H58" s="3">
        <f t="shared" si="0"/>
        <v>8.6658177702321204E-3</v>
      </c>
    </row>
    <row r="59" spans="1:8" x14ac:dyDescent="0.3">
      <c r="A59" s="7">
        <v>45469</v>
      </c>
      <c r="B59">
        <v>856.84</v>
      </c>
      <c r="C59">
        <v>852.72</v>
      </c>
      <c r="D59">
        <v>859.74</v>
      </c>
      <c r="E59">
        <v>850.06</v>
      </c>
      <c r="F59" t="s">
        <v>124</v>
      </c>
      <c r="G59" s="8">
        <v>1.6000000000000001E-3</v>
      </c>
      <c r="H59" s="3">
        <f t="shared" si="0"/>
        <v>1.5546282334515382E-3</v>
      </c>
    </row>
    <row r="60" spans="1:8" x14ac:dyDescent="0.3">
      <c r="A60" s="7">
        <v>45470</v>
      </c>
      <c r="B60">
        <v>850.62</v>
      </c>
      <c r="C60">
        <v>857.71</v>
      </c>
      <c r="D60">
        <v>858.33</v>
      </c>
      <c r="E60">
        <v>848.64</v>
      </c>
      <c r="F60" t="s">
        <v>116</v>
      </c>
      <c r="G60" s="8">
        <v>-7.3000000000000001E-3</v>
      </c>
      <c r="H60" s="3">
        <f t="shared" si="0"/>
        <v>-7.2592315951636177E-3</v>
      </c>
    </row>
    <row r="61" spans="1:8" x14ac:dyDescent="0.3">
      <c r="A61" s="7">
        <v>45471</v>
      </c>
      <c r="B61">
        <v>849.99</v>
      </c>
      <c r="C61">
        <v>851.25</v>
      </c>
      <c r="D61">
        <v>857.24</v>
      </c>
      <c r="E61">
        <v>846.81</v>
      </c>
      <c r="F61" t="s">
        <v>105</v>
      </c>
      <c r="G61" s="8">
        <v>-6.9999999999999999E-4</v>
      </c>
      <c r="H61" s="3">
        <f t="shared" si="0"/>
        <v>-7.4063624180009668E-4</v>
      </c>
    </row>
    <row r="62" spans="1:8" x14ac:dyDescent="0.3">
      <c r="A62" s="7">
        <v>45474</v>
      </c>
      <c r="B62">
        <v>845.67</v>
      </c>
      <c r="C62">
        <v>853.5</v>
      </c>
      <c r="D62">
        <v>856</v>
      </c>
      <c r="E62">
        <v>840.5</v>
      </c>
      <c r="F62" t="s">
        <v>68</v>
      </c>
      <c r="G62" s="8">
        <v>-5.1000000000000004E-3</v>
      </c>
      <c r="H62" s="3">
        <f t="shared" si="0"/>
        <v>-5.0824127342675718E-3</v>
      </c>
    </row>
    <row r="63" spans="1:8" x14ac:dyDescent="0.3">
      <c r="A63" s="7">
        <v>45475</v>
      </c>
      <c r="B63">
        <v>859.36</v>
      </c>
      <c r="C63">
        <v>845.69</v>
      </c>
      <c r="D63">
        <v>860.36</v>
      </c>
      <c r="E63">
        <v>843.08</v>
      </c>
      <c r="F63" t="s">
        <v>75</v>
      </c>
      <c r="G63" s="8">
        <v>1.6199999999999999E-2</v>
      </c>
      <c r="H63" s="3">
        <f t="shared" si="0"/>
        <v>1.6188347700639705E-2</v>
      </c>
    </row>
    <row r="64" spans="1:8" x14ac:dyDescent="0.3">
      <c r="A64" s="7">
        <v>45476</v>
      </c>
      <c r="B64">
        <v>862.66</v>
      </c>
      <c r="C64">
        <v>855</v>
      </c>
      <c r="D64">
        <v>863.52</v>
      </c>
      <c r="E64">
        <v>855</v>
      </c>
      <c r="F64" t="s">
        <v>329</v>
      </c>
      <c r="G64" s="8">
        <v>3.8E-3</v>
      </c>
      <c r="H64" s="3">
        <f t="shared" si="0"/>
        <v>3.8400670266243164E-3</v>
      </c>
    </row>
    <row r="65" spans="1:8" x14ac:dyDescent="0.3">
      <c r="A65" s="7">
        <v>45478</v>
      </c>
      <c r="B65">
        <v>885.67</v>
      </c>
      <c r="C65">
        <v>864.56</v>
      </c>
      <c r="D65">
        <v>886.94</v>
      </c>
      <c r="E65">
        <v>858.72</v>
      </c>
      <c r="F65" t="s">
        <v>278</v>
      </c>
      <c r="G65" s="8">
        <v>2.6700000000000002E-2</v>
      </c>
      <c r="H65" s="3">
        <f t="shared" si="0"/>
        <v>2.6673312776760216E-2</v>
      </c>
    </row>
    <row r="66" spans="1:8" x14ac:dyDescent="0.3">
      <c r="A66" s="7">
        <v>45481</v>
      </c>
      <c r="B66">
        <v>880.84</v>
      </c>
      <c r="C66">
        <v>886.79</v>
      </c>
      <c r="D66">
        <v>887.95</v>
      </c>
      <c r="E66">
        <v>877.66</v>
      </c>
      <c r="F66" t="s">
        <v>135</v>
      </c>
      <c r="G66" s="8">
        <v>-5.4999999999999997E-3</v>
      </c>
      <c r="H66" s="3">
        <f t="shared" si="0"/>
        <v>-5.4534984813755516E-3</v>
      </c>
    </row>
    <row r="67" spans="1:8" x14ac:dyDescent="0.3">
      <c r="A67" s="7">
        <v>45482</v>
      </c>
      <c r="B67">
        <v>886.85</v>
      </c>
      <c r="C67">
        <v>883.85</v>
      </c>
      <c r="D67">
        <v>896.67</v>
      </c>
      <c r="E67">
        <v>882.97</v>
      </c>
      <c r="F67" t="s">
        <v>126</v>
      </c>
      <c r="G67" s="8">
        <v>6.7999999999999996E-3</v>
      </c>
      <c r="H67" s="3">
        <f t="shared" si="0"/>
        <v>6.8230325598293007E-3</v>
      </c>
    </row>
    <row r="68" spans="1:8" x14ac:dyDescent="0.3">
      <c r="A68" s="7">
        <v>45483</v>
      </c>
      <c r="B68">
        <v>884.31</v>
      </c>
      <c r="C68">
        <v>887.4</v>
      </c>
      <c r="D68">
        <v>890.27</v>
      </c>
      <c r="E68">
        <v>880.7</v>
      </c>
      <c r="F68" t="s">
        <v>176</v>
      </c>
      <c r="G68" s="8">
        <v>-2.8999999999999998E-3</v>
      </c>
      <c r="H68" s="3">
        <f t="shared" ref="H68:H131" si="1">(B68/B67)-1</f>
        <v>-2.8640694593223825E-3</v>
      </c>
    </row>
    <row r="69" spans="1:8" x14ac:dyDescent="0.3">
      <c r="A69" s="7">
        <v>45484</v>
      </c>
      <c r="B69">
        <v>846.59</v>
      </c>
      <c r="C69">
        <v>890.76</v>
      </c>
      <c r="D69">
        <v>890.76</v>
      </c>
      <c r="E69">
        <v>846.52</v>
      </c>
      <c r="F69" t="s">
        <v>328</v>
      </c>
      <c r="G69" s="8">
        <v>-4.2700000000000002E-2</v>
      </c>
      <c r="H69" s="3">
        <f t="shared" si="1"/>
        <v>-4.2654725152943995E-2</v>
      </c>
    </row>
    <row r="70" spans="1:8" x14ac:dyDescent="0.3">
      <c r="A70" s="7">
        <v>45485</v>
      </c>
      <c r="B70">
        <v>842.9</v>
      </c>
      <c r="C70">
        <v>849.89</v>
      </c>
      <c r="D70">
        <v>850</v>
      </c>
      <c r="E70">
        <v>838.38</v>
      </c>
      <c r="F70" t="s">
        <v>253</v>
      </c>
      <c r="G70" s="8">
        <v>-4.4000000000000003E-3</v>
      </c>
      <c r="H70" s="3">
        <f t="shared" si="1"/>
        <v>-4.3586623985637507E-3</v>
      </c>
    </row>
    <row r="71" spans="1:8" x14ac:dyDescent="0.3">
      <c r="A71" s="7">
        <v>45488</v>
      </c>
      <c r="B71">
        <v>848.73</v>
      </c>
      <c r="C71">
        <v>846.86</v>
      </c>
      <c r="D71">
        <v>857.9</v>
      </c>
      <c r="E71">
        <v>844.67</v>
      </c>
      <c r="F71" t="s">
        <v>52</v>
      </c>
      <c r="G71" s="8">
        <v>6.8999999999999999E-3</v>
      </c>
      <c r="H71" s="3">
        <f t="shared" si="1"/>
        <v>6.9165974611460346E-3</v>
      </c>
    </row>
    <row r="72" spans="1:8" x14ac:dyDescent="0.3">
      <c r="A72" s="7">
        <v>45489</v>
      </c>
      <c r="B72">
        <v>850.77</v>
      </c>
      <c r="C72">
        <v>847.8</v>
      </c>
      <c r="D72">
        <v>851.23</v>
      </c>
      <c r="E72">
        <v>841.34</v>
      </c>
      <c r="F72" t="s">
        <v>106</v>
      </c>
      <c r="G72" s="8">
        <v>2.3999999999999998E-3</v>
      </c>
      <c r="H72" s="3">
        <f t="shared" si="1"/>
        <v>2.4035912480999677E-3</v>
      </c>
    </row>
    <row r="73" spans="1:8" x14ac:dyDescent="0.3">
      <c r="A73" s="7">
        <v>45490</v>
      </c>
      <c r="B73">
        <v>846.28</v>
      </c>
      <c r="C73">
        <v>848.01</v>
      </c>
      <c r="D73">
        <v>849.95</v>
      </c>
      <c r="E73">
        <v>842.65</v>
      </c>
      <c r="F73" t="s">
        <v>100</v>
      </c>
      <c r="G73" s="8">
        <v>-5.3E-3</v>
      </c>
      <c r="H73" s="3">
        <f t="shared" si="1"/>
        <v>-5.2775720817612726E-3</v>
      </c>
    </row>
    <row r="74" spans="1:8" x14ac:dyDescent="0.3">
      <c r="A74" s="7">
        <v>45491</v>
      </c>
      <c r="B74">
        <v>839.37</v>
      </c>
      <c r="C74">
        <v>849.43</v>
      </c>
      <c r="D74">
        <v>855.3</v>
      </c>
      <c r="E74">
        <v>825.11</v>
      </c>
      <c r="F74" t="s">
        <v>223</v>
      </c>
      <c r="G74" s="8">
        <v>-8.2000000000000007E-3</v>
      </c>
      <c r="H74" s="3">
        <f t="shared" si="1"/>
        <v>-8.1651462872808223E-3</v>
      </c>
    </row>
    <row r="75" spans="1:8" x14ac:dyDescent="0.3">
      <c r="A75" s="7">
        <v>45492</v>
      </c>
      <c r="B75">
        <v>838.13</v>
      </c>
      <c r="C75">
        <v>836.51</v>
      </c>
      <c r="D75">
        <v>848.88</v>
      </c>
      <c r="E75">
        <v>835.56</v>
      </c>
      <c r="F75" t="s">
        <v>90</v>
      </c>
      <c r="G75" s="8">
        <v>-1.5E-3</v>
      </c>
      <c r="H75" s="3">
        <f t="shared" si="1"/>
        <v>-1.4772984500279751E-3</v>
      </c>
    </row>
    <row r="76" spans="1:8" x14ac:dyDescent="0.3">
      <c r="A76" s="7">
        <v>45495</v>
      </c>
      <c r="B76">
        <v>847.42</v>
      </c>
      <c r="C76">
        <v>845.75</v>
      </c>
      <c r="D76">
        <v>849.59</v>
      </c>
      <c r="E76">
        <v>838.6</v>
      </c>
      <c r="F76" t="s">
        <v>180</v>
      </c>
      <c r="G76" s="8">
        <v>1.11E-2</v>
      </c>
      <c r="H76" s="3">
        <f t="shared" si="1"/>
        <v>1.1084199348549761E-2</v>
      </c>
    </row>
    <row r="77" spans="1:8" x14ac:dyDescent="0.3">
      <c r="A77" s="7">
        <v>45496</v>
      </c>
      <c r="B77">
        <v>852.11</v>
      </c>
      <c r="C77">
        <v>848.9</v>
      </c>
      <c r="D77">
        <v>854.58</v>
      </c>
      <c r="E77">
        <v>845.58</v>
      </c>
      <c r="F77" t="s">
        <v>132</v>
      </c>
      <c r="G77" s="8">
        <v>5.4999999999999997E-3</v>
      </c>
      <c r="H77" s="3">
        <f t="shared" si="1"/>
        <v>5.5344457293904359E-3</v>
      </c>
    </row>
    <row r="78" spans="1:8" x14ac:dyDescent="0.3">
      <c r="A78" s="7">
        <v>45497</v>
      </c>
      <c r="B78">
        <v>830.82</v>
      </c>
      <c r="C78">
        <v>844.6</v>
      </c>
      <c r="D78">
        <v>846</v>
      </c>
      <c r="E78">
        <v>829.5</v>
      </c>
      <c r="F78" t="s">
        <v>306</v>
      </c>
      <c r="G78" s="8">
        <v>-2.5000000000000001E-2</v>
      </c>
      <c r="H78" s="3">
        <f t="shared" si="1"/>
        <v>-2.4985037143091859E-2</v>
      </c>
    </row>
    <row r="79" spans="1:8" x14ac:dyDescent="0.3">
      <c r="A79" s="7">
        <v>45498</v>
      </c>
      <c r="B79">
        <v>815.95</v>
      </c>
      <c r="C79">
        <v>835.79</v>
      </c>
      <c r="D79">
        <v>836.65</v>
      </c>
      <c r="E79">
        <v>814.28</v>
      </c>
      <c r="F79" t="s">
        <v>61</v>
      </c>
      <c r="G79" s="8">
        <v>-1.7899999999999999E-2</v>
      </c>
      <c r="H79" s="3">
        <f t="shared" si="1"/>
        <v>-1.7897980308610784E-2</v>
      </c>
    </row>
    <row r="80" spans="1:8" x14ac:dyDescent="0.3">
      <c r="A80" s="7">
        <v>45499</v>
      </c>
      <c r="B80">
        <v>817.6</v>
      </c>
      <c r="C80">
        <v>818</v>
      </c>
      <c r="D80">
        <v>822.28</v>
      </c>
      <c r="E80">
        <v>809.01</v>
      </c>
      <c r="F80" t="s">
        <v>150</v>
      </c>
      <c r="G80" s="8">
        <v>2E-3</v>
      </c>
      <c r="H80" s="3">
        <f t="shared" si="1"/>
        <v>2.022182731785005E-3</v>
      </c>
    </row>
    <row r="81" spans="1:8" x14ac:dyDescent="0.3">
      <c r="A81" s="7">
        <v>45502</v>
      </c>
      <c r="B81">
        <v>815.56</v>
      </c>
      <c r="C81">
        <v>822.56</v>
      </c>
      <c r="D81">
        <v>823.74</v>
      </c>
      <c r="E81">
        <v>814.09</v>
      </c>
      <c r="F81" t="s">
        <v>73</v>
      </c>
      <c r="G81" s="8">
        <v>-2.5000000000000001E-3</v>
      </c>
      <c r="H81" s="3">
        <f t="shared" si="1"/>
        <v>-2.4951076320940402E-3</v>
      </c>
    </row>
    <row r="82" spans="1:8" x14ac:dyDescent="0.3">
      <c r="A82" s="7">
        <v>45503</v>
      </c>
      <c r="B82">
        <v>810.03</v>
      </c>
      <c r="C82">
        <v>818</v>
      </c>
      <c r="D82">
        <v>822</v>
      </c>
      <c r="E82">
        <v>803.28</v>
      </c>
      <c r="F82" t="s">
        <v>179</v>
      </c>
      <c r="G82" s="8">
        <v>-6.7999999999999996E-3</v>
      </c>
      <c r="H82" s="3">
        <f t="shared" si="1"/>
        <v>-6.7806169993623877E-3</v>
      </c>
    </row>
    <row r="83" spans="1:8" x14ac:dyDescent="0.3">
      <c r="A83" s="7">
        <v>45504</v>
      </c>
      <c r="B83">
        <v>822</v>
      </c>
      <c r="C83">
        <v>820.42</v>
      </c>
      <c r="D83">
        <v>825.48</v>
      </c>
      <c r="E83">
        <v>811.27</v>
      </c>
      <c r="F83" t="s">
        <v>92</v>
      </c>
      <c r="G83" s="8">
        <v>1.4800000000000001E-2</v>
      </c>
      <c r="H83" s="3">
        <f t="shared" si="1"/>
        <v>1.4777230472945435E-2</v>
      </c>
    </row>
    <row r="84" spans="1:8" x14ac:dyDescent="0.3">
      <c r="A84" s="7">
        <v>45505</v>
      </c>
      <c r="B84">
        <v>816.89</v>
      </c>
      <c r="C84">
        <v>818.55</v>
      </c>
      <c r="D84">
        <v>824.17</v>
      </c>
      <c r="E84">
        <v>809.68</v>
      </c>
      <c r="F84" t="s">
        <v>231</v>
      </c>
      <c r="G84" s="8">
        <v>-6.1999999999999998E-3</v>
      </c>
      <c r="H84" s="3">
        <f t="shared" si="1"/>
        <v>-6.2165450121655086E-3</v>
      </c>
    </row>
    <row r="85" spans="1:8" x14ac:dyDescent="0.3">
      <c r="A85" s="7">
        <v>45506</v>
      </c>
      <c r="B85">
        <v>822.08</v>
      </c>
      <c r="C85">
        <v>816.2</v>
      </c>
      <c r="D85">
        <v>830.28</v>
      </c>
      <c r="E85">
        <v>805.01</v>
      </c>
      <c r="F85" t="s">
        <v>184</v>
      </c>
      <c r="G85" s="8">
        <v>6.4000000000000003E-3</v>
      </c>
      <c r="H85" s="3">
        <f t="shared" si="1"/>
        <v>6.3533645900917257E-3</v>
      </c>
    </row>
    <row r="86" spans="1:8" x14ac:dyDescent="0.3">
      <c r="A86" s="7">
        <v>45509</v>
      </c>
      <c r="B86">
        <v>801.83</v>
      </c>
      <c r="C86">
        <v>798</v>
      </c>
      <c r="D86">
        <v>810.82</v>
      </c>
      <c r="E86">
        <v>793</v>
      </c>
      <c r="F86" t="s">
        <v>240</v>
      </c>
      <c r="G86" s="8">
        <v>-2.46E-2</v>
      </c>
      <c r="H86" s="3">
        <f t="shared" si="1"/>
        <v>-2.4632639159205882E-2</v>
      </c>
    </row>
    <row r="87" spans="1:8" x14ac:dyDescent="0.3">
      <c r="A87" s="7">
        <v>45510</v>
      </c>
      <c r="B87">
        <v>816.88</v>
      </c>
      <c r="C87">
        <v>805.06</v>
      </c>
      <c r="D87">
        <v>833.09</v>
      </c>
      <c r="E87">
        <v>805.06</v>
      </c>
      <c r="F87" t="s">
        <v>163</v>
      </c>
      <c r="G87" s="8">
        <v>1.8800000000000001E-2</v>
      </c>
      <c r="H87" s="3">
        <f t="shared" si="1"/>
        <v>1.8769564620929602E-2</v>
      </c>
    </row>
    <row r="88" spans="1:8" x14ac:dyDescent="0.3">
      <c r="A88" s="7">
        <v>45511</v>
      </c>
      <c r="B88">
        <v>810.3</v>
      </c>
      <c r="C88">
        <v>824.11</v>
      </c>
      <c r="D88">
        <v>833.83</v>
      </c>
      <c r="E88">
        <v>809.26</v>
      </c>
      <c r="F88" t="s">
        <v>87</v>
      </c>
      <c r="G88" s="8">
        <v>-8.0999999999999996E-3</v>
      </c>
      <c r="H88" s="3">
        <f t="shared" si="1"/>
        <v>-8.0550386837724419E-3</v>
      </c>
    </row>
    <row r="89" spans="1:8" x14ac:dyDescent="0.3">
      <c r="A89" s="7">
        <v>45512</v>
      </c>
      <c r="B89">
        <v>839.43</v>
      </c>
      <c r="C89">
        <v>821.5</v>
      </c>
      <c r="D89">
        <v>842.76</v>
      </c>
      <c r="E89">
        <v>820.45</v>
      </c>
      <c r="F89" t="s">
        <v>197</v>
      </c>
      <c r="G89" s="8">
        <v>3.5900000000000001E-2</v>
      </c>
      <c r="H89" s="3">
        <f t="shared" si="1"/>
        <v>3.5949648278415403E-2</v>
      </c>
    </row>
    <row r="90" spans="1:8" x14ac:dyDescent="0.3">
      <c r="A90" s="7">
        <v>45513</v>
      </c>
      <c r="B90">
        <v>854.93</v>
      </c>
      <c r="C90">
        <v>838.5</v>
      </c>
      <c r="D90">
        <v>857.77</v>
      </c>
      <c r="E90">
        <v>837.63</v>
      </c>
      <c r="F90" t="s">
        <v>59</v>
      </c>
      <c r="G90" s="8">
        <v>1.8499999999999999E-2</v>
      </c>
      <c r="H90" s="3">
        <f t="shared" si="1"/>
        <v>1.8464910713221983E-2</v>
      </c>
    </row>
    <row r="91" spans="1:8" x14ac:dyDescent="0.3">
      <c r="A91" s="7">
        <v>45516</v>
      </c>
      <c r="B91">
        <v>863.57</v>
      </c>
      <c r="C91">
        <v>857.25</v>
      </c>
      <c r="D91">
        <v>870.25</v>
      </c>
      <c r="E91">
        <v>852.4</v>
      </c>
      <c r="F91" t="s">
        <v>57</v>
      </c>
      <c r="G91" s="8">
        <v>1.01E-2</v>
      </c>
      <c r="H91" s="3">
        <f t="shared" si="1"/>
        <v>1.010609055712175E-2</v>
      </c>
    </row>
    <row r="92" spans="1:8" x14ac:dyDescent="0.3">
      <c r="A92" s="7">
        <v>45517</v>
      </c>
      <c r="B92">
        <v>864.82</v>
      </c>
      <c r="C92">
        <v>864.92</v>
      </c>
      <c r="D92">
        <v>868.05</v>
      </c>
      <c r="E92">
        <v>856.16</v>
      </c>
      <c r="F92" t="s">
        <v>256</v>
      </c>
      <c r="G92" s="8">
        <v>1.4E-3</v>
      </c>
      <c r="H92" s="3">
        <f t="shared" si="1"/>
        <v>1.4474796484360564E-3</v>
      </c>
    </row>
    <row r="93" spans="1:8" x14ac:dyDescent="0.3">
      <c r="A93" s="7">
        <v>45518</v>
      </c>
      <c r="B93">
        <v>862.71</v>
      </c>
      <c r="C93">
        <v>864.87</v>
      </c>
      <c r="D93">
        <v>866.73</v>
      </c>
      <c r="E93">
        <v>858.5</v>
      </c>
      <c r="F93" t="s">
        <v>282</v>
      </c>
      <c r="G93" s="8">
        <v>-2.3999999999999998E-3</v>
      </c>
      <c r="H93" s="3">
        <f t="shared" si="1"/>
        <v>-2.4398140653546507E-3</v>
      </c>
    </row>
    <row r="94" spans="1:8" x14ac:dyDescent="0.3">
      <c r="A94" s="7">
        <v>45519</v>
      </c>
      <c r="B94">
        <v>877.35</v>
      </c>
      <c r="C94">
        <v>872.87</v>
      </c>
      <c r="D94">
        <v>880.33</v>
      </c>
      <c r="E94">
        <v>869</v>
      </c>
      <c r="F94" t="s">
        <v>180</v>
      </c>
      <c r="G94" s="8">
        <v>1.7000000000000001E-2</v>
      </c>
      <c r="H94" s="3">
        <f t="shared" si="1"/>
        <v>1.6969781270647077E-2</v>
      </c>
    </row>
    <row r="95" spans="1:8" x14ac:dyDescent="0.3">
      <c r="A95" s="7">
        <v>45520</v>
      </c>
      <c r="B95">
        <v>870.59</v>
      </c>
      <c r="C95">
        <v>877.35</v>
      </c>
      <c r="D95">
        <v>877.35</v>
      </c>
      <c r="E95">
        <v>868.62</v>
      </c>
      <c r="F95" t="s">
        <v>168</v>
      </c>
      <c r="G95" s="8">
        <v>-7.7000000000000002E-3</v>
      </c>
      <c r="H95" s="3">
        <f t="shared" si="1"/>
        <v>-7.705020801276552E-3</v>
      </c>
    </row>
    <row r="96" spans="1:8" x14ac:dyDescent="0.3">
      <c r="A96" s="7">
        <v>45523</v>
      </c>
      <c r="B96">
        <v>872.35</v>
      </c>
      <c r="C96">
        <v>870.59</v>
      </c>
      <c r="D96">
        <v>873.63</v>
      </c>
      <c r="E96">
        <v>868.7</v>
      </c>
      <c r="F96" t="s">
        <v>73</v>
      </c>
      <c r="G96" s="8">
        <v>2E-3</v>
      </c>
      <c r="H96" s="3">
        <f t="shared" si="1"/>
        <v>2.021617523748187E-3</v>
      </c>
    </row>
    <row r="97" spans="1:8" x14ac:dyDescent="0.3">
      <c r="A97" s="7">
        <v>45524</v>
      </c>
      <c r="B97">
        <v>876.2</v>
      </c>
      <c r="C97">
        <v>872</v>
      </c>
      <c r="D97">
        <v>876.76</v>
      </c>
      <c r="E97">
        <v>871.17</v>
      </c>
      <c r="F97" t="s">
        <v>261</v>
      </c>
      <c r="G97" s="8">
        <v>4.4000000000000003E-3</v>
      </c>
      <c r="H97" s="3">
        <f t="shared" si="1"/>
        <v>4.4133661947614033E-3</v>
      </c>
    </row>
    <row r="98" spans="1:8" x14ac:dyDescent="0.3">
      <c r="A98" s="7">
        <v>45525</v>
      </c>
      <c r="B98">
        <v>881.42</v>
      </c>
      <c r="C98">
        <v>880.74</v>
      </c>
      <c r="D98">
        <v>891.12</v>
      </c>
      <c r="E98">
        <v>877.22</v>
      </c>
      <c r="F98" t="s">
        <v>118</v>
      </c>
      <c r="G98" s="8">
        <v>6.0000000000000001E-3</v>
      </c>
      <c r="H98" s="3">
        <f t="shared" si="1"/>
        <v>5.9575439397396845E-3</v>
      </c>
    </row>
    <row r="99" spans="1:8" x14ac:dyDescent="0.3">
      <c r="A99" s="7">
        <v>45526</v>
      </c>
      <c r="B99">
        <v>877.56</v>
      </c>
      <c r="C99">
        <v>882.3</v>
      </c>
      <c r="D99">
        <v>884</v>
      </c>
      <c r="E99">
        <v>873.18</v>
      </c>
      <c r="F99" t="s">
        <v>150</v>
      </c>
      <c r="G99" s="8">
        <v>-4.4000000000000003E-3</v>
      </c>
      <c r="H99" s="3">
        <f t="shared" si="1"/>
        <v>-4.3792970434072265E-3</v>
      </c>
    </row>
    <row r="100" spans="1:8" x14ac:dyDescent="0.3">
      <c r="A100" s="7">
        <v>45527</v>
      </c>
      <c r="B100">
        <v>879.21</v>
      </c>
      <c r="C100">
        <v>882.49</v>
      </c>
      <c r="D100">
        <v>884.56</v>
      </c>
      <c r="E100">
        <v>871.67</v>
      </c>
      <c r="F100" t="s">
        <v>102</v>
      </c>
      <c r="G100" s="8">
        <v>1.9E-3</v>
      </c>
      <c r="H100" s="3">
        <f t="shared" si="1"/>
        <v>1.8802133187474368E-3</v>
      </c>
    </row>
    <row r="101" spans="1:8" x14ac:dyDescent="0.3">
      <c r="A101" s="7">
        <v>45530</v>
      </c>
      <c r="B101">
        <v>892.51</v>
      </c>
      <c r="C101">
        <v>883.17</v>
      </c>
      <c r="D101">
        <v>893.25</v>
      </c>
      <c r="E101">
        <v>881.44</v>
      </c>
      <c r="F101" t="s">
        <v>132</v>
      </c>
      <c r="G101" s="8">
        <v>1.5100000000000001E-2</v>
      </c>
      <c r="H101" s="3">
        <f t="shared" si="1"/>
        <v>1.5127216478429517E-2</v>
      </c>
    </row>
    <row r="102" spans="1:8" x14ac:dyDescent="0.3">
      <c r="A102" s="7">
        <v>45531</v>
      </c>
      <c r="B102">
        <v>908.9</v>
      </c>
      <c r="C102">
        <v>892.69</v>
      </c>
      <c r="D102">
        <v>918.93</v>
      </c>
      <c r="E102">
        <v>887.07</v>
      </c>
      <c r="F102" t="s">
        <v>53</v>
      </c>
      <c r="G102" s="8">
        <v>1.84E-2</v>
      </c>
      <c r="H102" s="3">
        <f t="shared" si="1"/>
        <v>1.8363939899832982E-2</v>
      </c>
    </row>
    <row r="103" spans="1:8" x14ac:dyDescent="0.3">
      <c r="A103" s="7">
        <v>45532</v>
      </c>
      <c r="B103">
        <v>888.05</v>
      </c>
      <c r="C103">
        <v>910.96</v>
      </c>
      <c r="D103">
        <v>912.22</v>
      </c>
      <c r="E103">
        <v>881.66</v>
      </c>
      <c r="F103" t="s">
        <v>94</v>
      </c>
      <c r="G103" s="8">
        <v>-2.29E-2</v>
      </c>
      <c r="H103" s="3">
        <f t="shared" si="1"/>
        <v>-2.2939817361645964E-2</v>
      </c>
    </row>
    <row r="104" spans="1:8" x14ac:dyDescent="0.3">
      <c r="A104" s="7">
        <v>45533</v>
      </c>
      <c r="B104">
        <v>886.63</v>
      </c>
      <c r="C104">
        <v>891</v>
      </c>
      <c r="D104">
        <v>900.46</v>
      </c>
      <c r="E104">
        <v>885.17</v>
      </c>
      <c r="F104" t="s">
        <v>59</v>
      </c>
      <c r="G104" s="8">
        <v>-1.6000000000000001E-3</v>
      </c>
      <c r="H104" s="3">
        <f t="shared" si="1"/>
        <v>-1.5990090648048128E-3</v>
      </c>
    </row>
    <row r="105" spans="1:8" x14ac:dyDescent="0.3">
      <c r="A105" s="7">
        <v>45534</v>
      </c>
      <c r="B105">
        <v>892.38</v>
      </c>
      <c r="C105">
        <v>890.5</v>
      </c>
      <c r="D105">
        <v>896.33</v>
      </c>
      <c r="E105">
        <v>883.1</v>
      </c>
      <c r="F105" t="s">
        <v>247</v>
      </c>
      <c r="G105" s="8">
        <v>6.4999999999999997E-3</v>
      </c>
      <c r="H105" s="3">
        <f t="shared" si="1"/>
        <v>6.4852305922424858E-3</v>
      </c>
    </row>
    <row r="106" spans="1:8" x14ac:dyDescent="0.3">
      <c r="A106" s="7">
        <v>45538</v>
      </c>
      <c r="B106">
        <v>878.57</v>
      </c>
      <c r="C106">
        <v>896.68</v>
      </c>
      <c r="D106">
        <v>896.89</v>
      </c>
      <c r="E106">
        <v>874.44</v>
      </c>
      <c r="F106" t="s">
        <v>100</v>
      </c>
      <c r="G106" s="8">
        <v>-1.55E-2</v>
      </c>
      <c r="H106" s="3">
        <f t="shared" si="1"/>
        <v>-1.5475470091216637E-2</v>
      </c>
    </row>
    <row r="107" spans="1:8" x14ac:dyDescent="0.3">
      <c r="A107" s="7">
        <v>45539</v>
      </c>
      <c r="B107">
        <v>890.02</v>
      </c>
      <c r="C107">
        <v>877.45</v>
      </c>
      <c r="D107">
        <v>891.76</v>
      </c>
      <c r="E107">
        <v>876.59</v>
      </c>
      <c r="F107" t="s">
        <v>101</v>
      </c>
      <c r="G107" s="8">
        <v>1.2999999999999999E-2</v>
      </c>
      <c r="H107" s="3">
        <f t="shared" si="1"/>
        <v>1.3032541516327489E-2</v>
      </c>
    </row>
    <row r="108" spans="1:8" x14ac:dyDescent="0.3">
      <c r="A108" s="7">
        <v>45540</v>
      </c>
      <c r="B108">
        <v>885.98</v>
      </c>
      <c r="C108">
        <v>888.63</v>
      </c>
      <c r="D108">
        <v>888.63</v>
      </c>
      <c r="E108">
        <v>868.7</v>
      </c>
      <c r="F108" t="s">
        <v>107</v>
      </c>
      <c r="G108" s="8">
        <v>-4.4999999999999997E-3</v>
      </c>
      <c r="H108" s="3">
        <f t="shared" si="1"/>
        <v>-4.5392238376665839E-3</v>
      </c>
    </row>
    <row r="109" spans="1:8" x14ac:dyDescent="0.3">
      <c r="A109" s="7">
        <v>45541</v>
      </c>
      <c r="B109">
        <v>876.68</v>
      </c>
      <c r="C109">
        <v>891.26</v>
      </c>
      <c r="D109">
        <v>893.2</v>
      </c>
      <c r="E109">
        <v>871</v>
      </c>
      <c r="F109" t="s">
        <v>122</v>
      </c>
      <c r="G109" s="8">
        <v>-1.0500000000000001E-2</v>
      </c>
      <c r="H109" s="3">
        <f t="shared" si="1"/>
        <v>-1.049685094471664E-2</v>
      </c>
    </row>
    <row r="110" spans="1:8" x14ac:dyDescent="0.3">
      <c r="A110" s="7">
        <v>45544</v>
      </c>
      <c r="B110">
        <v>896.49</v>
      </c>
      <c r="C110">
        <v>884.74</v>
      </c>
      <c r="D110">
        <v>898.83</v>
      </c>
      <c r="E110">
        <v>881.7</v>
      </c>
      <c r="F110" t="s">
        <v>81</v>
      </c>
      <c r="G110" s="8">
        <v>2.2599999999999999E-2</v>
      </c>
      <c r="H110" s="3">
        <f t="shared" si="1"/>
        <v>2.2596614500159706E-2</v>
      </c>
    </row>
    <row r="111" spans="1:8" x14ac:dyDescent="0.3">
      <c r="A111" s="7">
        <v>45545</v>
      </c>
      <c r="B111">
        <v>894.29</v>
      </c>
      <c r="C111">
        <v>892.6</v>
      </c>
      <c r="D111">
        <v>900.69</v>
      </c>
      <c r="E111">
        <v>887.52</v>
      </c>
      <c r="F111" t="s">
        <v>126</v>
      </c>
      <c r="G111" s="8">
        <v>-2.5000000000000001E-3</v>
      </c>
      <c r="H111" s="3">
        <f t="shared" si="1"/>
        <v>-2.4540151033475288E-3</v>
      </c>
    </row>
    <row r="112" spans="1:8" x14ac:dyDescent="0.3">
      <c r="A112" s="7">
        <v>45546</v>
      </c>
      <c r="B112">
        <v>900.4</v>
      </c>
      <c r="C112">
        <v>895</v>
      </c>
      <c r="D112">
        <v>902</v>
      </c>
      <c r="E112">
        <v>877.87</v>
      </c>
      <c r="F112" t="s">
        <v>214</v>
      </c>
      <c r="G112" s="8">
        <v>6.7999999999999996E-3</v>
      </c>
      <c r="H112" s="3">
        <f t="shared" si="1"/>
        <v>6.8322356282637386E-3</v>
      </c>
    </row>
    <row r="113" spans="1:8" x14ac:dyDescent="0.3">
      <c r="A113" s="7">
        <v>45547</v>
      </c>
      <c r="B113">
        <v>915.03</v>
      </c>
      <c r="C113">
        <v>900.42</v>
      </c>
      <c r="D113">
        <v>915.7</v>
      </c>
      <c r="E113">
        <v>896.51</v>
      </c>
      <c r="F113" t="s">
        <v>165</v>
      </c>
      <c r="G113" s="8">
        <v>1.6199999999999999E-2</v>
      </c>
      <c r="H113" s="3">
        <f t="shared" si="1"/>
        <v>1.624833407374493E-2</v>
      </c>
    </row>
    <row r="114" spans="1:8" x14ac:dyDescent="0.3">
      <c r="A114" s="7">
        <v>45548</v>
      </c>
      <c r="B114">
        <v>916</v>
      </c>
      <c r="C114">
        <v>913.63</v>
      </c>
      <c r="D114">
        <v>923.83</v>
      </c>
      <c r="E114">
        <v>909.36</v>
      </c>
      <c r="F114" t="s">
        <v>130</v>
      </c>
      <c r="G114" s="8">
        <v>1.1000000000000001E-3</v>
      </c>
      <c r="H114" s="3">
        <f t="shared" si="1"/>
        <v>1.0600745330755501E-3</v>
      </c>
    </row>
    <row r="115" spans="1:8" x14ac:dyDescent="0.3">
      <c r="A115" s="7">
        <v>45551</v>
      </c>
      <c r="B115">
        <v>907.87</v>
      </c>
      <c r="C115">
        <v>922</v>
      </c>
      <c r="D115">
        <v>922.63</v>
      </c>
      <c r="E115">
        <v>905.35</v>
      </c>
      <c r="F115" t="s">
        <v>205</v>
      </c>
      <c r="G115" s="8">
        <v>-8.8999999999999999E-3</v>
      </c>
      <c r="H115" s="3">
        <f t="shared" si="1"/>
        <v>-8.875545851528388E-3</v>
      </c>
    </row>
    <row r="116" spans="1:8" x14ac:dyDescent="0.3">
      <c r="A116" s="7">
        <v>45552</v>
      </c>
      <c r="B116">
        <v>897.27</v>
      </c>
      <c r="C116">
        <v>908.43</v>
      </c>
      <c r="D116">
        <v>908.6</v>
      </c>
      <c r="E116">
        <v>895.45</v>
      </c>
      <c r="F116" t="s">
        <v>327</v>
      </c>
      <c r="G116" s="8">
        <v>-1.17E-2</v>
      </c>
      <c r="H116" s="3">
        <f t="shared" si="1"/>
        <v>-1.1675680438829383E-2</v>
      </c>
    </row>
    <row r="117" spans="1:8" x14ac:dyDescent="0.3">
      <c r="A117" s="7">
        <v>45553</v>
      </c>
      <c r="B117">
        <v>892.52</v>
      </c>
      <c r="C117">
        <v>899.94</v>
      </c>
      <c r="D117">
        <v>904.98</v>
      </c>
      <c r="E117">
        <v>890.95</v>
      </c>
      <c r="F117" t="s">
        <v>282</v>
      </c>
      <c r="G117" s="8">
        <v>-5.3E-3</v>
      </c>
      <c r="H117" s="3">
        <f t="shared" si="1"/>
        <v>-5.2938357462078978E-3</v>
      </c>
    </row>
    <row r="118" spans="1:8" x14ac:dyDescent="0.3">
      <c r="A118" s="7">
        <v>45554</v>
      </c>
      <c r="B118">
        <v>900.74</v>
      </c>
      <c r="C118">
        <v>904.26</v>
      </c>
      <c r="D118">
        <v>905.13</v>
      </c>
      <c r="E118">
        <v>895.5</v>
      </c>
      <c r="F118" t="s">
        <v>57</v>
      </c>
      <c r="G118" s="8">
        <v>9.1999999999999998E-3</v>
      </c>
      <c r="H118" s="3">
        <f t="shared" si="1"/>
        <v>9.2098776498006352E-3</v>
      </c>
    </row>
    <row r="119" spans="1:8" x14ac:dyDescent="0.3">
      <c r="A119" s="7">
        <v>45555</v>
      </c>
      <c r="B119">
        <v>906.98</v>
      </c>
      <c r="C119">
        <v>901.57</v>
      </c>
      <c r="D119">
        <v>907.81</v>
      </c>
      <c r="E119">
        <v>895.7</v>
      </c>
      <c r="F119" t="s">
        <v>157</v>
      </c>
      <c r="G119" s="8">
        <v>6.8999999999999999E-3</v>
      </c>
      <c r="H119" s="3">
        <f t="shared" si="1"/>
        <v>6.9276372760174176E-3</v>
      </c>
    </row>
    <row r="120" spans="1:8" x14ac:dyDescent="0.3">
      <c r="A120" s="7">
        <v>45558</v>
      </c>
      <c r="B120">
        <v>917.08</v>
      </c>
      <c r="C120">
        <v>906.98</v>
      </c>
      <c r="D120">
        <v>919.5</v>
      </c>
      <c r="E120">
        <v>900.78</v>
      </c>
      <c r="F120" t="s">
        <v>87</v>
      </c>
      <c r="G120" s="8">
        <v>1.11E-2</v>
      </c>
      <c r="H120" s="3">
        <f t="shared" si="1"/>
        <v>1.1135857461024523E-2</v>
      </c>
    </row>
    <row r="121" spans="1:8" x14ac:dyDescent="0.3">
      <c r="A121" s="7">
        <v>45559</v>
      </c>
      <c r="B121">
        <v>901.54</v>
      </c>
      <c r="C121">
        <v>912.01</v>
      </c>
      <c r="D121">
        <v>912.77</v>
      </c>
      <c r="E121">
        <v>897.53</v>
      </c>
      <c r="F121" t="s">
        <v>58</v>
      </c>
      <c r="G121" s="8">
        <v>-1.6899999999999998E-2</v>
      </c>
      <c r="H121" s="3">
        <f t="shared" si="1"/>
        <v>-1.6945086579142621E-2</v>
      </c>
    </row>
    <row r="122" spans="1:8" x14ac:dyDescent="0.3">
      <c r="A122" s="7">
        <v>45560</v>
      </c>
      <c r="B122">
        <v>908.42</v>
      </c>
      <c r="C122">
        <v>903</v>
      </c>
      <c r="D122">
        <v>910.36</v>
      </c>
      <c r="E122">
        <v>901.13</v>
      </c>
      <c r="F122" t="s">
        <v>88</v>
      </c>
      <c r="G122" s="8">
        <v>7.6E-3</v>
      </c>
      <c r="H122" s="3">
        <f t="shared" si="1"/>
        <v>7.6313862945627253E-3</v>
      </c>
    </row>
    <row r="123" spans="1:8" x14ac:dyDescent="0.3">
      <c r="A123" s="7">
        <v>45561</v>
      </c>
      <c r="B123">
        <v>901.44</v>
      </c>
      <c r="C123">
        <v>905.3</v>
      </c>
      <c r="D123">
        <v>909.24</v>
      </c>
      <c r="E123">
        <v>898.13</v>
      </c>
      <c r="F123" t="s">
        <v>206</v>
      </c>
      <c r="G123" s="8">
        <v>-7.7000000000000002E-3</v>
      </c>
      <c r="H123" s="3">
        <f t="shared" si="1"/>
        <v>-7.6836705488649848E-3</v>
      </c>
    </row>
    <row r="124" spans="1:8" x14ac:dyDescent="0.3">
      <c r="A124" s="7">
        <v>45562</v>
      </c>
      <c r="B124">
        <v>885.62</v>
      </c>
      <c r="C124">
        <v>893.26</v>
      </c>
      <c r="D124">
        <v>893.49</v>
      </c>
      <c r="E124">
        <v>874</v>
      </c>
      <c r="F124" t="s">
        <v>326</v>
      </c>
      <c r="G124" s="8">
        <v>-1.7500000000000002E-2</v>
      </c>
      <c r="H124" s="3">
        <f t="shared" si="1"/>
        <v>-1.7549698260560964E-2</v>
      </c>
    </row>
    <row r="125" spans="1:8" x14ac:dyDescent="0.3">
      <c r="A125" s="7">
        <v>45565</v>
      </c>
      <c r="B125">
        <v>886.52</v>
      </c>
      <c r="C125">
        <v>891.37</v>
      </c>
      <c r="D125">
        <v>910</v>
      </c>
      <c r="E125">
        <v>881.41</v>
      </c>
      <c r="F125" t="s">
        <v>252</v>
      </c>
      <c r="G125" s="8">
        <v>1E-3</v>
      </c>
      <c r="H125" s="3">
        <f t="shared" si="1"/>
        <v>1.0162372123483365E-3</v>
      </c>
    </row>
    <row r="126" spans="1:8" x14ac:dyDescent="0.3">
      <c r="A126" s="7">
        <v>45566</v>
      </c>
      <c r="B126">
        <v>877.38</v>
      </c>
      <c r="C126">
        <v>885.25</v>
      </c>
      <c r="D126">
        <v>886.99</v>
      </c>
      <c r="E126">
        <v>872.75</v>
      </c>
      <c r="F126" t="s">
        <v>250</v>
      </c>
      <c r="G126" s="8">
        <v>-1.03E-2</v>
      </c>
      <c r="H126" s="3">
        <f t="shared" si="1"/>
        <v>-1.0309976086269934E-2</v>
      </c>
    </row>
    <row r="127" spans="1:8" x14ac:dyDescent="0.3">
      <c r="A127" s="7">
        <v>45567</v>
      </c>
      <c r="B127">
        <v>878.53</v>
      </c>
      <c r="C127">
        <v>874.65</v>
      </c>
      <c r="D127">
        <v>881.23</v>
      </c>
      <c r="E127">
        <v>867.16</v>
      </c>
      <c r="F127" t="s">
        <v>73</v>
      </c>
      <c r="G127" s="8">
        <v>1.2999999999999999E-3</v>
      </c>
      <c r="H127" s="3">
        <f t="shared" si="1"/>
        <v>1.3107205543778644E-3</v>
      </c>
    </row>
    <row r="128" spans="1:8" x14ac:dyDescent="0.3">
      <c r="A128" s="7">
        <v>45568</v>
      </c>
      <c r="B128">
        <v>875.67</v>
      </c>
      <c r="C128">
        <v>874.44</v>
      </c>
      <c r="D128">
        <v>881.18</v>
      </c>
      <c r="E128">
        <v>872.66</v>
      </c>
      <c r="F128" t="s">
        <v>139</v>
      </c>
      <c r="G128" s="8">
        <v>-3.3E-3</v>
      </c>
      <c r="H128" s="3">
        <f t="shared" si="1"/>
        <v>-3.2554380613070144E-3</v>
      </c>
    </row>
    <row r="129" spans="1:8" x14ac:dyDescent="0.3">
      <c r="A129" s="7">
        <v>45569</v>
      </c>
      <c r="B129">
        <v>883.11</v>
      </c>
      <c r="C129">
        <v>877.99</v>
      </c>
      <c r="D129">
        <v>884.29</v>
      </c>
      <c r="E129">
        <v>875.67</v>
      </c>
      <c r="F129" t="s">
        <v>168</v>
      </c>
      <c r="G129" s="8">
        <v>8.5000000000000006E-3</v>
      </c>
      <c r="H129" s="3">
        <f t="shared" si="1"/>
        <v>8.4963513652402956E-3</v>
      </c>
    </row>
    <row r="130" spans="1:8" x14ac:dyDescent="0.3">
      <c r="A130" s="7">
        <v>45572</v>
      </c>
      <c r="B130">
        <v>873.59</v>
      </c>
      <c r="C130">
        <v>881.6</v>
      </c>
      <c r="D130">
        <v>887.71</v>
      </c>
      <c r="E130">
        <v>872.33</v>
      </c>
      <c r="F130" t="s">
        <v>188</v>
      </c>
      <c r="G130" s="8">
        <v>-1.0800000000000001E-2</v>
      </c>
      <c r="H130" s="3">
        <f t="shared" si="1"/>
        <v>-1.0780084021243086E-2</v>
      </c>
    </row>
    <row r="131" spans="1:8" x14ac:dyDescent="0.3">
      <c r="A131" s="7">
        <v>45573</v>
      </c>
      <c r="B131">
        <v>890.42</v>
      </c>
      <c r="C131">
        <v>876.7</v>
      </c>
      <c r="D131">
        <v>891.3</v>
      </c>
      <c r="E131">
        <v>876.7</v>
      </c>
      <c r="F131" t="s">
        <v>87</v>
      </c>
      <c r="G131" s="8">
        <v>1.9300000000000001E-2</v>
      </c>
      <c r="H131" s="3">
        <f t="shared" si="1"/>
        <v>1.9265330418159365E-2</v>
      </c>
    </row>
    <row r="132" spans="1:8" x14ac:dyDescent="0.3">
      <c r="A132" s="7">
        <v>45574</v>
      </c>
      <c r="B132">
        <v>909.1</v>
      </c>
      <c r="C132">
        <v>892.24</v>
      </c>
      <c r="D132">
        <v>910</v>
      </c>
      <c r="E132">
        <v>887.87</v>
      </c>
      <c r="F132" t="s">
        <v>188</v>
      </c>
      <c r="G132" s="8">
        <v>2.1000000000000001E-2</v>
      </c>
      <c r="H132" s="3">
        <f t="shared" ref="H132:H195" si="2">(B132/B131)-1</f>
        <v>2.0978863906920386E-2</v>
      </c>
    </row>
    <row r="133" spans="1:8" x14ac:dyDescent="0.3">
      <c r="A133" s="7">
        <v>45575</v>
      </c>
      <c r="B133">
        <v>893.63</v>
      </c>
      <c r="C133">
        <v>910</v>
      </c>
      <c r="D133">
        <v>910</v>
      </c>
      <c r="E133">
        <v>891.84</v>
      </c>
      <c r="F133" t="s">
        <v>121</v>
      </c>
      <c r="G133" s="8">
        <v>-1.7000000000000001E-2</v>
      </c>
      <c r="H133" s="3">
        <f t="shared" si="2"/>
        <v>-1.7016829831701719E-2</v>
      </c>
    </row>
    <row r="134" spans="1:8" x14ac:dyDescent="0.3">
      <c r="A134" s="7">
        <v>45576</v>
      </c>
      <c r="B134">
        <v>889.03</v>
      </c>
      <c r="C134">
        <v>894.5</v>
      </c>
      <c r="D134">
        <v>894.5</v>
      </c>
      <c r="E134">
        <v>885.5</v>
      </c>
      <c r="F134" t="s">
        <v>131</v>
      </c>
      <c r="G134" s="8">
        <v>-5.1000000000000004E-3</v>
      </c>
      <c r="H134" s="3">
        <f t="shared" si="2"/>
        <v>-5.1475442856663278E-3</v>
      </c>
    </row>
    <row r="135" spans="1:8" x14ac:dyDescent="0.3">
      <c r="A135" s="7">
        <v>45579</v>
      </c>
      <c r="B135">
        <v>889.76</v>
      </c>
      <c r="C135">
        <v>892.45</v>
      </c>
      <c r="D135">
        <v>895.17</v>
      </c>
      <c r="E135">
        <v>886.26</v>
      </c>
      <c r="F135" t="s">
        <v>101</v>
      </c>
      <c r="G135" s="8">
        <v>8.0000000000000004E-4</v>
      </c>
      <c r="H135" s="3">
        <f t="shared" si="2"/>
        <v>8.2111964725606335E-4</v>
      </c>
    </row>
    <row r="136" spans="1:8" x14ac:dyDescent="0.3">
      <c r="A136" s="7">
        <v>45580</v>
      </c>
      <c r="B136">
        <v>894.61</v>
      </c>
      <c r="C136">
        <v>892.09</v>
      </c>
      <c r="D136">
        <v>900.65</v>
      </c>
      <c r="E136">
        <v>889.55</v>
      </c>
      <c r="F136" t="s">
        <v>135</v>
      </c>
      <c r="G136" s="8">
        <v>5.4999999999999997E-3</v>
      </c>
      <c r="H136" s="3">
        <f t="shared" si="2"/>
        <v>5.4509081100522216E-3</v>
      </c>
    </row>
    <row r="137" spans="1:8" x14ac:dyDescent="0.3">
      <c r="A137" s="7">
        <v>45581</v>
      </c>
      <c r="B137">
        <v>887.38</v>
      </c>
      <c r="C137">
        <v>889.92</v>
      </c>
      <c r="D137">
        <v>891.33</v>
      </c>
      <c r="E137">
        <v>879.5</v>
      </c>
      <c r="F137" t="s">
        <v>256</v>
      </c>
      <c r="G137" s="8">
        <v>-8.0999999999999996E-3</v>
      </c>
      <c r="H137" s="3">
        <f t="shared" si="2"/>
        <v>-8.0817339399291699E-3</v>
      </c>
    </row>
    <row r="138" spans="1:8" x14ac:dyDescent="0.3">
      <c r="A138" s="7">
        <v>45582</v>
      </c>
      <c r="B138">
        <v>885.29</v>
      </c>
      <c r="C138">
        <v>891.55</v>
      </c>
      <c r="D138">
        <v>895.33</v>
      </c>
      <c r="E138">
        <v>882.8</v>
      </c>
      <c r="F138" t="s">
        <v>73</v>
      </c>
      <c r="G138" s="8">
        <v>-2.3999999999999998E-3</v>
      </c>
      <c r="H138" s="3">
        <f t="shared" si="2"/>
        <v>-2.3552480335369275E-3</v>
      </c>
    </row>
    <row r="139" spans="1:8" x14ac:dyDescent="0.3">
      <c r="A139" s="7">
        <v>45583</v>
      </c>
      <c r="B139">
        <v>889.56</v>
      </c>
      <c r="C139">
        <v>885.76</v>
      </c>
      <c r="D139">
        <v>890.61</v>
      </c>
      <c r="E139">
        <v>883.75</v>
      </c>
      <c r="F139" t="s">
        <v>66</v>
      </c>
      <c r="G139" s="8">
        <v>4.7999999999999996E-3</v>
      </c>
      <c r="H139" s="3">
        <f t="shared" si="2"/>
        <v>4.8232782478057068E-3</v>
      </c>
    </row>
    <row r="140" spans="1:8" x14ac:dyDescent="0.3">
      <c r="A140" s="7">
        <v>45586</v>
      </c>
      <c r="B140">
        <v>886.77</v>
      </c>
      <c r="C140">
        <v>889</v>
      </c>
      <c r="D140">
        <v>891.4</v>
      </c>
      <c r="E140">
        <v>883.7</v>
      </c>
      <c r="F140" t="s">
        <v>264</v>
      </c>
      <c r="G140" s="8">
        <v>-3.0999999999999999E-3</v>
      </c>
      <c r="H140" s="3">
        <f t="shared" si="2"/>
        <v>-3.1363820315660762E-3</v>
      </c>
    </row>
    <row r="141" spans="1:8" x14ac:dyDescent="0.3">
      <c r="A141" s="7">
        <v>45587</v>
      </c>
      <c r="B141">
        <v>893.49</v>
      </c>
      <c r="C141">
        <v>890.98</v>
      </c>
      <c r="D141">
        <v>894.89</v>
      </c>
      <c r="E141">
        <v>884.31</v>
      </c>
      <c r="F141" t="s">
        <v>69</v>
      </c>
      <c r="G141" s="8">
        <v>7.6E-3</v>
      </c>
      <c r="H141" s="3">
        <f t="shared" si="2"/>
        <v>7.5780642105620633E-3</v>
      </c>
    </row>
    <row r="142" spans="1:8" x14ac:dyDescent="0.3">
      <c r="A142" s="7">
        <v>45588</v>
      </c>
      <c r="B142">
        <v>899.17</v>
      </c>
      <c r="C142">
        <v>896.02</v>
      </c>
      <c r="D142">
        <v>905.68</v>
      </c>
      <c r="E142">
        <v>894.99</v>
      </c>
      <c r="F142" t="s">
        <v>43</v>
      </c>
      <c r="G142" s="8">
        <v>6.4000000000000003E-3</v>
      </c>
      <c r="H142" s="3">
        <f t="shared" si="2"/>
        <v>6.3570940917077046E-3</v>
      </c>
    </row>
    <row r="143" spans="1:8" x14ac:dyDescent="0.3">
      <c r="A143" s="7">
        <v>45589</v>
      </c>
      <c r="B143">
        <v>893.42</v>
      </c>
      <c r="C143">
        <v>901.5</v>
      </c>
      <c r="D143">
        <v>903.5</v>
      </c>
      <c r="E143">
        <v>888.26</v>
      </c>
      <c r="F143" t="s">
        <v>66</v>
      </c>
      <c r="G143" s="8">
        <v>-6.4000000000000003E-3</v>
      </c>
      <c r="H143" s="3">
        <f t="shared" si="2"/>
        <v>-6.3947863029237828E-3</v>
      </c>
    </row>
    <row r="144" spans="1:8" x14ac:dyDescent="0.3">
      <c r="A144" s="7">
        <v>45590</v>
      </c>
      <c r="B144">
        <v>891.22</v>
      </c>
      <c r="C144">
        <v>895.65</v>
      </c>
      <c r="D144">
        <v>901.62</v>
      </c>
      <c r="E144">
        <v>890</v>
      </c>
      <c r="F144" t="s">
        <v>101</v>
      </c>
      <c r="G144" s="8">
        <v>-2.5000000000000001E-3</v>
      </c>
      <c r="H144" s="3">
        <f t="shared" si="2"/>
        <v>-2.4624476729868672E-3</v>
      </c>
    </row>
    <row r="145" spans="1:8" x14ac:dyDescent="0.3">
      <c r="A145" s="7">
        <v>45593</v>
      </c>
      <c r="B145">
        <v>890.96</v>
      </c>
      <c r="C145">
        <v>895.99</v>
      </c>
      <c r="D145">
        <v>895.99</v>
      </c>
      <c r="E145">
        <v>890</v>
      </c>
      <c r="F145" t="s">
        <v>325</v>
      </c>
      <c r="G145" s="8">
        <v>-2.9999999999999997E-4</v>
      </c>
      <c r="H145" s="3">
        <f t="shared" si="2"/>
        <v>-2.9173492515877086E-4</v>
      </c>
    </row>
    <row r="146" spans="1:8" x14ac:dyDescent="0.3">
      <c r="A146" s="7">
        <v>45594</v>
      </c>
      <c r="B146">
        <v>886.99</v>
      </c>
      <c r="C146">
        <v>890</v>
      </c>
      <c r="D146">
        <v>891.17</v>
      </c>
      <c r="E146">
        <v>874.09</v>
      </c>
      <c r="F146" t="s">
        <v>126</v>
      </c>
      <c r="G146" s="8">
        <v>-4.4999999999999997E-3</v>
      </c>
      <c r="H146" s="3">
        <f t="shared" si="2"/>
        <v>-4.4558678279609243E-3</v>
      </c>
    </row>
    <row r="147" spans="1:8" x14ac:dyDescent="0.3">
      <c r="A147" s="7">
        <v>45595</v>
      </c>
      <c r="B147">
        <v>879.09</v>
      </c>
      <c r="C147">
        <v>886.38</v>
      </c>
      <c r="D147">
        <v>886.57</v>
      </c>
      <c r="E147">
        <v>877.37</v>
      </c>
      <c r="F147" t="s">
        <v>251</v>
      </c>
      <c r="G147" s="8">
        <v>-8.8999999999999999E-3</v>
      </c>
      <c r="H147" s="3">
        <f t="shared" si="2"/>
        <v>-8.9065265673795579E-3</v>
      </c>
    </row>
    <row r="148" spans="1:8" x14ac:dyDescent="0.3">
      <c r="A148" s="7">
        <v>45596</v>
      </c>
      <c r="B148">
        <v>874.18</v>
      </c>
      <c r="C148">
        <v>877.2</v>
      </c>
      <c r="D148">
        <v>877.65</v>
      </c>
      <c r="E148">
        <v>868.65</v>
      </c>
      <c r="F148" t="s">
        <v>121</v>
      </c>
      <c r="G148" s="8">
        <v>-5.5999999999999999E-3</v>
      </c>
      <c r="H148" s="3">
        <f t="shared" si="2"/>
        <v>-5.5853211844066886E-3</v>
      </c>
    </row>
    <row r="149" spans="1:8" x14ac:dyDescent="0.3">
      <c r="A149" s="7">
        <v>45597</v>
      </c>
      <c r="B149">
        <v>877.31</v>
      </c>
      <c r="C149">
        <v>874.27</v>
      </c>
      <c r="D149">
        <v>879.41</v>
      </c>
      <c r="E149">
        <v>867.34</v>
      </c>
      <c r="F149" t="s">
        <v>169</v>
      </c>
      <c r="G149" s="8">
        <v>3.5999999999999999E-3</v>
      </c>
      <c r="H149" s="3">
        <f t="shared" si="2"/>
        <v>3.580498295545631E-3</v>
      </c>
    </row>
    <row r="150" spans="1:8" x14ac:dyDescent="0.3">
      <c r="A150" s="7">
        <v>45600</v>
      </c>
      <c r="B150">
        <v>886.07</v>
      </c>
      <c r="C150">
        <v>881.34</v>
      </c>
      <c r="D150">
        <v>887</v>
      </c>
      <c r="E150">
        <v>876.73</v>
      </c>
      <c r="F150" t="s">
        <v>233</v>
      </c>
      <c r="G150" s="8">
        <v>0.01</v>
      </c>
      <c r="H150" s="3">
        <f t="shared" si="2"/>
        <v>9.9850679919299967E-3</v>
      </c>
    </row>
    <row r="151" spans="1:8" x14ac:dyDescent="0.3">
      <c r="A151" s="7">
        <v>45601</v>
      </c>
      <c r="B151">
        <v>890.17</v>
      </c>
      <c r="C151">
        <v>888</v>
      </c>
      <c r="D151">
        <v>895.58</v>
      </c>
      <c r="E151">
        <v>886.8</v>
      </c>
      <c r="F151" t="s">
        <v>95</v>
      </c>
      <c r="G151" s="8">
        <v>4.5999999999999999E-3</v>
      </c>
      <c r="H151" s="3">
        <f t="shared" si="2"/>
        <v>4.6271739253105348E-3</v>
      </c>
    </row>
    <row r="152" spans="1:8" x14ac:dyDescent="0.3">
      <c r="A152" s="7">
        <v>45602</v>
      </c>
      <c r="B152">
        <v>899.25</v>
      </c>
      <c r="C152">
        <v>898.28</v>
      </c>
      <c r="D152">
        <v>899.9</v>
      </c>
      <c r="E152">
        <v>886.28</v>
      </c>
      <c r="F152" t="s">
        <v>201</v>
      </c>
      <c r="G152" s="8">
        <v>1.0200000000000001E-2</v>
      </c>
      <c r="H152" s="3">
        <f t="shared" si="2"/>
        <v>1.0200298819326603E-2</v>
      </c>
    </row>
    <row r="153" spans="1:8" x14ac:dyDescent="0.3">
      <c r="A153" s="7">
        <v>45603</v>
      </c>
      <c r="B153">
        <v>913.93</v>
      </c>
      <c r="C153">
        <v>898.62</v>
      </c>
      <c r="D153">
        <v>919.48</v>
      </c>
      <c r="E153">
        <v>894.37</v>
      </c>
      <c r="F153" t="s">
        <v>252</v>
      </c>
      <c r="G153" s="8">
        <v>1.6299999999999999E-2</v>
      </c>
      <c r="H153" s="3">
        <f t="shared" si="2"/>
        <v>1.6324715040311411E-2</v>
      </c>
    </row>
    <row r="154" spans="1:8" x14ac:dyDescent="0.3">
      <c r="A154" s="7">
        <v>45604</v>
      </c>
      <c r="B154">
        <v>943.8</v>
      </c>
      <c r="C154">
        <v>914</v>
      </c>
      <c r="D154">
        <v>962</v>
      </c>
      <c r="E154">
        <v>913.75</v>
      </c>
      <c r="F154" t="s">
        <v>241</v>
      </c>
      <c r="G154" s="8">
        <v>3.27E-2</v>
      </c>
      <c r="H154" s="3">
        <f t="shared" si="2"/>
        <v>3.2683028240674927E-2</v>
      </c>
    </row>
    <row r="155" spans="1:8" x14ac:dyDescent="0.3">
      <c r="A155" s="7">
        <v>45607</v>
      </c>
      <c r="B155">
        <v>932.88</v>
      </c>
      <c r="C155">
        <v>943.8</v>
      </c>
      <c r="D155">
        <v>951.28</v>
      </c>
      <c r="E155">
        <v>931.43</v>
      </c>
      <c r="F155" t="s">
        <v>61</v>
      </c>
      <c r="G155" s="8">
        <v>-1.1599999999999999E-2</v>
      </c>
      <c r="H155" s="3">
        <f t="shared" si="2"/>
        <v>-1.1570247933884281E-2</v>
      </c>
    </row>
    <row r="156" spans="1:8" x14ac:dyDescent="0.3">
      <c r="A156" s="7">
        <v>45608</v>
      </c>
      <c r="B156">
        <v>932.38</v>
      </c>
      <c r="C156">
        <v>935.95</v>
      </c>
      <c r="D156">
        <v>939.56</v>
      </c>
      <c r="E156">
        <v>927</v>
      </c>
      <c r="F156" t="s">
        <v>106</v>
      </c>
      <c r="G156" s="8">
        <v>-5.0000000000000001E-4</v>
      </c>
      <c r="H156" s="3">
        <f t="shared" si="2"/>
        <v>-5.3597461624221854E-4</v>
      </c>
    </row>
    <row r="157" spans="1:8" x14ac:dyDescent="0.3">
      <c r="A157" s="7">
        <v>45609</v>
      </c>
      <c r="B157">
        <v>933.73</v>
      </c>
      <c r="C157">
        <v>930</v>
      </c>
      <c r="D157">
        <v>937.59</v>
      </c>
      <c r="E157">
        <v>923.2</v>
      </c>
      <c r="F157" t="s">
        <v>176</v>
      </c>
      <c r="G157" s="8">
        <v>1.4E-3</v>
      </c>
      <c r="H157" s="3">
        <f t="shared" si="2"/>
        <v>1.4479075055235935E-3</v>
      </c>
    </row>
    <row r="158" spans="1:8" x14ac:dyDescent="0.3">
      <c r="A158" s="7">
        <v>45610</v>
      </c>
      <c r="B158">
        <v>923.89</v>
      </c>
      <c r="C158">
        <v>927</v>
      </c>
      <c r="D158">
        <v>931.15</v>
      </c>
      <c r="E158">
        <v>922.17</v>
      </c>
      <c r="F158" t="s">
        <v>231</v>
      </c>
      <c r="G158" s="8">
        <v>-1.0500000000000001E-2</v>
      </c>
      <c r="H158" s="3">
        <f t="shared" si="2"/>
        <v>-1.0538378332066056E-2</v>
      </c>
    </row>
    <row r="159" spans="1:8" x14ac:dyDescent="0.3">
      <c r="A159" s="7">
        <v>45611</v>
      </c>
      <c r="B159">
        <v>907.07</v>
      </c>
      <c r="C159">
        <v>917.74</v>
      </c>
      <c r="D159">
        <v>920.55</v>
      </c>
      <c r="E159">
        <v>905.56</v>
      </c>
      <c r="F159" t="s">
        <v>36</v>
      </c>
      <c r="G159" s="8">
        <v>-1.8200000000000001E-2</v>
      </c>
      <c r="H159" s="3">
        <f t="shared" si="2"/>
        <v>-1.8205630540432227E-2</v>
      </c>
    </row>
    <row r="160" spans="1:8" x14ac:dyDescent="0.3">
      <c r="A160" s="7">
        <v>45614</v>
      </c>
      <c r="B160">
        <v>919.51</v>
      </c>
      <c r="C160">
        <v>910.64</v>
      </c>
      <c r="D160">
        <v>925.94</v>
      </c>
      <c r="E160">
        <v>907.11</v>
      </c>
      <c r="F160" t="s">
        <v>214</v>
      </c>
      <c r="G160" s="8">
        <v>1.37E-2</v>
      </c>
      <c r="H160" s="3">
        <f t="shared" si="2"/>
        <v>1.3714487305279466E-2</v>
      </c>
    </row>
    <row r="161" spans="1:8" x14ac:dyDescent="0.3">
      <c r="A161" s="7">
        <v>45615</v>
      </c>
      <c r="B161">
        <v>930.15</v>
      </c>
      <c r="C161">
        <v>928</v>
      </c>
      <c r="D161">
        <v>934</v>
      </c>
      <c r="E161">
        <v>916.36</v>
      </c>
      <c r="F161" t="s">
        <v>106</v>
      </c>
      <c r="G161" s="8">
        <v>1.1599999999999999E-2</v>
      </c>
      <c r="H161" s="3">
        <f t="shared" si="2"/>
        <v>1.157138040913086E-2</v>
      </c>
    </row>
    <row r="162" spans="1:8" x14ac:dyDescent="0.3">
      <c r="A162" s="7">
        <v>45616</v>
      </c>
      <c r="B162">
        <v>928.08</v>
      </c>
      <c r="C162">
        <v>925.08</v>
      </c>
      <c r="D162">
        <v>928.8</v>
      </c>
      <c r="E162">
        <v>916.5</v>
      </c>
      <c r="F162" t="s">
        <v>139</v>
      </c>
      <c r="G162" s="8">
        <v>-2.2000000000000001E-3</v>
      </c>
      <c r="H162" s="3">
        <f t="shared" si="2"/>
        <v>-2.2254475084663161E-3</v>
      </c>
    </row>
    <row r="163" spans="1:8" x14ac:dyDescent="0.3">
      <c r="A163" s="7">
        <v>45617</v>
      </c>
      <c r="B163">
        <v>955.65</v>
      </c>
      <c r="C163">
        <v>935</v>
      </c>
      <c r="D163">
        <v>958.49</v>
      </c>
      <c r="E163">
        <v>930</v>
      </c>
      <c r="F163" t="s">
        <v>44</v>
      </c>
      <c r="G163" s="8">
        <v>2.9700000000000001E-2</v>
      </c>
      <c r="H163" s="3">
        <f t="shared" si="2"/>
        <v>2.9706490819756848E-2</v>
      </c>
    </row>
    <row r="164" spans="1:8" x14ac:dyDescent="0.3">
      <c r="A164" s="7">
        <v>45618</v>
      </c>
      <c r="B164">
        <v>964.01</v>
      </c>
      <c r="C164">
        <v>962.74</v>
      </c>
      <c r="D164">
        <v>976.3</v>
      </c>
      <c r="E164">
        <v>958.52</v>
      </c>
      <c r="F164" t="s">
        <v>141</v>
      </c>
      <c r="G164" s="8">
        <v>8.6999999999999994E-3</v>
      </c>
      <c r="H164" s="3">
        <f t="shared" si="2"/>
        <v>8.7479725841050904E-3</v>
      </c>
    </row>
    <row r="165" spans="1:8" x14ac:dyDescent="0.3">
      <c r="A165" s="7">
        <v>45621</v>
      </c>
      <c r="B165">
        <v>960.89</v>
      </c>
      <c r="C165">
        <v>975</v>
      </c>
      <c r="D165">
        <v>975</v>
      </c>
      <c r="E165">
        <v>949.69</v>
      </c>
      <c r="F165" t="s">
        <v>302</v>
      </c>
      <c r="G165" s="8">
        <v>-3.2000000000000002E-3</v>
      </c>
      <c r="H165" s="3">
        <f t="shared" si="2"/>
        <v>-3.2364809493677926E-3</v>
      </c>
    </row>
    <row r="166" spans="1:8" x14ac:dyDescent="0.3">
      <c r="A166" s="7">
        <v>45622</v>
      </c>
      <c r="B166">
        <v>971.5</v>
      </c>
      <c r="C166">
        <v>964</v>
      </c>
      <c r="D166">
        <v>974.37</v>
      </c>
      <c r="E166">
        <v>960.89</v>
      </c>
      <c r="F166" t="s">
        <v>150</v>
      </c>
      <c r="G166" s="8">
        <v>1.0999999999999999E-2</v>
      </c>
      <c r="H166" s="3">
        <f t="shared" si="2"/>
        <v>1.104184662136154E-2</v>
      </c>
    </row>
    <row r="167" spans="1:8" x14ac:dyDescent="0.3">
      <c r="A167" s="7">
        <v>45623</v>
      </c>
      <c r="B167">
        <v>961.55</v>
      </c>
      <c r="C167">
        <v>971.46</v>
      </c>
      <c r="D167">
        <v>972.29</v>
      </c>
      <c r="E167">
        <v>958.59</v>
      </c>
      <c r="F167" t="s">
        <v>74</v>
      </c>
      <c r="G167" s="8">
        <v>-1.0200000000000001E-2</v>
      </c>
      <c r="H167" s="3">
        <f t="shared" si="2"/>
        <v>-1.0241893978384042E-2</v>
      </c>
    </row>
    <row r="168" spans="1:8" x14ac:dyDescent="0.3">
      <c r="A168" s="7">
        <v>45625</v>
      </c>
      <c r="B168">
        <v>971.88</v>
      </c>
      <c r="C168">
        <v>968.09</v>
      </c>
      <c r="D168">
        <v>973.27</v>
      </c>
      <c r="E168">
        <v>962.47</v>
      </c>
      <c r="F168" t="s">
        <v>261</v>
      </c>
      <c r="G168" s="8">
        <v>1.0699999999999999E-2</v>
      </c>
      <c r="H168" s="3">
        <f t="shared" si="2"/>
        <v>1.0743071083147093E-2</v>
      </c>
    </row>
    <row r="169" spans="1:8" x14ac:dyDescent="0.3">
      <c r="A169" s="7">
        <v>45628</v>
      </c>
      <c r="B169">
        <v>975</v>
      </c>
      <c r="C169">
        <v>971.36</v>
      </c>
      <c r="D169">
        <v>976.5</v>
      </c>
      <c r="E169">
        <v>964.76</v>
      </c>
      <c r="F169" t="s">
        <v>188</v>
      </c>
      <c r="G169" s="8">
        <v>3.2000000000000002E-3</v>
      </c>
      <c r="H169" s="3">
        <f t="shared" si="2"/>
        <v>3.2102728731941976E-3</v>
      </c>
    </row>
    <row r="170" spans="1:8" x14ac:dyDescent="0.3">
      <c r="A170" s="7">
        <v>45629</v>
      </c>
      <c r="B170">
        <v>982.15</v>
      </c>
      <c r="C170">
        <v>974.69</v>
      </c>
      <c r="D170">
        <v>983</v>
      </c>
      <c r="E170">
        <v>970.76</v>
      </c>
      <c r="F170" t="s">
        <v>66</v>
      </c>
      <c r="G170" s="8">
        <v>7.3000000000000001E-3</v>
      </c>
      <c r="H170" s="3">
        <f t="shared" si="2"/>
        <v>7.3333333333334139E-3</v>
      </c>
    </row>
    <row r="171" spans="1:8" x14ac:dyDescent="0.3">
      <c r="A171" s="7">
        <v>45630</v>
      </c>
      <c r="B171">
        <v>990.92</v>
      </c>
      <c r="C171">
        <v>982</v>
      </c>
      <c r="D171">
        <v>991.15</v>
      </c>
      <c r="E171">
        <v>977.55</v>
      </c>
      <c r="F171" t="s">
        <v>100</v>
      </c>
      <c r="G171" s="8">
        <v>8.8999999999999999E-3</v>
      </c>
      <c r="H171" s="3">
        <f t="shared" si="2"/>
        <v>8.9293896044391197E-3</v>
      </c>
    </row>
    <row r="172" spans="1:8" x14ac:dyDescent="0.3">
      <c r="A172" s="7">
        <v>45631</v>
      </c>
      <c r="B172">
        <v>982.26</v>
      </c>
      <c r="C172">
        <v>986.66</v>
      </c>
      <c r="D172">
        <v>990.13</v>
      </c>
      <c r="E172">
        <v>978.2</v>
      </c>
      <c r="F172" t="s">
        <v>83</v>
      </c>
      <c r="G172" s="8">
        <v>-8.6999999999999994E-3</v>
      </c>
      <c r="H172" s="3">
        <f t="shared" si="2"/>
        <v>-8.7393533282201785E-3</v>
      </c>
    </row>
    <row r="173" spans="1:8" x14ac:dyDescent="0.3">
      <c r="A173" s="7">
        <v>45632</v>
      </c>
      <c r="B173">
        <v>992.61</v>
      </c>
      <c r="C173">
        <v>982.26</v>
      </c>
      <c r="D173">
        <v>997.71</v>
      </c>
      <c r="E173">
        <v>982.26</v>
      </c>
      <c r="F173" t="s">
        <v>132</v>
      </c>
      <c r="G173" s="8">
        <v>1.0500000000000001E-2</v>
      </c>
      <c r="H173" s="3">
        <f t="shared" si="2"/>
        <v>1.0536925050393942E-2</v>
      </c>
    </row>
    <row r="174" spans="1:8" x14ac:dyDescent="0.3">
      <c r="A174" s="7">
        <v>45635</v>
      </c>
      <c r="B174">
        <v>987.86</v>
      </c>
      <c r="C174">
        <v>997.01</v>
      </c>
      <c r="D174">
        <v>997.01</v>
      </c>
      <c r="E174">
        <v>980.5</v>
      </c>
      <c r="F174" t="s">
        <v>231</v>
      </c>
      <c r="G174" s="8">
        <v>-4.7999999999999996E-3</v>
      </c>
      <c r="H174" s="3">
        <f t="shared" si="2"/>
        <v>-4.785363838768486E-3</v>
      </c>
    </row>
    <row r="175" spans="1:8" x14ac:dyDescent="0.3">
      <c r="A175" s="7">
        <v>45636</v>
      </c>
      <c r="B175">
        <v>993.4</v>
      </c>
      <c r="C175">
        <v>989.73</v>
      </c>
      <c r="D175">
        <v>994.99</v>
      </c>
      <c r="E175">
        <v>985.88</v>
      </c>
      <c r="F175" t="s">
        <v>119</v>
      </c>
      <c r="G175" s="8">
        <v>5.5999999999999999E-3</v>
      </c>
      <c r="H175" s="3">
        <f t="shared" si="2"/>
        <v>5.6080821168991157E-3</v>
      </c>
    </row>
    <row r="176" spans="1:8" x14ac:dyDescent="0.3">
      <c r="A176" s="7">
        <v>45637</v>
      </c>
      <c r="B176">
        <v>994.69</v>
      </c>
      <c r="C176">
        <v>995</v>
      </c>
      <c r="D176" s="9">
        <v>1007.8</v>
      </c>
      <c r="E176">
        <v>993.59</v>
      </c>
      <c r="F176" t="s">
        <v>70</v>
      </c>
      <c r="G176" s="8">
        <v>1.2999999999999999E-3</v>
      </c>
      <c r="H176" s="3">
        <f t="shared" si="2"/>
        <v>1.2985705657340141E-3</v>
      </c>
    </row>
    <row r="177" spans="1:8" x14ac:dyDescent="0.3">
      <c r="A177" s="7">
        <v>45638</v>
      </c>
      <c r="B177">
        <v>988.39</v>
      </c>
      <c r="C177" s="9">
        <v>1001.68</v>
      </c>
      <c r="D177" s="9">
        <v>1002.47</v>
      </c>
      <c r="E177">
        <v>987.21</v>
      </c>
      <c r="F177" t="s">
        <v>223</v>
      </c>
      <c r="G177" s="8">
        <v>-6.3E-3</v>
      </c>
      <c r="H177" s="3">
        <f t="shared" si="2"/>
        <v>-6.3336315837095869E-3</v>
      </c>
    </row>
    <row r="178" spans="1:8" x14ac:dyDescent="0.3">
      <c r="A178" s="7">
        <v>45639</v>
      </c>
      <c r="B178">
        <v>989.35</v>
      </c>
      <c r="C178">
        <v>981</v>
      </c>
      <c r="D178" s="9">
        <v>1006.68</v>
      </c>
      <c r="E178">
        <v>965.73</v>
      </c>
      <c r="F178" t="s">
        <v>108</v>
      </c>
      <c r="G178" s="8">
        <v>1E-3</v>
      </c>
      <c r="H178" s="3">
        <f t="shared" si="2"/>
        <v>9.7127652040196466E-4</v>
      </c>
    </row>
    <row r="179" spans="1:8" x14ac:dyDescent="0.3">
      <c r="A179" s="7">
        <v>45642</v>
      </c>
      <c r="B179">
        <v>992.87</v>
      </c>
      <c r="C179">
        <v>989.04</v>
      </c>
      <c r="D179" s="9">
        <v>1008.25</v>
      </c>
      <c r="E179">
        <v>986.37</v>
      </c>
      <c r="F179" t="s">
        <v>99</v>
      </c>
      <c r="G179" s="8">
        <v>3.5999999999999999E-3</v>
      </c>
      <c r="H179" s="3">
        <f t="shared" si="2"/>
        <v>3.557891544953673E-3</v>
      </c>
    </row>
    <row r="180" spans="1:8" x14ac:dyDescent="0.3">
      <c r="A180" s="7">
        <v>45643</v>
      </c>
      <c r="B180">
        <v>982.08</v>
      </c>
      <c r="C180">
        <v>994</v>
      </c>
      <c r="D180">
        <v>996.92</v>
      </c>
      <c r="E180">
        <v>980.76</v>
      </c>
      <c r="F180" t="s">
        <v>138</v>
      </c>
      <c r="G180" s="8">
        <v>-1.09E-2</v>
      </c>
      <c r="H180" s="3">
        <f t="shared" si="2"/>
        <v>-1.086748516925673E-2</v>
      </c>
    </row>
    <row r="181" spans="1:8" x14ac:dyDescent="0.3">
      <c r="A181" s="7">
        <v>45644</v>
      </c>
      <c r="B181">
        <v>964.74</v>
      </c>
      <c r="C181">
        <v>982</v>
      </c>
      <c r="D181">
        <v>985.6</v>
      </c>
      <c r="E181">
        <v>964</v>
      </c>
      <c r="F181" t="s">
        <v>244</v>
      </c>
      <c r="G181" s="8">
        <v>-1.77E-2</v>
      </c>
      <c r="H181" s="3">
        <f t="shared" si="2"/>
        <v>-1.7656402737047938E-2</v>
      </c>
    </row>
    <row r="182" spans="1:8" x14ac:dyDescent="0.3">
      <c r="A182" s="7">
        <v>45645</v>
      </c>
      <c r="B182">
        <v>954.8</v>
      </c>
      <c r="C182">
        <v>974.51</v>
      </c>
      <c r="D182">
        <v>974.64</v>
      </c>
      <c r="E182">
        <v>953.51</v>
      </c>
      <c r="F182" t="s">
        <v>39</v>
      </c>
      <c r="G182" s="8">
        <v>-1.03E-2</v>
      </c>
      <c r="H182" s="3">
        <f t="shared" si="2"/>
        <v>-1.0303294151792208E-2</v>
      </c>
    </row>
    <row r="183" spans="1:8" x14ac:dyDescent="0.3">
      <c r="A183" s="7">
        <v>45646</v>
      </c>
      <c r="B183">
        <v>954.07</v>
      </c>
      <c r="C183">
        <v>949.39</v>
      </c>
      <c r="D183">
        <v>961.94</v>
      </c>
      <c r="E183">
        <v>943.05</v>
      </c>
      <c r="F183" t="s">
        <v>318</v>
      </c>
      <c r="G183" s="8">
        <v>-8.0000000000000004E-4</v>
      </c>
      <c r="H183" s="3">
        <f t="shared" si="2"/>
        <v>-7.6455802262243022E-4</v>
      </c>
    </row>
    <row r="184" spans="1:8" x14ac:dyDescent="0.3">
      <c r="A184" s="7">
        <v>45649</v>
      </c>
      <c r="B184">
        <v>949.91</v>
      </c>
      <c r="C184">
        <v>953.88</v>
      </c>
      <c r="D184">
        <v>954.26</v>
      </c>
      <c r="E184">
        <v>937</v>
      </c>
      <c r="F184" t="s">
        <v>231</v>
      </c>
      <c r="G184" s="8">
        <v>-4.4000000000000003E-3</v>
      </c>
      <c r="H184" s="3">
        <f t="shared" si="2"/>
        <v>-4.3602670663579479E-3</v>
      </c>
    </row>
    <row r="185" spans="1:8" x14ac:dyDescent="0.3">
      <c r="A185" s="7">
        <v>45650</v>
      </c>
      <c r="B185">
        <v>958.82</v>
      </c>
      <c r="C185">
        <v>950.74</v>
      </c>
      <c r="D185">
        <v>959.38</v>
      </c>
      <c r="E185">
        <v>945.45</v>
      </c>
      <c r="F185" t="s">
        <v>324</v>
      </c>
      <c r="G185" s="8">
        <v>9.4000000000000004E-3</v>
      </c>
      <c r="H185" s="3">
        <f t="shared" si="2"/>
        <v>9.3798359844616819E-3</v>
      </c>
    </row>
    <row r="186" spans="1:8" x14ac:dyDescent="0.3">
      <c r="A186" s="7">
        <v>45652</v>
      </c>
      <c r="B186">
        <v>956.14</v>
      </c>
      <c r="C186">
        <v>956.82</v>
      </c>
      <c r="D186">
        <v>959.41</v>
      </c>
      <c r="E186">
        <v>954</v>
      </c>
      <c r="F186" t="s">
        <v>323</v>
      </c>
      <c r="G186" s="8">
        <v>-2.8E-3</v>
      </c>
      <c r="H186" s="3">
        <f t="shared" si="2"/>
        <v>-2.7951023132600783E-3</v>
      </c>
    </row>
    <row r="187" spans="1:8" x14ac:dyDescent="0.3">
      <c r="A187" s="7">
        <v>45653</v>
      </c>
      <c r="B187">
        <v>939.7</v>
      </c>
      <c r="C187">
        <v>948.72</v>
      </c>
      <c r="D187">
        <v>950.45</v>
      </c>
      <c r="E187">
        <v>932</v>
      </c>
      <c r="F187" t="s">
        <v>134</v>
      </c>
      <c r="G187" s="8">
        <v>-1.72E-2</v>
      </c>
      <c r="H187" s="3">
        <f t="shared" si="2"/>
        <v>-1.7194134750141088E-2</v>
      </c>
    </row>
    <row r="188" spans="1:8" x14ac:dyDescent="0.3">
      <c r="A188" s="7">
        <v>45656</v>
      </c>
      <c r="B188">
        <v>922.21</v>
      </c>
      <c r="C188">
        <v>931</v>
      </c>
      <c r="D188">
        <v>934.17</v>
      </c>
      <c r="E188">
        <v>915.5</v>
      </c>
      <c r="F188" t="s">
        <v>96</v>
      </c>
      <c r="G188" s="8">
        <v>-1.8599999999999998E-2</v>
      </c>
      <c r="H188" s="3">
        <f t="shared" si="2"/>
        <v>-1.8612323081834692E-2</v>
      </c>
    </row>
    <row r="189" spans="1:8" x14ac:dyDescent="0.3">
      <c r="A189" s="7">
        <v>45657</v>
      </c>
      <c r="B189">
        <v>916.27</v>
      </c>
      <c r="C189">
        <v>923.65</v>
      </c>
      <c r="D189">
        <v>924.74</v>
      </c>
      <c r="E189">
        <v>912.54</v>
      </c>
      <c r="F189" t="s">
        <v>132</v>
      </c>
      <c r="G189" s="8">
        <v>-6.4000000000000003E-3</v>
      </c>
      <c r="H189" s="3">
        <f t="shared" si="2"/>
        <v>-6.4410492187246815E-3</v>
      </c>
    </row>
    <row r="190" spans="1:8" x14ac:dyDescent="0.3">
      <c r="A190" s="7">
        <v>45659</v>
      </c>
      <c r="B190">
        <v>909.81</v>
      </c>
      <c r="C190">
        <v>915</v>
      </c>
      <c r="D190">
        <v>925.77</v>
      </c>
      <c r="E190">
        <v>902</v>
      </c>
      <c r="F190" t="s">
        <v>121</v>
      </c>
      <c r="G190" s="8">
        <v>-7.1000000000000004E-3</v>
      </c>
      <c r="H190" s="3">
        <f t="shared" si="2"/>
        <v>-7.0503235945736931E-3</v>
      </c>
    </row>
    <row r="191" spans="1:8" x14ac:dyDescent="0.3">
      <c r="A191" s="7">
        <v>45660</v>
      </c>
      <c r="B191">
        <v>916.58</v>
      </c>
      <c r="C191">
        <v>914.33</v>
      </c>
      <c r="D191">
        <v>924.21</v>
      </c>
      <c r="E191">
        <v>911</v>
      </c>
      <c r="F191" t="s">
        <v>135</v>
      </c>
      <c r="G191" s="8">
        <v>7.4000000000000003E-3</v>
      </c>
      <c r="H191" s="3">
        <f t="shared" si="2"/>
        <v>7.4411140787637997E-3</v>
      </c>
    </row>
    <row r="192" spans="1:8" x14ac:dyDescent="0.3">
      <c r="A192" s="7">
        <v>45663</v>
      </c>
      <c r="B192">
        <v>922.71</v>
      </c>
      <c r="C192">
        <v>917.98</v>
      </c>
      <c r="D192">
        <v>927.41</v>
      </c>
      <c r="E192">
        <v>913.27</v>
      </c>
      <c r="F192" t="s">
        <v>199</v>
      </c>
      <c r="G192" s="8">
        <v>6.7000000000000002E-3</v>
      </c>
      <c r="H192" s="3">
        <f t="shared" si="2"/>
        <v>6.6879050382944172E-3</v>
      </c>
    </row>
    <row r="193" spans="1:8" x14ac:dyDescent="0.3">
      <c r="A193" s="7">
        <v>45664</v>
      </c>
      <c r="B193">
        <v>921.37</v>
      </c>
      <c r="C193">
        <v>923.84</v>
      </c>
      <c r="D193">
        <v>931.3</v>
      </c>
      <c r="E193">
        <v>916.43</v>
      </c>
      <c r="F193" t="s">
        <v>46</v>
      </c>
      <c r="G193" s="8">
        <v>-1.5E-3</v>
      </c>
      <c r="H193" s="3">
        <f t="shared" si="2"/>
        <v>-1.4522439336303039E-3</v>
      </c>
    </row>
    <row r="194" spans="1:8" x14ac:dyDescent="0.3">
      <c r="A194" s="7">
        <v>45665</v>
      </c>
      <c r="B194">
        <v>927.37</v>
      </c>
      <c r="C194">
        <v>922.97</v>
      </c>
      <c r="D194">
        <v>930.5</v>
      </c>
      <c r="E194">
        <v>915.41</v>
      </c>
      <c r="F194" t="s">
        <v>121</v>
      </c>
      <c r="G194" s="8">
        <v>6.4999999999999997E-3</v>
      </c>
      <c r="H194" s="3">
        <f t="shared" si="2"/>
        <v>6.5120418507222944E-3</v>
      </c>
    </row>
    <row r="195" spans="1:8" x14ac:dyDescent="0.3">
      <c r="A195" s="7">
        <v>45667</v>
      </c>
      <c r="B195">
        <v>936.94</v>
      </c>
      <c r="C195">
        <v>933.36</v>
      </c>
      <c r="D195">
        <v>944.28</v>
      </c>
      <c r="E195">
        <v>923.5</v>
      </c>
      <c r="F195" t="s">
        <v>312</v>
      </c>
      <c r="G195" s="8">
        <v>1.03E-2</v>
      </c>
      <c r="H195" s="3">
        <f t="shared" si="2"/>
        <v>1.0319505698912046E-2</v>
      </c>
    </row>
    <row r="196" spans="1:8" x14ac:dyDescent="0.3">
      <c r="A196" s="7">
        <v>45670</v>
      </c>
      <c r="B196">
        <v>924.7</v>
      </c>
      <c r="C196">
        <v>934</v>
      </c>
      <c r="D196">
        <v>934.99</v>
      </c>
      <c r="E196">
        <v>921</v>
      </c>
      <c r="F196" t="s">
        <v>106</v>
      </c>
      <c r="G196" s="8">
        <v>-1.3100000000000001E-2</v>
      </c>
      <c r="H196" s="3">
        <f t="shared" ref="H196:H250" si="3">(B196/B195)-1</f>
        <v>-1.3063803445257927E-2</v>
      </c>
    </row>
    <row r="197" spans="1:8" x14ac:dyDescent="0.3">
      <c r="A197" s="7">
        <v>45671</v>
      </c>
      <c r="B197">
        <v>917.23</v>
      </c>
      <c r="C197">
        <v>924.3</v>
      </c>
      <c r="D197">
        <v>927.76</v>
      </c>
      <c r="E197">
        <v>909.92</v>
      </c>
      <c r="F197" t="s">
        <v>279</v>
      </c>
      <c r="G197" s="8">
        <v>-8.0999999999999996E-3</v>
      </c>
      <c r="H197" s="3">
        <f t="shared" si="3"/>
        <v>-8.0782956634584124E-3</v>
      </c>
    </row>
    <row r="198" spans="1:8" x14ac:dyDescent="0.3">
      <c r="A198" s="7">
        <v>45672</v>
      </c>
      <c r="B198">
        <v>923.5</v>
      </c>
      <c r="C198">
        <v>927.26</v>
      </c>
      <c r="D198">
        <v>932.87</v>
      </c>
      <c r="E198">
        <v>918.3</v>
      </c>
      <c r="F198" t="s">
        <v>250</v>
      </c>
      <c r="G198" s="8">
        <v>6.7999999999999996E-3</v>
      </c>
      <c r="H198" s="3">
        <f t="shared" si="3"/>
        <v>6.835799090740613E-3</v>
      </c>
    </row>
    <row r="199" spans="1:8" x14ac:dyDescent="0.3">
      <c r="A199" s="7">
        <v>45673</v>
      </c>
      <c r="B199">
        <v>919.75</v>
      </c>
      <c r="C199">
        <v>924.73</v>
      </c>
      <c r="D199">
        <v>927.4</v>
      </c>
      <c r="E199">
        <v>917.82</v>
      </c>
      <c r="F199" t="s">
        <v>136</v>
      </c>
      <c r="G199" s="8">
        <v>-4.1000000000000003E-3</v>
      </c>
      <c r="H199" s="3">
        <f t="shared" si="3"/>
        <v>-4.0606388738494426E-3</v>
      </c>
    </row>
    <row r="200" spans="1:8" x14ac:dyDescent="0.3">
      <c r="A200" s="7">
        <v>45674</v>
      </c>
      <c r="B200">
        <v>943.19</v>
      </c>
      <c r="C200">
        <v>930</v>
      </c>
      <c r="D200">
        <v>943.8</v>
      </c>
      <c r="E200">
        <v>924.57</v>
      </c>
      <c r="F200" t="s">
        <v>28</v>
      </c>
      <c r="G200" s="8">
        <v>2.5499999999999998E-2</v>
      </c>
      <c r="H200" s="3">
        <f t="shared" si="3"/>
        <v>2.54851861919001E-2</v>
      </c>
    </row>
    <row r="201" spans="1:8" x14ac:dyDescent="0.3">
      <c r="A201" s="7">
        <v>45678</v>
      </c>
      <c r="B201">
        <v>947.73</v>
      </c>
      <c r="C201">
        <v>945.25</v>
      </c>
      <c r="D201">
        <v>956.55</v>
      </c>
      <c r="E201">
        <v>943.5</v>
      </c>
      <c r="F201" t="s">
        <v>98</v>
      </c>
      <c r="G201" s="8">
        <v>4.7999999999999996E-3</v>
      </c>
      <c r="H201" s="3">
        <f t="shared" si="3"/>
        <v>4.8134522206553232E-3</v>
      </c>
    </row>
    <row r="202" spans="1:8" x14ac:dyDescent="0.3">
      <c r="A202" s="7">
        <v>45679</v>
      </c>
      <c r="B202">
        <v>944.7</v>
      </c>
      <c r="C202">
        <v>951.22</v>
      </c>
      <c r="D202">
        <v>951.94</v>
      </c>
      <c r="E202">
        <v>939.24</v>
      </c>
      <c r="F202" t="s">
        <v>252</v>
      </c>
      <c r="G202" s="8">
        <v>-3.2000000000000002E-3</v>
      </c>
      <c r="H202" s="3">
        <f t="shared" si="3"/>
        <v>-3.1971131018327936E-3</v>
      </c>
    </row>
    <row r="203" spans="1:8" x14ac:dyDescent="0.3">
      <c r="A203" s="7">
        <v>45680</v>
      </c>
      <c r="B203">
        <v>942.16</v>
      </c>
      <c r="C203">
        <v>941.69</v>
      </c>
      <c r="D203">
        <v>943.39</v>
      </c>
      <c r="E203">
        <v>936.48</v>
      </c>
      <c r="F203" t="s">
        <v>136</v>
      </c>
      <c r="G203" s="8">
        <v>-2.7000000000000001E-3</v>
      </c>
      <c r="H203" s="3">
        <f t="shared" si="3"/>
        <v>-2.6886842383826437E-3</v>
      </c>
    </row>
    <row r="204" spans="1:8" x14ac:dyDescent="0.3">
      <c r="A204" s="7">
        <v>45681</v>
      </c>
      <c r="B204">
        <v>939.68</v>
      </c>
      <c r="C204">
        <v>942.16</v>
      </c>
      <c r="D204">
        <v>946.04</v>
      </c>
      <c r="E204">
        <v>933.55</v>
      </c>
      <c r="F204" t="s">
        <v>119</v>
      </c>
      <c r="G204" s="8">
        <v>-2.5999999999999999E-3</v>
      </c>
      <c r="H204" s="3">
        <f t="shared" si="3"/>
        <v>-2.6322492994820257E-3</v>
      </c>
    </row>
    <row r="205" spans="1:8" x14ac:dyDescent="0.3">
      <c r="A205" s="7">
        <v>45684</v>
      </c>
      <c r="B205">
        <v>965.25</v>
      </c>
      <c r="C205">
        <v>930</v>
      </c>
      <c r="D205">
        <v>966.99</v>
      </c>
      <c r="E205">
        <v>927.18</v>
      </c>
      <c r="F205" t="s">
        <v>320</v>
      </c>
      <c r="G205" s="8">
        <v>2.7199999999999998E-2</v>
      </c>
      <c r="H205" s="3">
        <f t="shared" si="3"/>
        <v>2.7211391111867878E-2</v>
      </c>
    </row>
    <row r="206" spans="1:8" x14ac:dyDescent="0.3">
      <c r="A206" s="7">
        <v>45685</v>
      </c>
      <c r="B206">
        <v>958.67</v>
      </c>
      <c r="C206">
        <v>961.83</v>
      </c>
      <c r="D206">
        <v>965.71</v>
      </c>
      <c r="E206">
        <v>954.07</v>
      </c>
      <c r="F206" t="s">
        <v>202</v>
      </c>
      <c r="G206" s="8">
        <v>-6.7999999999999996E-3</v>
      </c>
      <c r="H206" s="3">
        <f t="shared" si="3"/>
        <v>-6.8168868168868579E-3</v>
      </c>
    </row>
    <row r="207" spans="1:8" x14ac:dyDescent="0.3">
      <c r="A207" s="7">
        <v>45686</v>
      </c>
      <c r="B207">
        <v>964.02</v>
      </c>
      <c r="C207">
        <v>957.8</v>
      </c>
      <c r="D207">
        <v>968.26</v>
      </c>
      <c r="E207">
        <v>955</v>
      </c>
      <c r="F207" t="s">
        <v>59</v>
      </c>
      <c r="G207" s="8">
        <v>5.5999999999999999E-3</v>
      </c>
      <c r="H207" s="3">
        <f t="shared" si="3"/>
        <v>5.5806481896794047E-3</v>
      </c>
    </row>
    <row r="208" spans="1:8" x14ac:dyDescent="0.3">
      <c r="A208" s="7">
        <v>45687</v>
      </c>
      <c r="B208">
        <v>979.01</v>
      </c>
      <c r="C208">
        <v>970.3</v>
      </c>
      <c r="D208">
        <v>986.75</v>
      </c>
      <c r="E208">
        <v>970.1</v>
      </c>
      <c r="F208" t="s">
        <v>191</v>
      </c>
      <c r="G208" s="8">
        <v>1.55E-2</v>
      </c>
      <c r="H208" s="3">
        <f t="shared" si="3"/>
        <v>1.5549469928009874E-2</v>
      </c>
    </row>
    <row r="209" spans="1:8" x14ac:dyDescent="0.3">
      <c r="A209" s="7">
        <v>45688</v>
      </c>
      <c r="B209">
        <v>979.88</v>
      </c>
      <c r="C209">
        <v>976.24</v>
      </c>
      <c r="D209">
        <v>991</v>
      </c>
      <c r="E209">
        <v>975.78</v>
      </c>
      <c r="F209" t="s">
        <v>96</v>
      </c>
      <c r="G209" s="8">
        <v>8.9999999999999998E-4</v>
      </c>
      <c r="H209" s="3">
        <f t="shared" si="3"/>
        <v>8.8865282274941393E-4</v>
      </c>
    </row>
    <row r="210" spans="1:8" x14ac:dyDescent="0.3">
      <c r="A210" s="7">
        <v>45691</v>
      </c>
      <c r="B210" s="9">
        <v>1005.83</v>
      </c>
      <c r="C210">
        <v>972.39</v>
      </c>
      <c r="D210" s="9">
        <v>1009.61</v>
      </c>
      <c r="E210">
        <v>968.94</v>
      </c>
      <c r="F210" t="s">
        <v>71</v>
      </c>
      <c r="G210" s="8">
        <v>2.6499999999999999E-2</v>
      </c>
      <c r="H210" s="3">
        <f t="shared" si="3"/>
        <v>2.6482834632812313E-2</v>
      </c>
    </row>
    <row r="211" spans="1:8" x14ac:dyDescent="0.3">
      <c r="A211" s="7">
        <v>45692</v>
      </c>
      <c r="B211" s="9">
        <v>1021.86</v>
      </c>
      <c r="C211" s="9">
        <v>1005.4</v>
      </c>
      <c r="D211" s="9">
        <v>1024.3499999999999</v>
      </c>
      <c r="E211">
        <v>999.65</v>
      </c>
      <c r="F211" t="s">
        <v>107</v>
      </c>
      <c r="G211" s="8">
        <v>1.5900000000000001E-2</v>
      </c>
      <c r="H211" s="3">
        <f t="shared" si="3"/>
        <v>1.5937086784048926E-2</v>
      </c>
    </row>
    <row r="212" spans="1:8" x14ac:dyDescent="0.3">
      <c r="A212" s="7">
        <v>45693</v>
      </c>
      <c r="B212" s="9">
        <v>1042.8800000000001</v>
      </c>
      <c r="C212" s="9">
        <v>1020</v>
      </c>
      <c r="D212" s="9">
        <v>1043.0899999999999</v>
      </c>
      <c r="E212" s="9">
        <v>1020</v>
      </c>
      <c r="F212" t="s">
        <v>138</v>
      </c>
      <c r="G212" s="8">
        <v>2.06E-2</v>
      </c>
      <c r="H212" s="3">
        <f t="shared" si="3"/>
        <v>2.0570332530875257E-2</v>
      </c>
    </row>
    <row r="213" spans="1:8" x14ac:dyDescent="0.3">
      <c r="A213" s="7">
        <v>45694</v>
      </c>
      <c r="B213" s="9">
        <v>1050.99</v>
      </c>
      <c r="C213" s="9">
        <v>1050</v>
      </c>
      <c r="D213" s="9">
        <v>1063</v>
      </c>
      <c r="E213" s="9">
        <v>1044.2</v>
      </c>
      <c r="F213" t="s">
        <v>189</v>
      </c>
      <c r="G213" s="8">
        <v>7.7999999999999996E-3</v>
      </c>
      <c r="H213" s="3">
        <f t="shared" si="3"/>
        <v>7.7765418840134437E-3</v>
      </c>
    </row>
    <row r="214" spans="1:8" x14ac:dyDescent="0.3">
      <c r="A214" s="7">
        <v>45695</v>
      </c>
      <c r="B214" s="9">
        <v>1043.81</v>
      </c>
      <c r="C214" s="9">
        <v>1047</v>
      </c>
      <c r="D214" s="9">
        <v>1056.71</v>
      </c>
      <c r="E214" s="9">
        <v>1035.51</v>
      </c>
      <c r="F214" t="s">
        <v>169</v>
      </c>
      <c r="G214" s="8">
        <v>-6.7999999999999996E-3</v>
      </c>
      <c r="H214" s="3">
        <f t="shared" si="3"/>
        <v>-6.8316539643574759E-3</v>
      </c>
    </row>
    <row r="215" spans="1:8" x14ac:dyDescent="0.3">
      <c r="A215" s="7">
        <v>45698</v>
      </c>
      <c r="B215" s="9">
        <v>1061.92</v>
      </c>
      <c r="C215" s="9">
        <v>1052</v>
      </c>
      <c r="D215" s="9">
        <v>1063</v>
      </c>
      <c r="E215" s="9">
        <v>1046</v>
      </c>
      <c r="F215" t="s">
        <v>98</v>
      </c>
      <c r="G215" s="8">
        <v>1.7299999999999999E-2</v>
      </c>
      <c r="H215" s="3">
        <f t="shared" si="3"/>
        <v>1.7349900844023436E-2</v>
      </c>
    </row>
    <row r="216" spans="1:8" x14ac:dyDescent="0.3">
      <c r="A216" s="7">
        <v>45699</v>
      </c>
      <c r="B216" s="9">
        <v>1058.3399999999999</v>
      </c>
      <c r="C216" s="9">
        <v>1059.9100000000001</v>
      </c>
      <c r="D216" s="9">
        <v>1066</v>
      </c>
      <c r="E216" s="9">
        <v>1049.04</v>
      </c>
      <c r="F216" t="s">
        <v>57</v>
      </c>
      <c r="G216" s="8">
        <v>-3.3999999999999998E-3</v>
      </c>
      <c r="H216" s="3">
        <f t="shared" si="3"/>
        <v>-3.3712520717192884E-3</v>
      </c>
    </row>
    <row r="217" spans="1:8" x14ac:dyDescent="0.3">
      <c r="A217" s="7">
        <v>45700</v>
      </c>
      <c r="B217" s="9">
        <v>1065.1199999999999</v>
      </c>
      <c r="C217" s="9">
        <v>1054.1500000000001</v>
      </c>
      <c r="D217" s="9">
        <v>1067</v>
      </c>
      <c r="E217" s="9">
        <v>1051</v>
      </c>
      <c r="F217" t="s">
        <v>205</v>
      </c>
      <c r="G217" s="8">
        <v>6.4000000000000003E-3</v>
      </c>
      <c r="H217" s="3">
        <f t="shared" si="3"/>
        <v>6.4062588582118885E-3</v>
      </c>
    </row>
    <row r="218" spans="1:8" x14ac:dyDescent="0.3">
      <c r="A218" s="7">
        <v>45701</v>
      </c>
      <c r="B218" s="9">
        <v>1076.8599999999999</v>
      </c>
      <c r="C218" s="9">
        <v>1067.01</v>
      </c>
      <c r="D218" s="9">
        <v>1078.23</v>
      </c>
      <c r="E218" s="9">
        <v>1064.6500000000001</v>
      </c>
      <c r="F218" t="s">
        <v>95</v>
      </c>
      <c r="G218" s="8">
        <v>1.0999999999999999E-2</v>
      </c>
      <c r="H218" s="3">
        <f t="shared" si="3"/>
        <v>1.1022232236743257E-2</v>
      </c>
    </row>
    <row r="219" spans="1:8" x14ac:dyDescent="0.3">
      <c r="A219" s="7">
        <v>45702</v>
      </c>
      <c r="B219" s="9">
        <v>1071.8499999999999</v>
      </c>
      <c r="C219" s="9">
        <v>1076.48</v>
      </c>
      <c r="D219" s="9">
        <v>1077.49</v>
      </c>
      <c r="E219" s="9">
        <v>1068.01</v>
      </c>
      <c r="F219" t="s">
        <v>251</v>
      </c>
      <c r="G219" s="8">
        <v>-4.7000000000000002E-3</v>
      </c>
      <c r="H219" s="3">
        <f t="shared" si="3"/>
        <v>-4.6524153557565562E-3</v>
      </c>
    </row>
    <row r="220" spans="1:8" x14ac:dyDescent="0.3">
      <c r="A220" s="7">
        <v>45706</v>
      </c>
      <c r="B220" s="9">
        <v>1056.03</v>
      </c>
      <c r="C220" s="9">
        <v>1069.21</v>
      </c>
      <c r="D220" s="9">
        <v>1071</v>
      </c>
      <c r="E220" s="9">
        <v>1045.24</v>
      </c>
      <c r="F220" t="s">
        <v>83</v>
      </c>
      <c r="G220" s="8">
        <v>-1.4800000000000001E-2</v>
      </c>
      <c r="H220" s="3">
        <f t="shared" si="3"/>
        <v>-1.4759527919018467E-2</v>
      </c>
    </row>
    <row r="221" spans="1:8" x14ac:dyDescent="0.3">
      <c r="A221" s="7">
        <v>45707</v>
      </c>
      <c r="B221" s="9">
        <v>1062.54</v>
      </c>
      <c r="C221" s="9">
        <v>1056.06</v>
      </c>
      <c r="D221" s="9">
        <v>1063.18</v>
      </c>
      <c r="E221" s="9">
        <v>1053</v>
      </c>
      <c r="F221" t="s">
        <v>136</v>
      </c>
      <c r="G221" s="8">
        <v>6.1999999999999998E-3</v>
      </c>
      <c r="H221" s="3">
        <f t="shared" si="3"/>
        <v>6.1645975966591049E-3</v>
      </c>
    </row>
    <row r="222" spans="1:8" x14ac:dyDescent="0.3">
      <c r="A222" s="7">
        <v>45708</v>
      </c>
      <c r="B222" s="9">
        <v>1034.83</v>
      </c>
      <c r="C222" s="9">
        <v>1053.6400000000001</v>
      </c>
      <c r="D222" s="9">
        <v>1053.6400000000001</v>
      </c>
      <c r="E222" s="9">
        <v>1033.8499999999999</v>
      </c>
      <c r="F222" t="s">
        <v>107</v>
      </c>
      <c r="G222" s="8">
        <v>-2.6100000000000002E-2</v>
      </c>
      <c r="H222" s="3">
        <f t="shared" si="3"/>
        <v>-2.6079018201667692E-2</v>
      </c>
    </row>
    <row r="223" spans="1:8" x14ac:dyDescent="0.3">
      <c r="A223" s="7">
        <v>45709</v>
      </c>
      <c r="B223" s="9">
        <v>1035.03</v>
      </c>
      <c r="C223" s="9">
        <v>1034.5999999999999</v>
      </c>
      <c r="D223" s="9">
        <v>1036.21</v>
      </c>
      <c r="E223" s="9">
        <v>1024.68</v>
      </c>
      <c r="F223" t="s">
        <v>91</v>
      </c>
      <c r="G223" s="8">
        <v>2.0000000000000001E-4</v>
      </c>
      <c r="H223" s="3">
        <f t="shared" si="3"/>
        <v>1.9326845955380811E-4</v>
      </c>
    </row>
    <row r="224" spans="1:8" x14ac:dyDescent="0.3">
      <c r="A224" s="7">
        <v>45712</v>
      </c>
      <c r="B224" s="9">
        <v>1035.5999999999999</v>
      </c>
      <c r="C224" s="9">
        <v>1028.54</v>
      </c>
      <c r="D224" s="9">
        <v>1038.19</v>
      </c>
      <c r="E224" s="9">
        <v>1025.22</v>
      </c>
      <c r="F224" t="s">
        <v>176</v>
      </c>
      <c r="G224" s="8">
        <v>5.9999999999999995E-4</v>
      </c>
      <c r="H224" s="3">
        <f t="shared" si="3"/>
        <v>5.5070867511086696E-4</v>
      </c>
    </row>
    <row r="225" spans="1:8" x14ac:dyDescent="0.3">
      <c r="A225" s="7">
        <v>45713</v>
      </c>
      <c r="B225" s="9">
        <v>1055.6600000000001</v>
      </c>
      <c r="C225" s="9">
        <v>1040.73</v>
      </c>
      <c r="D225" s="9">
        <v>1057.02</v>
      </c>
      <c r="E225" s="9">
        <v>1037.46</v>
      </c>
      <c r="F225" t="s">
        <v>141</v>
      </c>
      <c r="G225" s="8">
        <v>1.9400000000000001E-2</v>
      </c>
      <c r="H225" s="3">
        <f t="shared" si="3"/>
        <v>1.9370413286983634E-2</v>
      </c>
    </row>
    <row r="226" spans="1:8" x14ac:dyDescent="0.3">
      <c r="A226" s="7">
        <v>45714</v>
      </c>
      <c r="B226" s="9">
        <v>1031.97</v>
      </c>
      <c r="C226" s="9">
        <v>1050.1400000000001</v>
      </c>
      <c r="D226" s="9">
        <v>1058.8900000000001</v>
      </c>
      <c r="E226" s="9">
        <v>1030.18</v>
      </c>
      <c r="F226" t="s">
        <v>119</v>
      </c>
      <c r="G226" s="8">
        <v>-2.24E-2</v>
      </c>
      <c r="H226" s="3">
        <f t="shared" si="3"/>
        <v>-2.2440937423033991E-2</v>
      </c>
    </row>
    <row r="227" spans="1:8" x14ac:dyDescent="0.3">
      <c r="A227" s="7">
        <v>45715</v>
      </c>
      <c r="B227" s="9">
        <v>1021.71</v>
      </c>
      <c r="C227" s="9">
        <v>1034</v>
      </c>
      <c r="D227" s="9">
        <v>1042.53</v>
      </c>
      <c r="E227" s="9">
        <v>1018.83</v>
      </c>
      <c r="F227" t="s">
        <v>169</v>
      </c>
      <c r="G227" s="8">
        <v>-9.9000000000000008E-3</v>
      </c>
      <c r="H227" s="3">
        <f t="shared" si="3"/>
        <v>-9.9421494810895128E-3</v>
      </c>
    </row>
    <row r="228" spans="1:8" x14ac:dyDescent="0.3">
      <c r="A228" s="7">
        <v>45716</v>
      </c>
      <c r="B228" s="9">
        <v>1048.6099999999999</v>
      </c>
      <c r="C228" s="9">
        <v>1030.6099999999999</v>
      </c>
      <c r="D228" s="9">
        <v>1049.3800000000001</v>
      </c>
      <c r="E228" s="9">
        <v>1023.99</v>
      </c>
      <c r="F228" t="s">
        <v>210</v>
      </c>
      <c r="G228" s="8">
        <v>2.63E-2</v>
      </c>
      <c r="H228" s="3">
        <f t="shared" si="3"/>
        <v>2.6328410214248477E-2</v>
      </c>
    </row>
    <row r="229" spans="1:8" x14ac:dyDescent="0.3">
      <c r="A229" s="7">
        <v>45719</v>
      </c>
      <c r="B229" s="9">
        <v>1046.8499999999999</v>
      </c>
      <c r="C229" s="9">
        <v>1051.74</v>
      </c>
      <c r="D229" s="9">
        <v>1066</v>
      </c>
      <c r="E229" s="9">
        <v>1041.1400000000001</v>
      </c>
      <c r="F229" t="s">
        <v>308</v>
      </c>
      <c r="G229" s="8">
        <v>-1.6999999999999999E-3</v>
      </c>
      <c r="H229" s="3">
        <f t="shared" si="3"/>
        <v>-1.6784123744766344E-3</v>
      </c>
    </row>
    <row r="230" spans="1:8" x14ac:dyDescent="0.3">
      <c r="A230" s="7">
        <v>45720</v>
      </c>
      <c r="B230" s="9">
        <v>1036.8699999999999</v>
      </c>
      <c r="C230" s="9">
        <v>1045.73</v>
      </c>
      <c r="D230" s="9">
        <v>1047.93</v>
      </c>
      <c r="E230" s="9">
        <v>1028.73</v>
      </c>
      <c r="F230" t="s">
        <v>93</v>
      </c>
      <c r="G230" s="8">
        <v>-9.4999999999999998E-3</v>
      </c>
      <c r="H230" s="3">
        <f t="shared" si="3"/>
        <v>-9.5333619907341793E-3</v>
      </c>
    </row>
    <row r="231" spans="1:8" x14ac:dyDescent="0.3">
      <c r="A231" s="7">
        <v>45721</v>
      </c>
      <c r="B231" s="9">
        <v>1047.75</v>
      </c>
      <c r="C231" s="9">
        <v>1033.08</v>
      </c>
      <c r="D231" s="9">
        <v>1050.98</v>
      </c>
      <c r="E231" s="9">
        <v>1028.5</v>
      </c>
      <c r="F231" t="s">
        <v>70</v>
      </c>
      <c r="G231" s="8">
        <v>1.0500000000000001E-2</v>
      </c>
      <c r="H231" s="3">
        <f t="shared" si="3"/>
        <v>1.049311871304992E-2</v>
      </c>
    </row>
    <row r="232" spans="1:8" x14ac:dyDescent="0.3">
      <c r="A232" s="7">
        <v>45722</v>
      </c>
      <c r="B232" s="9">
        <v>1026.6199999999999</v>
      </c>
      <c r="C232" s="9">
        <v>1032.95</v>
      </c>
      <c r="D232" s="9">
        <v>1045.8900000000001</v>
      </c>
      <c r="E232" s="9">
        <v>1019.05</v>
      </c>
      <c r="F232" t="s">
        <v>24</v>
      </c>
      <c r="G232" s="8">
        <v>-2.0199999999999999E-2</v>
      </c>
      <c r="H232" s="3">
        <f t="shared" si="3"/>
        <v>-2.0167024576473458E-2</v>
      </c>
    </row>
    <row r="233" spans="1:8" x14ac:dyDescent="0.3">
      <c r="A233" s="7">
        <v>45723</v>
      </c>
      <c r="B233">
        <v>964.31</v>
      </c>
      <c r="C233">
        <v>995.15</v>
      </c>
      <c r="D233" s="9">
        <v>1002.42</v>
      </c>
      <c r="E233">
        <v>942.78</v>
      </c>
      <c r="F233" t="s">
        <v>781</v>
      </c>
      <c r="G233" s="8">
        <v>-6.0699999999999997E-2</v>
      </c>
      <c r="H233" s="3">
        <f t="shared" si="3"/>
        <v>-6.0694317274161746E-2</v>
      </c>
    </row>
    <row r="234" spans="1:8" x14ac:dyDescent="0.3">
      <c r="A234" s="7">
        <v>45726</v>
      </c>
      <c r="B234">
        <v>934.41</v>
      </c>
      <c r="C234">
        <v>955.47</v>
      </c>
      <c r="D234">
        <v>959.66</v>
      </c>
      <c r="E234">
        <v>924.03</v>
      </c>
      <c r="F234" t="s">
        <v>143</v>
      </c>
      <c r="G234" s="8">
        <v>-3.1E-2</v>
      </c>
      <c r="H234" s="3">
        <f t="shared" si="3"/>
        <v>-3.1006626499777035E-2</v>
      </c>
    </row>
    <row r="235" spans="1:8" x14ac:dyDescent="0.3">
      <c r="A235" s="7">
        <v>45727</v>
      </c>
      <c r="B235">
        <v>930.49</v>
      </c>
      <c r="C235">
        <v>931</v>
      </c>
      <c r="D235">
        <v>938</v>
      </c>
      <c r="E235">
        <v>921.2</v>
      </c>
      <c r="F235" t="s">
        <v>84</v>
      </c>
      <c r="G235" s="8">
        <v>-4.1999999999999997E-3</v>
      </c>
      <c r="H235" s="3">
        <f t="shared" si="3"/>
        <v>-4.1951605826135996E-3</v>
      </c>
    </row>
    <row r="236" spans="1:8" x14ac:dyDescent="0.3">
      <c r="A236" s="7">
        <v>45728</v>
      </c>
      <c r="B236">
        <v>927.08</v>
      </c>
      <c r="C236">
        <v>938</v>
      </c>
      <c r="D236">
        <v>944.38</v>
      </c>
      <c r="E236">
        <v>923.25</v>
      </c>
      <c r="F236" t="s">
        <v>198</v>
      </c>
      <c r="G236" s="8">
        <v>-3.7000000000000002E-3</v>
      </c>
      <c r="H236" s="3">
        <f t="shared" si="3"/>
        <v>-3.6647357843716533E-3</v>
      </c>
    </row>
    <row r="237" spans="1:8" x14ac:dyDescent="0.3">
      <c r="A237" s="7">
        <v>45729</v>
      </c>
      <c r="B237">
        <v>890.62</v>
      </c>
      <c r="C237">
        <v>922</v>
      </c>
      <c r="D237">
        <v>923.5</v>
      </c>
      <c r="E237">
        <v>887.47</v>
      </c>
      <c r="F237" t="s">
        <v>62</v>
      </c>
      <c r="G237" s="8">
        <v>-3.9300000000000002E-2</v>
      </c>
      <c r="H237" s="3">
        <f t="shared" si="3"/>
        <v>-3.9327781852698807E-2</v>
      </c>
    </row>
    <row r="238" spans="1:8" x14ac:dyDescent="0.3">
      <c r="A238" s="7">
        <v>45730</v>
      </c>
      <c r="B238">
        <v>903.92</v>
      </c>
      <c r="C238">
        <v>891.81</v>
      </c>
      <c r="D238">
        <v>906.95</v>
      </c>
      <c r="E238">
        <v>881.56</v>
      </c>
      <c r="F238" t="s">
        <v>213</v>
      </c>
      <c r="G238" s="8">
        <v>1.49E-2</v>
      </c>
      <c r="H238" s="3">
        <f t="shared" si="3"/>
        <v>1.4933417170061247E-2</v>
      </c>
    </row>
    <row r="239" spans="1:8" x14ac:dyDescent="0.3">
      <c r="A239" s="7">
        <v>45733</v>
      </c>
      <c r="B239">
        <v>916.61</v>
      </c>
      <c r="C239">
        <v>901.63</v>
      </c>
      <c r="D239">
        <v>923.39</v>
      </c>
      <c r="E239">
        <v>898</v>
      </c>
      <c r="F239" t="s">
        <v>248</v>
      </c>
      <c r="G239" s="8">
        <v>1.4E-2</v>
      </c>
      <c r="H239" s="3">
        <f t="shared" si="3"/>
        <v>1.4038852995840401E-2</v>
      </c>
    </row>
    <row r="240" spans="1:8" x14ac:dyDescent="0.3">
      <c r="A240" s="7">
        <v>45734</v>
      </c>
      <c r="B240">
        <v>898.05</v>
      </c>
      <c r="C240">
        <v>913</v>
      </c>
      <c r="D240">
        <v>917.56</v>
      </c>
      <c r="E240">
        <v>896.84</v>
      </c>
      <c r="F240" t="s">
        <v>61</v>
      </c>
      <c r="G240" s="8">
        <v>-2.0199999999999999E-2</v>
      </c>
      <c r="H240" s="3">
        <f t="shared" si="3"/>
        <v>-2.0248524454239081E-2</v>
      </c>
    </row>
    <row r="241" spans="1:8" x14ac:dyDescent="0.3">
      <c r="A241" s="7">
        <v>45735</v>
      </c>
      <c r="B241">
        <v>904.05</v>
      </c>
      <c r="C241">
        <v>902.86</v>
      </c>
      <c r="D241">
        <v>910.16</v>
      </c>
      <c r="E241">
        <v>896</v>
      </c>
      <c r="F241" t="s">
        <v>232</v>
      </c>
      <c r="G241" s="8">
        <v>6.7000000000000002E-3</v>
      </c>
      <c r="H241" s="3">
        <f t="shared" si="3"/>
        <v>6.681142475363222E-3</v>
      </c>
    </row>
    <row r="242" spans="1:8" x14ac:dyDescent="0.3">
      <c r="A242" s="7">
        <v>45736</v>
      </c>
      <c r="B242">
        <v>895.4</v>
      </c>
      <c r="C242">
        <v>901.5</v>
      </c>
      <c r="D242">
        <v>907.48</v>
      </c>
      <c r="E242">
        <v>894.1</v>
      </c>
      <c r="F242" t="s">
        <v>46</v>
      </c>
      <c r="G242" s="8">
        <v>-9.5999999999999992E-3</v>
      </c>
      <c r="H242" s="3">
        <f t="shared" si="3"/>
        <v>-9.5680548642220753E-3</v>
      </c>
    </row>
    <row r="243" spans="1:8" x14ac:dyDescent="0.3">
      <c r="A243" s="7">
        <v>45737</v>
      </c>
      <c r="B243">
        <v>909.26</v>
      </c>
      <c r="C243">
        <v>888.75</v>
      </c>
      <c r="D243">
        <v>909.77</v>
      </c>
      <c r="E243">
        <v>883.96</v>
      </c>
      <c r="F243" t="s">
        <v>62</v>
      </c>
      <c r="G243" s="8">
        <v>1.55E-2</v>
      </c>
      <c r="H243" s="3">
        <f t="shared" si="3"/>
        <v>1.5479115479115402E-2</v>
      </c>
    </row>
    <row r="244" spans="1:8" x14ac:dyDescent="0.3">
      <c r="A244" s="7">
        <v>45740</v>
      </c>
      <c r="B244">
        <v>926.04</v>
      </c>
      <c r="C244">
        <v>920</v>
      </c>
      <c r="D244">
        <v>928.65</v>
      </c>
      <c r="E244">
        <v>920</v>
      </c>
      <c r="F244" t="s">
        <v>186</v>
      </c>
      <c r="G244" s="8">
        <v>1.8499999999999999E-2</v>
      </c>
      <c r="H244" s="3">
        <f t="shared" si="3"/>
        <v>1.8454567450454151E-2</v>
      </c>
    </row>
    <row r="245" spans="1:8" x14ac:dyDescent="0.3">
      <c r="A245" s="7">
        <v>45741</v>
      </c>
      <c r="B245">
        <v>930.26</v>
      </c>
      <c r="C245">
        <v>926.63</v>
      </c>
      <c r="D245">
        <v>932.29</v>
      </c>
      <c r="E245">
        <v>922.49</v>
      </c>
      <c r="F245" t="s">
        <v>95</v>
      </c>
      <c r="G245" s="8">
        <v>4.5999999999999999E-3</v>
      </c>
      <c r="H245" s="3">
        <f t="shared" si="3"/>
        <v>4.557038572847949E-3</v>
      </c>
    </row>
    <row r="246" spans="1:8" x14ac:dyDescent="0.3">
      <c r="A246" s="7">
        <v>45742</v>
      </c>
      <c r="B246">
        <v>929.75</v>
      </c>
      <c r="C246">
        <v>934.33</v>
      </c>
      <c r="D246">
        <v>939.42</v>
      </c>
      <c r="E246">
        <v>923.45</v>
      </c>
      <c r="F246" t="s">
        <v>66</v>
      </c>
      <c r="G246" s="8">
        <v>-5.0000000000000001E-4</v>
      </c>
      <c r="H246" s="3">
        <f t="shared" si="3"/>
        <v>-5.482338271021181E-4</v>
      </c>
    </row>
    <row r="247" spans="1:8" x14ac:dyDescent="0.3">
      <c r="A247" s="7">
        <v>45743</v>
      </c>
      <c r="B247">
        <v>938.75</v>
      </c>
      <c r="C247">
        <v>929.56</v>
      </c>
      <c r="D247">
        <v>942.9</v>
      </c>
      <c r="E247">
        <v>928</v>
      </c>
      <c r="F247" t="s">
        <v>266</v>
      </c>
      <c r="G247" s="8">
        <v>9.7000000000000003E-3</v>
      </c>
      <c r="H247" s="3">
        <f t="shared" si="3"/>
        <v>9.6800215111589871E-3</v>
      </c>
    </row>
    <row r="248" spans="1:8" x14ac:dyDescent="0.3">
      <c r="A248" s="7">
        <v>45744</v>
      </c>
      <c r="B248">
        <v>929.66</v>
      </c>
      <c r="C248">
        <v>937.5</v>
      </c>
      <c r="D248">
        <v>938.75</v>
      </c>
      <c r="E248">
        <v>926</v>
      </c>
      <c r="F248" t="s">
        <v>53</v>
      </c>
      <c r="G248" s="8">
        <v>-9.7000000000000003E-3</v>
      </c>
      <c r="H248" s="3">
        <f t="shared" si="3"/>
        <v>-9.68308921438088E-3</v>
      </c>
    </row>
    <row r="249" spans="1:8" x14ac:dyDescent="0.3">
      <c r="A249" s="7">
        <v>45747</v>
      </c>
      <c r="B249">
        <v>945.78</v>
      </c>
      <c r="C249">
        <v>922.36</v>
      </c>
      <c r="D249">
        <v>995</v>
      </c>
      <c r="E249">
        <v>922.04</v>
      </c>
      <c r="F249" t="s">
        <v>300</v>
      </c>
      <c r="G249" s="8">
        <v>1.7299999999999999E-2</v>
      </c>
      <c r="H249" s="3">
        <f t="shared" si="3"/>
        <v>1.7339672568465803E-2</v>
      </c>
    </row>
    <row r="250" spans="1:8" x14ac:dyDescent="0.3">
      <c r="A250" s="7">
        <v>45748</v>
      </c>
      <c r="B250">
        <v>954.4</v>
      </c>
      <c r="C250">
        <v>942.42</v>
      </c>
      <c r="D250">
        <v>957.72</v>
      </c>
      <c r="E250">
        <v>938.75</v>
      </c>
      <c r="F250" t="s">
        <v>98</v>
      </c>
      <c r="G250" s="8">
        <v>9.1000000000000004E-3</v>
      </c>
      <c r="H250" s="3">
        <f t="shared" si="3"/>
        <v>9.114170314449499E-3</v>
      </c>
    </row>
    <row r="251" spans="1:8" x14ac:dyDescent="0.3">
      <c r="A251" s="7">
        <v>45749</v>
      </c>
      <c r="B251">
        <v>965.08</v>
      </c>
      <c r="C251">
        <v>950.84</v>
      </c>
      <c r="D251">
        <v>970.89</v>
      </c>
      <c r="E251">
        <v>950</v>
      </c>
      <c r="F251" t="s">
        <v>123</v>
      </c>
      <c r="G251" s="8">
        <v>1.12E-2</v>
      </c>
      <c r="H251" s="3">
        <f>(B251/B250)-1</f>
        <v>1.1190276613579186E-2</v>
      </c>
    </row>
    <row r="252" spans="1:8" x14ac:dyDescent="0.3">
      <c r="A252" s="7">
        <v>45750</v>
      </c>
      <c r="B252">
        <v>967.08</v>
      </c>
      <c r="C252">
        <v>931.08</v>
      </c>
      <c r="D252">
        <v>981.35</v>
      </c>
      <c r="E252">
        <v>928</v>
      </c>
      <c r="F252" t="s">
        <v>300</v>
      </c>
      <c r="G252" s="8">
        <v>2.0999999999999999E-3</v>
      </c>
      <c r="H252" s="3">
        <f t="shared" ref="H252:H253" si="4">(B252/B251)-1</f>
        <v>2.0723670576532349E-3</v>
      </c>
    </row>
    <row r="253" spans="1:8" x14ac:dyDescent="0.3">
      <c r="A253" s="7">
        <v>45751</v>
      </c>
      <c r="B253">
        <v>916.48</v>
      </c>
      <c r="C253">
        <v>955</v>
      </c>
      <c r="D253">
        <v>964.52</v>
      </c>
      <c r="E253">
        <v>914.14</v>
      </c>
      <c r="F253" t="s">
        <v>346</v>
      </c>
      <c r="G253" s="8">
        <v>-5.2299999999999999E-2</v>
      </c>
      <c r="H253" s="3">
        <f t="shared" si="4"/>
        <v>-5.2322455226041287E-2</v>
      </c>
    </row>
  </sheetData>
  <autoFilter ref="A1:G253" xr:uid="{887EB1B6-F2B7-415C-B337-B315F5CB2A65}">
    <sortState xmlns:xlrd2="http://schemas.microsoft.com/office/spreadsheetml/2017/richdata2" ref="A2:G253">
      <sortCondition ref="A1:A253"/>
    </sortState>
  </autoFilter>
  <sortState xmlns:xlrd2="http://schemas.microsoft.com/office/spreadsheetml/2017/richdata2" ref="A2:G251">
    <sortCondition ref="A2:A25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79EB-B433-495B-B5A0-DC05E252AFD5}">
  <sheetPr codeName="Hoja6">
    <tabColor theme="6" tint="0.79998168889431442"/>
  </sheetPr>
  <dimension ref="A1:L257"/>
  <sheetViews>
    <sheetView workbookViewId="0">
      <selection activeCell="M1" sqref="M1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45392</v>
      </c>
      <c r="B2">
        <v>22.6</v>
      </c>
      <c r="C2">
        <v>22.25</v>
      </c>
      <c r="D2">
        <v>22.68</v>
      </c>
      <c r="E2">
        <v>22.23</v>
      </c>
      <c r="F2" t="s">
        <v>485</v>
      </c>
      <c r="G2" s="8">
        <v>1.7600000000000001E-2</v>
      </c>
      <c r="H2" s="3" t="s">
        <v>11</v>
      </c>
      <c r="J2" t="s">
        <v>12</v>
      </c>
      <c r="K2" s="4">
        <f>AVERAGE(H3:H253)</f>
        <v>1.5249639478173986E-3</v>
      </c>
      <c r="L2" s="5">
        <f>_xlfn.STDEV.S(H3:H253)</f>
        <v>1.1331966358168058E-2</v>
      </c>
    </row>
    <row r="3" spans="1:12" x14ac:dyDescent="0.3">
      <c r="A3" s="7">
        <v>45393</v>
      </c>
      <c r="B3">
        <v>21.21</v>
      </c>
      <c r="C3">
        <v>21.87</v>
      </c>
      <c r="D3">
        <v>21.9</v>
      </c>
      <c r="E3">
        <v>21.14</v>
      </c>
      <c r="F3" t="s">
        <v>484</v>
      </c>
      <c r="G3" s="8">
        <v>-6.1499999999999999E-2</v>
      </c>
      <c r="H3" s="3">
        <f>(B3/B2)-1</f>
        <v>-6.1504424778761058E-2</v>
      </c>
      <c r="J3" t="s">
        <v>14</v>
      </c>
      <c r="K3" s="6">
        <f>K2*252</f>
        <v>0.38429091484998446</v>
      </c>
      <c r="L3" s="6">
        <f>L2*SQRT(252)</f>
        <v>0.17988938909437785</v>
      </c>
    </row>
    <row r="4" spans="1:12" x14ac:dyDescent="0.3">
      <c r="A4" s="7">
        <v>45394</v>
      </c>
      <c r="B4">
        <v>21.18</v>
      </c>
      <c r="C4">
        <v>21.3</v>
      </c>
      <c r="D4">
        <v>21.49</v>
      </c>
      <c r="E4">
        <v>21.13</v>
      </c>
      <c r="F4" t="s">
        <v>483</v>
      </c>
      <c r="G4" s="8">
        <v>-1.4E-3</v>
      </c>
      <c r="H4" s="3">
        <f t="shared" ref="H4:H67" si="0">(B4/B3)-1</f>
        <v>-1.4144271570014633E-3</v>
      </c>
    </row>
    <row r="5" spans="1:12" x14ac:dyDescent="0.3">
      <c r="A5" s="7">
        <v>45397</v>
      </c>
      <c r="B5">
        <v>21.13</v>
      </c>
      <c r="C5">
        <v>21.17</v>
      </c>
      <c r="D5">
        <v>21.26</v>
      </c>
      <c r="E5">
        <v>21.03</v>
      </c>
      <c r="F5" t="s">
        <v>482</v>
      </c>
      <c r="G5" s="8">
        <v>-2.3999999999999998E-3</v>
      </c>
      <c r="H5" s="3">
        <f t="shared" si="0"/>
        <v>-2.3607176581681433E-3</v>
      </c>
    </row>
    <row r="6" spans="1:12" x14ac:dyDescent="0.3">
      <c r="A6" s="7">
        <v>45398</v>
      </c>
      <c r="B6">
        <v>20.83</v>
      </c>
      <c r="C6">
        <v>21.01</v>
      </c>
      <c r="D6">
        <v>21.23</v>
      </c>
      <c r="E6">
        <v>20.83</v>
      </c>
      <c r="F6" t="s">
        <v>423</v>
      </c>
      <c r="G6" s="8">
        <v>-1.4200000000000001E-2</v>
      </c>
      <c r="H6" s="3">
        <f t="shared" si="0"/>
        <v>-1.4197823000473342E-2</v>
      </c>
    </row>
    <row r="7" spans="1:12" x14ac:dyDescent="0.3">
      <c r="A7" s="7">
        <v>45399</v>
      </c>
      <c r="B7">
        <v>20.88</v>
      </c>
      <c r="C7">
        <v>20.83</v>
      </c>
      <c r="D7">
        <v>21.04</v>
      </c>
      <c r="E7">
        <v>20.73</v>
      </c>
      <c r="F7" t="s">
        <v>413</v>
      </c>
      <c r="G7" s="8">
        <v>2.3999999999999998E-3</v>
      </c>
      <c r="H7" s="3">
        <f t="shared" si="0"/>
        <v>2.4003840614499339E-3</v>
      </c>
    </row>
    <row r="8" spans="1:12" x14ac:dyDescent="0.3">
      <c r="A8" s="7">
        <v>45400</v>
      </c>
      <c r="B8">
        <v>20.95</v>
      </c>
      <c r="C8">
        <v>20.95</v>
      </c>
      <c r="D8">
        <v>21.02</v>
      </c>
      <c r="E8">
        <v>20.84</v>
      </c>
      <c r="F8" t="s">
        <v>481</v>
      </c>
      <c r="G8" s="8">
        <v>3.3999999999999998E-3</v>
      </c>
      <c r="H8" s="3">
        <f t="shared" si="0"/>
        <v>3.3524904214559115E-3</v>
      </c>
    </row>
    <row r="9" spans="1:12" x14ac:dyDescent="0.3">
      <c r="A9" s="7">
        <v>45401</v>
      </c>
      <c r="B9">
        <v>21.16</v>
      </c>
      <c r="C9">
        <v>20.95</v>
      </c>
      <c r="D9">
        <v>21.22</v>
      </c>
      <c r="E9">
        <v>20.93</v>
      </c>
      <c r="F9" t="s">
        <v>480</v>
      </c>
      <c r="G9" s="8">
        <v>0.01</v>
      </c>
      <c r="H9" s="3">
        <f t="shared" si="0"/>
        <v>1.0023866348448651E-2</v>
      </c>
    </row>
    <row r="10" spans="1:12" x14ac:dyDescent="0.3">
      <c r="A10" s="7">
        <v>45404</v>
      </c>
      <c r="B10">
        <v>21.61</v>
      </c>
      <c r="C10">
        <v>21.33</v>
      </c>
      <c r="D10">
        <v>21.65</v>
      </c>
      <c r="E10">
        <v>21.3</v>
      </c>
      <c r="F10" t="s">
        <v>479</v>
      </c>
      <c r="G10" s="8">
        <v>2.1299999999999999E-2</v>
      </c>
      <c r="H10" s="3">
        <f t="shared" si="0"/>
        <v>2.1266540642722154E-2</v>
      </c>
    </row>
    <row r="11" spans="1:12" x14ac:dyDescent="0.3">
      <c r="A11" s="7">
        <v>45405</v>
      </c>
      <c r="B11">
        <v>21.75</v>
      </c>
      <c r="C11">
        <v>21.59</v>
      </c>
      <c r="D11">
        <v>21.79</v>
      </c>
      <c r="E11">
        <v>21.57</v>
      </c>
      <c r="F11" t="s">
        <v>478</v>
      </c>
      <c r="G11" s="8">
        <v>6.4999999999999997E-3</v>
      </c>
      <c r="H11" s="3">
        <f t="shared" si="0"/>
        <v>6.478482184174128E-3</v>
      </c>
    </row>
    <row r="12" spans="1:12" x14ac:dyDescent="0.3">
      <c r="A12" s="7">
        <v>45406</v>
      </c>
      <c r="B12">
        <v>21.77</v>
      </c>
      <c r="C12">
        <v>21.73</v>
      </c>
      <c r="D12">
        <v>21.87</v>
      </c>
      <c r="E12">
        <v>21.63</v>
      </c>
      <c r="F12" t="s">
        <v>477</v>
      </c>
      <c r="G12" s="8">
        <v>8.9999999999999998E-4</v>
      </c>
      <c r="H12" s="3">
        <f t="shared" si="0"/>
        <v>9.1954022988494089E-4</v>
      </c>
    </row>
    <row r="13" spans="1:12" x14ac:dyDescent="0.3">
      <c r="A13" s="7">
        <v>45407</v>
      </c>
      <c r="B13">
        <v>21.67</v>
      </c>
      <c r="C13">
        <v>21.83</v>
      </c>
      <c r="D13">
        <v>21.92</v>
      </c>
      <c r="E13">
        <v>21.53</v>
      </c>
      <c r="F13" t="s">
        <v>476</v>
      </c>
      <c r="G13" s="8">
        <v>-4.5999999999999999E-3</v>
      </c>
      <c r="H13" s="3">
        <f t="shared" si="0"/>
        <v>-4.5934772622874265E-3</v>
      </c>
    </row>
    <row r="14" spans="1:12" x14ac:dyDescent="0.3">
      <c r="A14" s="7">
        <v>45408</v>
      </c>
      <c r="B14">
        <v>21.85</v>
      </c>
      <c r="C14">
        <v>21.84</v>
      </c>
      <c r="D14">
        <v>21.87</v>
      </c>
      <c r="E14">
        <v>21.64</v>
      </c>
      <c r="F14" t="s">
        <v>475</v>
      </c>
      <c r="G14" s="8">
        <v>8.3000000000000001E-3</v>
      </c>
      <c r="H14" s="3">
        <f t="shared" si="0"/>
        <v>8.3064143977849003E-3</v>
      </c>
    </row>
    <row r="15" spans="1:12" x14ac:dyDescent="0.3">
      <c r="A15" s="7">
        <v>45411</v>
      </c>
      <c r="B15">
        <v>21.79</v>
      </c>
      <c r="C15">
        <v>21.87</v>
      </c>
      <c r="D15">
        <v>21.88</v>
      </c>
      <c r="E15">
        <v>21.78</v>
      </c>
      <c r="F15" t="s">
        <v>474</v>
      </c>
      <c r="G15" s="8">
        <v>-2.7000000000000001E-3</v>
      </c>
      <c r="H15" s="3">
        <f t="shared" si="0"/>
        <v>-2.7459954233410855E-3</v>
      </c>
    </row>
    <row r="16" spans="1:12" x14ac:dyDescent="0.3">
      <c r="A16" s="7">
        <v>45412</v>
      </c>
      <c r="B16">
        <v>21.49</v>
      </c>
      <c r="C16">
        <v>21.78</v>
      </c>
      <c r="D16">
        <v>21.78</v>
      </c>
      <c r="E16">
        <v>21.46</v>
      </c>
      <c r="F16" t="s">
        <v>473</v>
      </c>
      <c r="G16" s="8">
        <v>-1.38E-2</v>
      </c>
      <c r="H16" s="3">
        <f t="shared" si="0"/>
        <v>-1.3767783386874788E-2</v>
      </c>
    </row>
    <row r="17" spans="1:8" x14ac:dyDescent="0.3">
      <c r="A17" s="7">
        <v>45414</v>
      </c>
      <c r="B17">
        <v>21.73</v>
      </c>
      <c r="C17">
        <v>21.5</v>
      </c>
      <c r="D17">
        <v>21.79</v>
      </c>
      <c r="E17">
        <v>21.46</v>
      </c>
      <c r="F17" t="s">
        <v>472</v>
      </c>
      <c r="G17" s="8">
        <v>1.12E-2</v>
      </c>
      <c r="H17" s="3">
        <f t="shared" si="0"/>
        <v>1.1167985109353351E-2</v>
      </c>
    </row>
    <row r="18" spans="1:8" x14ac:dyDescent="0.3">
      <c r="A18" s="7">
        <v>45415</v>
      </c>
      <c r="B18">
        <v>21.66</v>
      </c>
      <c r="C18">
        <v>21.73</v>
      </c>
      <c r="D18">
        <v>21.79</v>
      </c>
      <c r="E18">
        <v>21.61</v>
      </c>
      <c r="F18" t="s">
        <v>471</v>
      </c>
      <c r="G18" s="8">
        <v>-3.2000000000000002E-3</v>
      </c>
      <c r="H18" s="3">
        <f t="shared" si="0"/>
        <v>-3.2213529682466602E-3</v>
      </c>
    </row>
    <row r="19" spans="1:8" x14ac:dyDescent="0.3">
      <c r="A19" s="7">
        <v>45418</v>
      </c>
      <c r="B19">
        <v>21.74</v>
      </c>
      <c r="C19">
        <v>21.64</v>
      </c>
      <c r="D19">
        <v>21.84</v>
      </c>
      <c r="E19">
        <v>21.58</v>
      </c>
      <c r="F19" t="s">
        <v>417</v>
      </c>
      <c r="G19" s="8">
        <v>3.7000000000000002E-3</v>
      </c>
      <c r="H19" s="3">
        <f t="shared" si="0"/>
        <v>3.6934441366573978E-3</v>
      </c>
    </row>
    <row r="20" spans="1:8" x14ac:dyDescent="0.3">
      <c r="A20" s="7">
        <v>45419</v>
      </c>
      <c r="B20">
        <v>21.72</v>
      </c>
      <c r="C20">
        <v>21.76</v>
      </c>
      <c r="D20">
        <v>21.82</v>
      </c>
      <c r="E20">
        <v>21.58</v>
      </c>
      <c r="F20" t="s">
        <v>430</v>
      </c>
      <c r="G20" s="8">
        <v>-8.9999999999999998E-4</v>
      </c>
      <c r="H20" s="3">
        <f t="shared" si="0"/>
        <v>-9.1996320147191835E-4</v>
      </c>
    </row>
    <row r="21" spans="1:8" x14ac:dyDescent="0.3">
      <c r="A21" s="7">
        <v>45420</v>
      </c>
      <c r="B21">
        <v>21.64</v>
      </c>
      <c r="C21">
        <v>21.75</v>
      </c>
      <c r="D21">
        <v>21.8</v>
      </c>
      <c r="E21">
        <v>21.56</v>
      </c>
      <c r="F21" t="s">
        <v>470</v>
      </c>
      <c r="G21" s="8">
        <v>-3.7000000000000002E-3</v>
      </c>
      <c r="H21" s="3">
        <f t="shared" si="0"/>
        <v>-3.6832412523019054E-3</v>
      </c>
    </row>
    <row r="22" spans="1:8" x14ac:dyDescent="0.3">
      <c r="A22" s="7">
        <v>45421</v>
      </c>
      <c r="B22">
        <v>21.9</v>
      </c>
      <c r="C22">
        <v>21.59</v>
      </c>
      <c r="D22">
        <v>21.98</v>
      </c>
      <c r="E22">
        <v>21.59</v>
      </c>
      <c r="F22" t="s">
        <v>322</v>
      </c>
      <c r="G22" s="8">
        <v>1.2E-2</v>
      </c>
      <c r="H22" s="3">
        <f t="shared" si="0"/>
        <v>1.2014787430683738E-2</v>
      </c>
    </row>
    <row r="23" spans="1:8" x14ac:dyDescent="0.3">
      <c r="A23" s="7">
        <v>45422</v>
      </c>
      <c r="B23">
        <v>21.97</v>
      </c>
      <c r="C23">
        <v>21.91</v>
      </c>
      <c r="D23">
        <v>22.1</v>
      </c>
      <c r="E23">
        <v>21.91</v>
      </c>
      <c r="F23" t="s">
        <v>469</v>
      </c>
      <c r="G23" s="8">
        <v>3.2000000000000002E-3</v>
      </c>
      <c r="H23" s="3">
        <f t="shared" si="0"/>
        <v>3.1963470319635867E-3</v>
      </c>
    </row>
    <row r="24" spans="1:8" x14ac:dyDescent="0.3">
      <c r="A24" s="7">
        <v>45425</v>
      </c>
      <c r="B24">
        <v>22.01</v>
      </c>
      <c r="C24">
        <v>22.07</v>
      </c>
      <c r="D24">
        <v>22.07</v>
      </c>
      <c r="E24">
        <v>21.9</v>
      </c>
      <c r="F24" t="s">
        <v>468</v>
      </c>
      <c r="G24" s="8">
        <v>1.8E-3</v>
      </c>
      <c r="H24" s="3">
        <f t="shared" si="0"/>
        <v>1.8206645425582479E-3</v>
      </c>
    </row>
    <row r="25" spans="1:8" x14ac:dyDescent="0.3">
      <c r="A25" s="7">
        <v>45426</v>
      </c>
      <c r="B25">
        <v>22.01</v>
      </c>
      <c r="C25">
        <v>22.05</v>
      </c>
      <c r="D25">
        <v>22.16</v>
      </c>
      <c r="E25">
        <v>21.91</v>
      </c>
      <c r="F25" t="s">
        <v>467</v>
      </c>
      <c r="G25" s="8">
        <v>0</v>
      </c>
      <c r="H25" s="3">
        <f t="shared" si="0"/>
        <v>0</v>
      </c>
    </row>
    <row r="26" spans="1:8" x14ac:dyDescent="0.3">
      <c r="A26" s="7">
        <v>45427</v>
      </c>
      <c r="B26">
        <v>22.12</v>
      </c>
      <c r="C26">
        <v>22.07</v>
      </c>
      <c r="D26">
        <v>22.25</v>
      </c>
      <c r="E26">
        <v>22.03</v>
      </c>
      <c r="F26" t="s">
        <v>466</v>
      </c>
      <c r="G26" s="8">
        <v>5.0000000000000001E-3</v>
      </c>
      <c r="H26" s="3">
        <f t="shared" si="0"/>
        <v>4.9977283053157517E-3</v>
      </c>
    </row>
    <row r="27" spans="1:8" x14ac:dyDescent="0.3">
      <c r="A27" s="7">
        <v>45428</v>
      </c>
      <c r="B27">
        <v>21.89</v>
      </c>
      <c r="C27">
        <v>21.91</v>
      </c>
      <c r="D27">
        <v>22.12</v>
      </c>
      <c r="E27">
        <v>21.7</v>
      </c>
      <c r="F27" t="s">
        <v>349</v>
      </c>
      <c r="G27" s="8">
        <v>-1.04E-2</v>
      </c>
      <c r="H27" s="3">
        <f t="shared" si="0"/>
        <v>-1.0397830018083254E-2</v>
      </c>
    </row>
    <row r="28" spans="1:8" x14ac:dyDescent="0.3">
      <c r="A28" s="7">
        <v>45429</v>
      </c>
      <c r="B28">
        <v>22</v>
      </c>
      <c r="C28">
        <v>22</v>
      </c>
      <c r="D28">
        <v>22.05</v>
      </c>
      <c r="E28">
        <v>21.8</v>
      </c>
      <c r="F28" t="s">
        <v>465</v>
      </c>
      <c r="G28" s="8">
        <v>5.0000000000000001E-3</v>
      </c>
      <c r="H28" s="3">
        <f t="shared" si="0"/>
        <v>5.0251256281406143E-3</v>
      </c>
    </row>
    <row r="29" spans="1:8" x14ac:dyDescent="0.3">
      <c r="A29" s="7">
        <v>45432</v>
      </c>
      <c r="B29">
        <v>22.21</v>
      </c>
      <c r="C29">
        <v>22.1</v>
      </c>
      <c r="D29">
        <v>22.28</v>
      </c>
      <c r="E29">
        <v>22.08</v>
      </c>
      <c r="F29" t="s">
        <v>409</v>
      </c>
      <c r="G29" s="8">
        <v>9.4999999999999998E-3</v>
      </c>
      <c r="H29" s="3">
        <f t="shared" si="0"/>
        <v>9.5454545454545237E-3</v>
      </c>
    </row>
    <row r="30" spans="1:8" x14ac:dyDescent="0.3">
      <c r="A30" s="7">
        <v>45433</v>
      </c>
      <c r="B30">
        <v>22.13</v>
      </c>
      <c r="C30">
        <v>22.18</v>
      </c>
      <c r="D30">
        <v>22.24</v>
      </c>
      <c r="E30">
        <v>22.07</v>
      </c>
      <c r="F30" t="s">
        <v>464</v>
      </c>
      <c r="G30" s="8">
        <v>-3.5999999999999999E-3</v>
      </c>
      <c r="H30" s="3">
        <f t="shared" si="0"/>
        <v>-3.6019810895994153E-3</v>
      </c>
    </row>
    <row r="31" spans="1:8" x14ac:dyDescent="0.3">
      <c r="A31" s="7">
        <v>45434</v>
      </c>
      <c r="B31">
        <v>22.11</v>
      </c>
      <c r="C31">
        <v>22.19</v>
      </c>
      <c r="D31">
        <v>22.22</v>
      </c>
      <c r="E31">
        <v>21.95</v>
      </c>
      <c r="F31" t="s">
        <v>368</v>
      </c>
      <c r="G31" s="8">
        <v>-8.9999999999999998E-4</v>
      </c>
      <c r="H31" s="3">
        <f t="shared" si="0"/>
        <v>-9.0375056484404137E-4</v>
      </c>
    </row>
    <row r="32" spans="1:8" x14ac:dyDescent="0.3">
      <c r="A32" s="7">
        <v>45435</v>
      </c>
      <c r="B32">
        <v>21.77</v>
      </c>
      <c r="C32">
        <v>21.98</v>
      </c>
      <c r="D32">
        <v>22.03</v>
      </c>
      <c r="E32">
        <v>21.69</v>
      </c>
      <c r="F32" t="s">
        <v>463</v>
      </c>
      <c r="G32" s="8">
        <v>-1.54E-2</v>
      </c>
      <c r="H32" s="3">
        <f t="shared" si="0"/>
        <v>-1.5377657168701986E-2</v>
      </c>
    </row>
    <row r="33" spans="1:8" x14ac:dyDescent="0.3">
      <c r="A33" s="7">
        <v>45436</v>
      </c>
      <c r="B33">
        <v>21.76</v>
      </c>
      <c r="C33">
        <v>21.7</v>
      </c>
      <c r="D33">
        <v>21.8</v>
      </c>
      <c r="E33">
        <v>21.64</v>
      </c>
      <c r="F33" t="s">
        <v>195</v>
      </c>
      <c r="G33" s="8">
        <v>-5.0000000000000001E-4</v>
      </c>
      <c r="H33" s="3">
        <f t="shared" si="0"/>
        <v>-4.5934772622868714E-4</v>
      </c>
    </row>
    <row r="34" spans="1:8" x14ac:dyDescent="0.3">
      <c r="A34" s="7">
        <v>45439</v>
      </c>
      <c r="B34">
        <v>21.76</v>
      </c>
      <c r="C34">
        <v>21.79</v>
      </c>
      <c r="D34">
        <v>21.81</v>
      </c>
      <c r="E34">
        <v>21.67</v>
      </c>
      <c r="F34" t="s">
        <v>112</v>
      </c>
      <c r="G34" s="8">
        <v>0</v>
      </c>
      <c r="H34" s="3">
        <f t="shared" si="0"/>
        <v>0</v>
      </c>
    </row>
    <row r="35" spans="1:8" x14ac:dyDescent="0.3">
      <c r="A35" s="7">
        <v>45440</v>
      </c>
      <c r="B35">
        <v>21.72</v>
      </c>
      <c r="C35">
        <v>21.78</v>
      </c>
      <c r="D35">
        <v>21.81</v>
      </c>
      <c r="E35">
        <v>21.6</v>
      </c>
      <c r="F35" t="s">
        <v>462</v>
      </c>
      <c r="G35" s="8">
        <v>-1.8E-3</v>
      </c>
      <c r="H35" s="3">
        <f t="shared" si="0"/>
        <v>-1.8382352941177516E-3</v>
      </c>
    </row>
    <row r="36" spans="1:8" x14ac:dyDescent="0.3">
      <c r="A36" s="7">
        <v>45441</v>
      </c>
      <c r="B36">
        <v>21.62</v>
      </c>
      <c r="C36">
        <v>21.66</v>
      </c>
      <c r="D36">
        <v>21.75</v>
      </c>
      <c r="E36">
        <v>21.6</v>
      </c>
      <c r="F36" t="s">
        <v>461</v>
      </c>
      <c r="G36" s="8">
        <v>-4.5999999999999999E-3</v>
      </c>
      <c r="H36" s="3">
        <f t="shared" si="0"/>
        <v>-4.604051565377465E-3</v>
      </c>
    </row>
    <row r="37" spans="1:8" x14ac:dyDescent="0.3">
      <c r="A37" s="7">
        <v>45442</v>
      </c>
      <c r="B37">
        <v>22.01</v>
      </c>
      <c r="C37">
        <v>21.65</v>
      </c>
      <c r="D37">
        <v>22.03</v>
      </c>
      <c r="E37">
        <v>21.64</v>
      </c>
      <c r="F37" t="s">
        <v>460</v>
      </c>
      <c r="G37" s="8">
        <v>1.7999999999999999E-2</v>
      </c>
      <c r="H37" s="3">
        <f t="shared" si="0"/>
        <v>1.8038852913968562E-2</v>
      </c>
    </row>
    <row r="38" spans="1:8" x14ac:dyDescent="0.3">
      <c r="A38" s="7">
        <v>45443</v>
      </c>
      <c r="B38">
        <v>22.29</v>
      </c>
      <c r="C38">
        <v>22.12</v>
      </c>
      <c r="D38">
        <v>22.36</v>
      </c>
      <c r="E38">
        <v>22.05</v>
      </c>
      <c r="F38" t="s">
        <v>459</v>
      </c>
      <c r="G38" s="8">
        <v>1.2699999999999999E-2</v>
      </c>
      <c r="H38" s="3">
        <f t="shared" si="0"/>
        <v>1.2721490231712762E-2</v>
      </c>
    </row>
    <row r="39" spans="1:8" x14ac:dyDescent="0.3">
      <c r="A39" s="7">
        <v>45446</v>
      </c>
      <c r="B39">
        <v>22.64</v>
      </c>
      <c r="C39">
        <v>22.41</v>
      </c>
      <c r="D39">
        <v>22.71</v>
      </c>
      <c r="E39">
        <v>22.38</v>
      </c>
      <c r="F39" t="s">
        <v>458</v>
      </c>
      <c r="G39" s="8">
        <v>1.5699999999999999E-2</v>
      </c>
      <c r="H39" s="3">
        <f t="shared" si="0"/>
        <v>1.5702108568865114E-2</v>
      </c>
    </row>
    <row r="40" spans="1:8" x14ac:dyDescent="0.3">
      <c r="A40" s="7">
        <v>45447</v>
      </c>
      <c r="B40">
        <v>22.25</v>
      </c>
      <c r="C40">
        <v>22.01</v>
      </c>
      <c r="D40">
        <v>22.41</v>
      </c>
      <c r="E40">
        <v>22</v>
      </c>
      <c r="F40" t="s">
        <v>457</v>
      </c>
      <c r="G40" s="8">
        <v>-1.72E-2</v>
      </c>
      <c r="H40" s="3">
        <f t="shared" si="0"/>
        <v>-1.7226148409894004E-2</v>
      </c>
    </row>
    <row r="41" spans="1:8" x14ac:dyDescent="0.3">
      <c r="A41" s="7">
        <v>45448</v>
      </c>
      <c r="B41">
        <v>22.61</v>
      </c>
      <c r="C41">
        <v>22.48</v>
      </c>
      <c r="D41">
        <v>22.71</v>
      </c>
      <c r="E41">
        <v>22.43</v>
      </c>
      <c r="F41" t="s">
        <v>456</v>
      </c>
      <c r="G41" s="8">
        <v>1.6199999999999999E-2</v>
      </c>
      <c r="H41" s="3">
        <f t="shared" si="0"/>
        <v>1.6179775280898756E-2</v>
      </c>
    </row>
    <row r="42" spans="1:8" x14ac:dyDescent="0.3">
      <c r="A42" s="7">
        <v>45449</v>
      </c>
      <c r="B42">
        <v>22.63</v>
      </c>
      <c r="C42">
        <v>22.65</v>
      </c>
      <c r="D42">
        <v>22.76</v>
      </c>
      <c r="E42">
        <v>22.47</v>
      </c>
      <c r="F42" t="s">
        <v>455</v>
      </c>
      <c r="G42" s="8">
        <v>8.9999999999999998E-4</v>
      </c>
      <c r="H42" s="3">
        <f t="shared" si="0"/>
        <v>8.8456435205652717E-4</v>
      </c>
    </row>
    <row r="43" spans="1:8" x14ac:dyDescent="0.3">
      <c r="A43" s="7">
        <v>45450</v>
      </c>
      <c r="B43">
        <v>22.59</v>
      </c>
      <c r="C43">
        <v>22.6</v>
      </c>
      <c r="D43">
        <v>22.7</v>
      </c>
      <c r="E43">
        <v>22.49</v>
      </c>
      <c r="F43" t="s">
        <v>401</v>
      </c>
      <c r="G43" s="8">
        <v>-1.8E-3</v>
      </c>
      <c r="H43" s="3">
        <f t="shared" si="0"/>
        <v>-1.7675651789659241E-3</v>
      </c>
    </row>
    <row r="44" spans="1:8" x14ac:dyDescent="0.3">
      <c r="A44" s="7">
        <v>45453</v>
      </c>
      <c r="B44">
        <v>22.61</v>
      </c>
      <c r="C44">
        <v>22.53</v>
      </c>
      <c r="D44">
        <v>22.68</v>
      </c>
      <c r="E44">
        <v>22.43</v>
      </c>
      <c r="F44" t="s">
        <v>371</v>
      </c>
      <c r="G44" s="8">
        <v>8.9999999999999998E-4</v>
      </c>
      <c r="H44" s="3">
        <f t="shared" si="0"/>
        <v>8.8534749889324083E-4</v>
      </c>
    </row>
    <row r="45" spans="1:8" x14ac:dyDescent="0.3">
      <c r="A45" s="7">
        <v>45454</v>
      </c>
      <c r="B45">
        <v>22.61</v>
      </c>
      <c r="C45">
        <v>22.67</v>
      </c>
      <c r="D45">
        <v>22.75</v>
      </c>
      <c r="E45">
        <v>22.41</v>
      </c>
      <c r="F45" t="s">
        <v>454</v>
      </c>
      <c r="G45" s="8">
        <v>0</v>
      </c>
      <c r="H45" s="3">
        <f t="shared" si="0"/>
        <v>0</v>
      </c>
    </row>
    <row r="46" spans="1:8" x14ac:dyDescent="0.3">
      <c r="A46" s="7">
        <v>45455</v>
      </c>
      <c r="B46">
        <v>22.54</v>
      </c>
      <c r="C46">
        <v>22.69</v>
      </c>
      <c r="D46">
        <v>22.79</v>
      </c>
      <c r="E46">
        <v>22.44</v>
      </c>
      <c r="F46" t="s">
        <v>453</v>
      </c>
      <c r="G46" s="8">
        <v>-3.0999999999999999E-3</v>
      </c>
      <c r="H46" s="3">
        <f t="shared" si="0"/>
        <v>-3.0959752321981782E-3</v>
      </c>
    </row>
    <row r="47" spans="1:8" x14ac:dyDescent="0.3">
      <c r="A47" s="7">
        <v>45456</v>
      </c>
      <c r="B47">
        <v>22.53</v>
      </c>
      <c r="C47">
        <v>22.54</v>
      </c>
      <c r="D47">
        <v>22.77</v>
      </c>
      <c r="E47">
        <v>22.5</v>
      </c>
      <c r="F47" t="s">
        <v>371</v>
      </c>
      <c r="G47" s="8">
        <v>-4.0000000000000002E-4</v>
      </c>
      <c r="H47" s="3">
        <f t="shared" si="0"/>
        <v>-4.4365572315874235E-4</v>
      </c>
    </row>
    <row r="48" spans="1:8" x14ac:dyDescent="0.3">
      <c r="A48" s="7">
        <v>45457</v>
      </c>
      <c r="B48">
        <v>22.63</v>
      </c>
      <c r="C48">
        <v>22.57</v>
      </c>
      <c r="D48">
        <v>22.73</v>
      </c>
      <c r="E48">
        <v>22.44</v>
      </c>
      <c r="F48" t="s">
        <v>452</v>
      </c>
      <c r="G48" s="8">
        <v>4.4000000000000003E-3</v>
      </c>
      <c r="H48" s="3">
        <f t="shared" si="0"/>
        <v>4.4385264092321464E-3</v>
      </c>
    </row>
    <row r="49" spans="1:8" x14ac:dyDescent="0.3">
      <c r="A49" s="7">
        <v>45460</v>
      </c>
      <c r="B49">
        <v>22.57</v>
      </c>
      <c r="C49">
        <v>22.77</v>
      </c>
      <c r="D49">
        <v>22.79</v>
      </c>
      <c r="E49">
        <v>22.48</v>
      </c>
      <c r="F49" t="s">
        <v>451</v>
      </c>
      <c r="G49" s="8">
        <v>-2.7000000000000001E-3</v>
      </c>
      <c r="H49" s="3">
        <f t="shared" si="0"/>
        <v>-2.6513477684488862E-3</v>
      </c>
    </row>
    <row r="50" spans="1:8" x14ac:dyDescent="0.3">
      <c r="A50" s="7">
        <v>45461</v>
      </c>
      <c r="B50">
        <v>22.8</v>
      </c>
      <c r="C50">
        <v>22.74</v>
      </c>
      <c r="D50">
        <v>22.8</v>
      </c>
      <c r="E50">
        <v>22.6</v>
      </c>
      <c r="F50" t="s">
        <v>340</v>
      </c>
      <c r="G50" s="8">
        <v>1.0200000000000001E-2</v>
      </c>
      <c r="H50" s="3">
        <f t="shared" si="0"/>
        <v>1.0190518387239722E-2</v>
      </c>
    </row>
    <row r="51" spans="1:8" x14ac:dyDescent="0.3">
      <c r="A51" s="7">
        <v>45462</v>
      </c>
      <c r="B51">
        <v>22.89</v>
      </c>
      <c r="C51">
        <v>22.81</v>
      </c>
      <c r="D51">
        <v>22.9</v>
      </c>
      <c r="E51">
        <v>22.78</v>
      </c>
      <c r="F51" t="s">
        <v>450</v>
      </c>
      <c r="G51" s="8">
        <v>3.8999999999999998E-3</v>
      </c>
      <c r="H51" s="3">
        <f t="shared" si="0"/>
        <v>3.9473684210526994E-3</v>
      </c>
    </row>
    <row r="52" spans="1:8" x14ac:dyDescent="0.3">
      <c r="A52" s="7">
        <v>45463</v>
      </c>
      <c r="B52">
        <v>22.89</v>
      </c>
      <c r="C52">
        <v>22.92</v>
      </c>
      <c r="D52">
        <v>22.95</v>
      </c>
      <c r="E52">
        <v>22.75</v>
      </c>
      <c r="F52" t="s">
        <v>449</v>
      </c>
      <c r="G52" s="8">
        <v>0</v>
      </c>
      <c r="H52" s="3">
        <f t="shared" si="0"/>
        <v>0</v>
      </c>
    </row>
    <row r="53" spans="1:8" x14ac:dyDescent="0.3">
      <c r="A53" s="7">
        <v>45464</v>
      </c>
      <c r="B53">
        <v>22.88</v>
      </c>
      <c r="C53">
        <v>22.9</v>
      </c>
      <c r="D53">
        <v>23</v>
      </c>
      <c r="E53">
        <v>22.8</v>
      </c>
      <c r="F53" t="s">
        <v>448</v>
      </c>
      <c r="G53" s="8">
        <v>-4.0000000000000002E-4</v>
      </c>
      <c r="H53" s="3">
        <f t="shared" si="0"/>
        <v>-4.36871996505106E-4</v>
      </c>
    </row>
    <row r="54" spans="1:8" x14ac:dyDescent="0.3">
      <c r="A54" s="7">
        <v>45467</v>
      </c>
      <c r="B54">
        <v>23.15</v>
      </c>
      <c r="C54">
        <v>22.95</v>
      </c>
      <c r="D54">
        <v>23.2</v>
      </c>
      <c r="E54">
        <v>22.91</v>
      </c>
      <c r="F54" t="s">
        <v>447</v>
      </c>
      <c r="G54" s="8">
        <v>1.18E-2</v>
      </c>
      <c r="H54" s="3">
        <f t="shared" si="0"/>
        <v>1.180069930069938E-2</v>
      </c>
    </row>
    <row r="55" spans="1:8" x14ac:dyDescent="0.3">
      <c r="A55" s="7">
        <v>45468</v>
      </c>
      <c r="B55">
        <v>23.32</v>
      </c>
      <c r="C55">
        <v>23.24</v>
      </c>
      <c r="D55">
        <v>23.45</v>
      </c>
      <c r="E55">
        <v>23.09</v>
      </c>
      <c r="F55" t="s">
        <v>446</v>
      </c>
      <c r="G55" s="8">
        <v>7.3000000000000001E-3</v>
      </c>
      <c r="H55" s="3">
        <f t="shared" si="0"/>
        <v>7.3434125269979944E-3</v>
      </c>
    </row>
    <row r="56" spans="1:8" x14ac:dyDescent="0.3">
      <c r="A56" s="7">
        <v>45469</v>
      </c>
      <c r="B56">
        <v>23.32</v>
      </c>
      <c r="C56">
        <v>23.4</v>
      </c>
      <c r="D56">
        <v>23.48</v>
      </c>
      <c r="E56">
        <v>23.17</v>
      </c>
      <c r="F56" t="s">
        <v>445</v>
      </c>
      <c r="G56" s="8">
        <v>0</v>
      </c>
      <c r="H56" s="3">
        <f t="shared" si="0"/>
        <v>0</v>
      </c>
    </row>
    <row r="57" spans="1:8" x14ac:dyDescent="0.3">
      <c r="A57" s="7">
        <v>45470</v>
      </c>
      <c r="B57">
        <v>23.37</v>
      </c>
      <c r="C57">
        <v>23.29</v>
      </c>
      <c r="D57">
        <v>23.46</v>
      </c>
      <c r="E57">
        <v>23.29</v>
      </c>
      <c r="F57" t="s">
        <v>444</v>
      </c>
      <c r="G57" s="8">
        <v>2.0999999999999999E-3</v>
      </c>
      <c r="H57" s="3">
        <f t="shared" si="0"/>
        <v>2.1440823327616432E-3</v>
      </c>
    </row>
    <row r="58" spans="1:8" x14ac:dyDescent="0.3">
      <c r="A58" s="7">
        <v>45471</v>
      </c>
      <c r="B58">
        <v>23.48</v>
      </c>
      <c r="C58">
        <v>23.47</v>
      </c>
      <c r="D58">
        <v>23.54</v>
      </c>
      <c r="E58">
        <v>23.39</v>
      </c>
      <c r="F58" t="s">
        <v>443</v>
      </c>
      <c r="G58" s="8">
        <v>4.7000000000000002E-3</v>
      </c>
      <c r="H58" s="3">
        <f t="shared" si="0"/>
        <v>4.7068891741548491E-3</v>
      </c>
    </row>
    <row r="59" spans="1:8" x14ac:dyDescent="0.3">
      <c r="A59" s="7">
        <v>45474</v>
      </c>
      <c r="B59">
        <v>23.68</v>
      </c>
      <c r="C59">
        <v>23.66</v>
      </c>
      <c r="D59">
        <v>23.78</v>
      </c>
      <c r="E59">
        <v>23.52</v>
      </c>
      <c r="F59" t="s">
        <v>442</v>
      </c>
      <c r="G59" s="8">
        <v>8.5000000000000006E-3</v>
      </c>
      <c r="H59" s="3">
        <f t="shared" si="0"/>
        <v>8.5178875638840523E-3</v>
      </c>
    </row>
    <row r="60" spans="1:8" x14ac:dyDescent="0.3">
      <c r="A60" s="7">
        <v>45475</v>
      </c>
      <c r="B60">
        <v>23.51</v>
      </c>
      <c r="C60">
        <v>23.72</v>
      </c>
      <c r="D60">
        <v>23.72</v>
      </c>
      <c r="E60">
        <v>23.45</v>
      </c>
      <c r="F60" t="s">
        <v>441</v>
      </c>
      <c r="G60" s="8">
        <v>-7.1999999999999998E-3</v>
      </c>
      <c r="H60" s="3">
        <f t="shared" si="0"/>
        <v>-7.179054054053946E-3</v>
      </c>
    </row>
    <row r="61" spans="1:8" x14ac:dyDescent="0.3">
      <c r="A61" s="7">
        <v>45476</v>
      </c>
      <c r="B61">
        <v>23.76</v>
      </c>
      <c r="C61">
        <v>23.56</v>
      </c>
      <c r="D61">
        <v>23.79</v>
      </c>
      <c r="E61">
        <v>23.53</v>
      </c>
      <c r="F61" t="s">
        <v>440</v>
      </c>
      <c r="G61" s="8">
        <v>1.06E-2</v>
      </c>
      <c r="H61" s="3">
        <f t="shared" si="0"/>
        <v>1.0633772862611579E-2</v>
      </c>
    </row>
    <row r="62" spans="1:8" x14ac:dyDescent="0.3">
      <c r="A62" s="7">
        <v>45477</v>
      </c>
      <c r="B62">
        <v>23.75</v>
      </c>
      <c r="C62">
        <v>23.74</v>
      </c>
      <c r="D62">
        <v>23.86</v>
      </c>
      <c r="E62">
        <v>23.73</v>
      </c>
      <c r="F62" t="s">
        <v>29</v>
      </c>
      <c r="G62" s="8">
        <v>-4.0000000000000002E-4</v>
      </c>
      <c r="H62" s="3">
        <f t="shared" si="0"/>
        <v>-4.2087542087543284E-4</v>
      </c>
    </row>
    <row r="63" spans="1:8" x14ac:dyDescent="0.3">
      <c r="A63" s="7">
        <v>45478</v>
      </c>
      <c r="B63">
        <v>23.83</v>
      </c>
      <c r="C63">
        <v>23.8</v>
      </c>
      <c r="D63">
        <v>24</v>
      </c>
      <c r="E63">
        <v>23.78</v>
      </c>
      <c r="F63" t="s">
        <v>439</v>
      </c>
      <c r="G63" s="8">
        <v>3.3999999999999998E-3</v>
      </c>
      <c r="H63" s="3">
        <f t="shared" si="0"/>
        <v>3.3684210526314651E-3</v>
      </c>
    </row>
    <row r="64" spans="1:8" x14ac:dyDescent="0.3">
      <c r="A64" s="7">
        <v>45481</v>
      </c>
      <c r="B64">
        <v>23.9</v>
      </c>
      <c r="C64">
        <v>23.77</v>
      </c>
      <c r="D64">
        <v>24.02</v>
      </c>
      <c r="E64">
        <v>23.77</v>
      </c>
      <c r="F64" t="s">
        <v>371</v>
      </c>
      <c r="G64" s="8">
        <v>2.8999999999999998E-3</v>
      </c>
      <c r="H64" s="3">
        <f t="shared" si="0"/>
        <v>2.9374737725555988E-3</v>
      </c>
    </row>
    <row r="65" spans="1:8" x14ac:dyDescent="0.3">
      <c r="A65" s="7">
        <v>45482</v>
      </c>
      <c r="B65">
        <v>23.64</v>
      </c>
      <c r="C65">
        <v>23.89</v>
      </c>
      <c r="D65">
        <v>23.91</v>
      </c>
      <c r="E65">
        <v>23.6</v>
      </c>
      <c r="F65" t="s">
        <v>438</v>
      </c>
      <c r="G65" s="8">
        <v>-1.09E-2</v>
      </c>
      <c r="H65" s="3">
        <f t="shared" si="0"/>
        <v>-1.0878661087866059E-2</v>
      </c>
    </row>
    <row r="66" spans="1:8" x14ac:dyDescent="0.3">
      <c r="A66" s="7">
        <v>45483</v>
      </c>
      <c r="B66">
        <v>23.85</v>
      </c>
      <c r="C66">
        <v>23.74</v>
      </c>
      <c r="D66">
        <v>23.88</v>
      </c>
      <c r="E66">
        <v>23.67</v>
      </c>
      <c r="F66" t="s">
        <v>13</v>
      </c>
      <c r="G66" s="8">
        <v>8.8999999999999999E-3</v>
      </c>
      <c r="H66" s="3">
        <f t="shared" si="0"/>
        <v>8.8832487309644659E-3</v>
      </c>
    </row>
    <row r="67" spans="1:8" x14ac:dyDescent="0.3">
      <c r="A67" s="7">
        <v>45484</v>
      </c>
      <c r="B67">
        <v>23.76</v>
      </c>
      <c r="C67">
        <v>23.92</v>
      </c>
      <c r="D67">
        <v>23.95</v>
      </c>
      <c r="E67">
        <v>23.69</v>
      </c>
      <c r="F67" t="s">
        <v>437</v>
      </c>
      <c r="G67" s="8">
        <v>-3.8E-3</v>
      </c>
      <c r="H67" s="3">
        <f t="shared" si="0"/>
        <v>-3.7735849056603765E-3</v>
      </c>
    </row>
    <row r="68" spans="1:8" x14ac:dyDescent="0.3">
      <c r="A68" s="7">
        <v>45485</v>
      </c>
      <c r="B68">
        <v>23.88</v>
      </c>
      <c r="C68">
        <v>23.8</v>
      </c>
      <c r="D68">
        <v>23.99</v>
      </c>
      <c r="E68">
        <v>23.8</v>
      </c>
      <c r="F68" t="s">
        <v>436</v>
      </c>
      <c r="G68" s="8">
        <v>5.1000000000000004E-3</v>
      </c>
      <c r="H68" s="3">
        <f t="shared" ref="H68:H131" si="1">(B68/B67)-1</f>
        <v>5.050505050504972E-3</v>
      </c>
    </row>
    <row r="69" spans="1:8" x14ac:dyDescent="0.3">
      <c r="A69" s="7">
        <v>45488</v>
      </c>
      <c r="B69">
        <v>23.8</v>
      </c>
      <c r="C69">
        <v>23.86</v>
      </c>
      <c r="D69">
        <v>23.94</v>
      </c>
      <c r="E69">
        <v>23.78</v>
      </c>
      <c r="F69" t="s">
        <v>270</v>
      </c>
      <c r="G69" s="8">
        <v>-3.3999999999999998E-3</v>
      </c>
      <c r="H69" s="3">
        <f t="shared" si="1"/>
        <v>-3.3500837520937798E-3</v>
      </c>
    </row>
    <row r="70" spans="1:8" x14ac:dyDescent="0.3">
      <c r="A70" s="7">
        <v>45489</v>
      </c>
      <c r="B70">
        <v>23.81</v>
      </c>
      <c r="C70">
        <v>23.77</v>
      </c>
      <c r="D70">
        <v>23.9</v>
      </c>
      <c r="E70">
        <v>23.68</v>
      </c>
      <c r="F70" t="s">
        <v>406</v>
      </c>
      <c r="G70" s="8">
        <v>4.0000000000000002E-4</v>
      </c>
      <c r="H70" s="3">
        <f t="shared" si="1"/>
        <v>4.2016806722688926E-4</v>
      </c>
    </row>
    <row r="71" spans="1:8" x14ac:dyDescent="0.3">
      <c r="A71" s="7">
        <v>45490</v>
      </c>
      <c r="B71">
        <v>24.04</v>
      </c>
      <c r="C71">
        <v>23.82</v>
      </c>
      <c r="D71">
        <v>24.06</v>
      </c>
      <c r="E71">
        <v>23.8</v>
      </c>
      <c r="F71" t="s">
        <v>435</v>
      </c>
      <c r="G71" s="8">
        <v>9.7000000000000003E-3</v>
      </c>
      <c r="H71" s="3">
        <f t="shared" si="1"/>
        <v>9.6598068038640239E-3</v>
      </c>
    </row>
    <row r="72" spans="1:8" x14ac:dyDescent="0.3">
      <c r="A72" s="7">
        <v>45491</v>
      </c>
      <c r="B72">
        <v>24.26</v>
      </c>
      <c r="C72">
        <v>24.15</v>
      </c>
      <c r="D72">
        <v>24.3</v>
      </c>
      <c r="E72">
        <v>24.12</v>
      </c>
      <c r="F72" t="s">
        <v>434</v>
      </c>
      <c r="G72" s="8">
        <v>9.1999999999999998E-3</v>
      </c>
      <c r="H72" s="3">
        <f t="shared" si="1"/>
        <v>9.1514143094841849E-3</v>
      </c>
    </row>
    <row r="73" spans="1:8" x14ac:dyDescent="0.3">
      <c r="A73" s="7">
        <v>45492</v>
      </c>
      <c r="B73">
        <v>24.19</v>
      </c>
      <c r="C73">
        <v>24.22</v>
      </c>
      <c r="D73">
        <v>24.32</v>
      </c>
      <c r="E73">
        <v>24.15</v>
      </c>
      <c r="F73" t="s">
        <v>433</v>
      </c>
      <c r="G73" s="8">
        <v>-2.8999999999999998E-3</v>
      </c>
      <c r="H73" s="3">
        <f t="shared" si="1"/>
        <v>-2.8854080791426151E-3</v>
      </c>
    </row>
    <row r="74" spans="1:8" x14ac:dyDescent="0.3">
      <c r="A74" s="7">
        <v>45495</v>
      </c>
      <c r="B74">
        <v>24.31</v>
      </c>
      <c r="C74">
        <v>24.36</v>
      </c>
      <c r="D74">
        <v>24.41</v>
      </c>
      <c r="E74">
        <v>24.22</v>
      </c>
      <c r="F74" t="s">
        <v>432</v>
      </c>
      <c r="G74" s="8">
        <v>5.0000000000000001E-3</v>
      </c>
      <c r="H74" s="3">
        <f t="shared" si="1"/>
        <v>4.9607275733773992E-3</v>
      </c>
    </row>
    <row r="75" spans="1:8" x14ac:dyDescent="0.3">
      <c r="A75" s="7">
        <v>45496</v>
      </c>
      <c r="B75">
        <v>24.15</v>
      </c>
      <c r="C75">
        <v>24.22</v>
      </c>
      <c r="D75">
        <v>24.25</v>
      </c>
      <c r="E75">
        <v>24.12</v>
      </c>
      <c r="F75" t="s">
        <v>431</v>
      </c>
      <c r="G75" s="8">
        <v>-6.6E-3</v>
      </c>
      <c r="H75" s="3">
        <f t="shared" si="1"/>
        <v>-6.5816536404771364E-3</v>
      </c>
    </row>
    <row r="76" spans="1:8" x14ac:dyDescent="0.3">
      <c r="A76" s="7">
        <v>45497</v>
      </c>
      <c r="B76">
        <v>24.02</v>
      </c>
      <c r="C76">
        <v>24.01</v>
      </c>
      <c r="D76">
        <v>24.06</v>
      </c>
      <c r="E76">
        <v>23.8</v>
      </c>
      <c r="F76" t="s">
        <v>430</v>
      </c>
      <c r="G76" s="8">
        <v>-5.4000000000000003E-3</v>
      </c>
      <c r="H76" s="3">
        <f t="shared" si="1"/>
        <v>-5.3830227743271175E-3</v>
      </c>
    </row>
    <row r="77" spans="1:8" x14ac:dyDescent="0.3">
      <c r="A77" s="7">
        <v>45498</v>
      </c>
      <c r="B77">
        <v>24.21</v>
      </c>
      <c r="C77">
        <v>24.02</v>
      </c>
      <c r="D77">
        <v>24.3</v>
      </c>
      <c r="E77">
        <v>24.01</v>
      </c>
      <c r="F77" t="s">
        <v>429</v>
      </c>
      <c r="G77" s="8">
        <v>7.9000000000000008E-3</v>
      </c>
      <c r="H77" s="3">
        <f t="shared" si="1"/>
        <v>7.9100749375520252E-3</v>
      </c>
    </row>
    <row r="78" spans="1:8" x14ac:dyDescent="0.3">
      <c r="A78" s="7">
        <v>45499</v>
      </c>
      <c r="B78">
        <v>24.24</v>
      </c>
      <c r="C78">
        <v>24.15</v>
      </c>
      <c r="D78">
        <v>24.26</v>
      </c>
      <c r="E78">
        <v>24.09</v>
      </c>
      <c r="F78" t="s">
        <v>428</v>
      </c>
      <c r="G78" s="8">
        <v>1.1999999999999999E-3</v>
      </c>
      <c r="H78" s="3">
        <f t="shared" si="1"/>
        <v>1.2391573729861882E-3</v>
      </c>
    </row>
    <row r="79" spans="1:8" x14ac:dyDescent="0.3">
      <c r="A79" s="7">
        <v>45502</v>
      </c>
      <c r="B79">
        <v>24.17</v>
      </c>
      <c r="C79">
        <v>24.36</v>
      </c>
      <c r="D79">
        <v>24.43</v>
      </c>
      <c r="E79">
        <v>24.1</v>
      </c>
      <c r="F79" t="s">
        <v>259</v>
      </c>
      <c r="G79" s="8">
        <v>-2.8999999999999998E-3</v>
      </c>
      <c r="H79" s="3">
        <f t="shared" si="1"/>
        <v>-2.8877887788777423E-3</v>
      </c>
    </row>
    <row r="80" spans="1:8" x14ac:dyDescent="0.3">
      <c r="A80" s="7">
        <v>45503</v>
      </c>
      <c r="B80">
        <v>24.09</v>
      </c>
      <c r="C80">
        <v>24.22</v>
      </c>
      <c r="D80">
        <v>24.25</v>
      </c>
      <c r="E80">
        <v>24.09</v>
      </c>
      <c r="F80" t="s">
        <v>30</v>
      </c>
      <c r="G80" s="8">
        <v>-3.3E-3</v>
      </c>
      <c r="H80" s="3">
        <f t="shared" si="1"/>
        <v>-3.3098882912702132E-3</v>
      </c>
    </row>
    <row r="81" spans="1:8" x14ac:dyDescent="0.3">
      <c r="A81" s="7">
        <v>45504</v>
      </c>
      <c r="B81">
        <v>24.17</v>
      </c>
      <c r="C81">
        <v>23.89</v>
      </c>
      <c r="D81">
        <v>24.17</v>
      </c>
      <c r="E81">
        <v>23.79</v>
      </c>
      <c r="F81" t="s">
        <v>427</v>
      </c>
      <c r="G81" s="8">
        <v>3.3E-3</v>
      </c>
      <c r="H81" s="3">
        <f t="shared" si="1"/>
        <v>3.3208800332089616E-3</v>
      </c>
    </row>
    <row r="82" spans="1:8" x14ac:dyDescent="0.3">
      <c r="A82" s="7">
        <v>45505</v>
      </c>
      <c r="B82">
        <v>23.96</v>
      </c>
      <c r="C82">
        <v>24.11</v>
      </c>
      <c r="D82">
        <v>24.21</v>
      </c>
      <c r="E82">
        <v>23.92</v>
      </c>
      <c r="F82" t="s">
        <v>426</v>
      </c>
      <c r="G82" s="8">
        <v>-8.6999999999999994E-3</v>
      </c>
      <c r="H82" s="3">
        <f t="shared" si="1"/>
        <v>-8.6884567645841848E-3</v>
      </c>
    </row>
    <row r="83" spans="1:8" x14ac:dyDescent="0.3">
      <c r="A83" s="7">
        <v>45506</v>
      </c>
      <c r="B83">
        <v>24.12</v>
      </c>
      <c r="C83">
        <v>24.09</v>
      </c>
      <c r="D83">
        <v>24.39</v>
      </c>
      <c r="E83">
        <v>23.93</v>
      </c>
      <c r="F83" t="s">
        <v>425</v>
      </c>
      <c r="G83" s="8">
        <v>6.7000000000000002E-3</v>
      </c>
      <c r="H83" s="3">
        <f t="shared" si="1"/>
        <v>6.6777963272119933E-3</v>
      </c>
    </row>
    <row r="84" spans="1:8" x14ac:dyDescent="0.3">
      <c r="A84" s="7">
        <v>45509</v>
      </c>
      <c r="B84">
        <v>23.79</v>
      </c>
      <c r="C84">
        <v>23.91</v>
      </c>
      <c r="D84">
        <v>23.98</v>
      </c>
      <c r="E84">
        <v>23.54</v>
      </c>
      <c r="F84" t="s">
        <v>424</v>
      </c>
      <c r="G84" s="8">
        <v>-1.37E-2</v>
      </c>
      <c r="H84" s="3">
        <f t="shared" si="1"/>
        <v>-1.3681592039801016E-2</v>
      </c>
    </row>
    <row r="85" spans="1:8" x14ac:dyDescent="0.3">
      <c r="A85" s="7">
        <v>45510</v>
      </c>
      <c r="B85">
        <v>23.74</v>
      </c>
      <c r="C85">
        <v>23.71</v>
      </c>
      <c r="D85">
        <v>23.81</v>
      </c>
      <c r="E85">
        <v>23.47</v>
      </c>
      <c r="F85" t="s">
        <v>423</v>
      </c>
      <c r="G85" s="8">
        <v>-2.0999999999999999E-3</v>
      </c>
      <c r="H85" s="3">
        <f t="shared" si="1"/>
        <v>-2.1017234131988083E-3</v>
      </c>
    </row>
    <row r="86" spans="1:8" x14ac:dyDescent="0.3">
      <c r="A86" s="7">
        <v>45511</v>
      </c>
      <c r="B86">
        <v>23.92</v>
      </c>
      <c r="C86">
        <v>23.68</v>
      </c>
      <c r="D86">
        <v>24.08</v>
      </c>
      <c r="E86">
        <v>23.66</v>
      </c>
      <c r="F86" t="s">
        <v>422</v>
      </c>
      <c r="G86" s="8">
        <v>7.6E-3</v>
      </c>
      <c r="H86" s="3">
        <f t="shared" si="1"/>
        <v>7.5821398483573166E-3</v>
      </c>
    </row>
    <row r="87" spans="1:8" x14ac:dyDescent="0.3">
      <c r="A87" s="7">
        <v>45512</v>
      </c>
      <c r="B87">
        <v>24.37</v>
      </c>
      <c r="C87">
        <v>24.42</v>
      </c>
      <c r="D87">
        <v>24.56</v>
      </c>
      <c r="E87">
        <v>24.11</v>
      </c>
      <c r="F87" t="s">
        <v>421</v>
      </c>
      <c r="G87" s="8">
        <v>1.8800000000000001E-2</v>
      </c>
      <c r="H87" s="3">
        <f t="shared" si="1"/>
        <v>1.8812709030100239E-2</v>
      </c>
    </row>
    <row r="88" spans="1:8" x14ac:dyDescent="0.3">
      <c r="A88" s="7">
        <v>45513</v>
      </c>
      <c r="B88">
        <v>24.61</v>
      </c>
      <c r="C88">
        <v>24.39</v>
      </c>
      <c r="D88">
        <v>24.61</v>
      </c>
      <c r="E88">
        <v>24.25</v>
      </c>
      <c r="F88" t="s">
        <v>420</v>
      </c>
      <c r="G88" s="8">
        <v>9.7999999999999997E-3</v>
      </c>
      <c r="H88" s="3">
        <f t="shared" si="1"/>
        <v>9.8481739844069605E-3</v>
      </c>
    </row>
    <row r="89" spans="1:8" x14ac:dyDescent="0.3">
      <c r="A89" s="7">
        <v>45516</v>
      </c>
      <c r="B89">
        <v>24.73</v>
      </c>
      <c r="C89">
        <v>24.74</v>
      </c>
      <c r="D89">
        <v>24.83</v>
      </c>
      <c r="E89">
        <v>24.57</v>
      </c>
      <c r="F89" t="s">
        <v>395</v>
      </c>
      <c r="G89" s="8">
        <v>4.8999999999999998E-3</v>
      </c>
      <c r="H89" s="3">
        <f t="shared" si="1"/>
        <v>4.8760666395775143E-3</v>
      </c>
    </row>
    <row r="90" spans="1:8" x14ac:dyDescent="0.3">
      <c r="A90" s="7">
        <v>45517</v>
      </c>
      <c r="B90">
        <v>24.76</v>
      </c>
      <c r="C90">
        <v>24.76</v>
      </c>
      <c r="D90">
        <v>24.82</v>
      </c>
      <c r="E90">
        <v>24.67</v>
      </c>
      <c r="F90" t="s">
        <v>305</v>
      </c>
      <c r="G90" s="8">
        <v>1.1999999999999999E-3</v>
      </c>
      <c r="H90" s="3">
        <f t="shared" si="1"/>
        <v>1.2131014961584974E-3</v>
      </c>
    </row>
    <row r="91" spans="1:8" x14ac:dyDescent="0.3">
      <c r="A91" s="7">
        <v>45518</v>
      </c>
      <c r="B91">
        <v>24.95</v>
      </c>
      <c r="C91">
        <v>24.78</v>
      </c>
      <c r="D91">
        <v>24.95</v>
      </c>
      <c r="E91">
        <v>24.78</v>
      </c>
      <c r="F91" t="s">
        <v>10</v>
      </c>
      <c r="G91" s="8">
        <v>7.7000000000000002E-3</v>
      </c>
      <c r="H91" s="3">
        <f t="shared" si="1"/>
        <v>7.6736672051695987E-3</v>
      </c>
    </row>
    <row r="92" spans="1:8" x14ac:dyDescent="0.3">
      <c r="A92" s="7">
        <v>45519</v>
      </c>
      <c r="B92">
        <v>25</v>
      </c>
      <c r="C92">
        <v>25</v>
      </c>
      <c r="D92">
        <v>25.08</v>
      </c>
      <c r="E92">
        <v>24.9</v>
      </c>
      <c r="F92" t="s">
        <v>406</v>
      </c>
      <c r="G92" s="8">
        <v>2E-3</v>
      </c>
      <c r="H92" s="3">
        <f t="shared" si="1"/>
        <v>2.0040080160321772E-3</v>
      </c>
    </row>
    <row r="93" spans="1:8" x14ac:dyDescent="0.3">
      <c r="A93" s="7">
        <v>45520</v>
      </c>
      <c r="B93">
        <v>25.15</v>
      </c>
      <c r="C93">
        <v>24.98</v>
      </c>
      <c r="D93">
        <v>25.18</v>
      </c>
      <c r="E93">
        <v>24.96</v>
      </c>
      <c r="F93" t="s">
        <v>347</v>
      </c>
      <c r="G93" s="8">
        <v>6.0000000000000001E-3</v>
      </c>
      <c r="H93" s="3">
        <f t="shared" si="1"/>
        <v>6.0000000000000053E-3</v>
      </c>
    </row>
    <row r="94" spans="1:8" x14ac:dyDescent="0.3">
      <c r="A94" s="7">
        <v>45523</v>
      </c>
      <c r="B94">
        <v>25.22</v>
      </c>
      <c r="C94">
        <v>25.2</v>
      </c>
      <c r="D94">
        <v>25.34</v>
      </c>
      <c r="E94">
        <v>25.19</v>
      </c>
      <c r="F94" t="s">
        <v>419</v>
      </c>
      <c r="G94" s="8">
        <v>2.8E-3</v>
      </c>
      <c r="H94" s="3">
        <f t="shared" si="1"/>
        <v>2.783300198807126E-3</v>
      </c>
    </row>
    <row r="95" spans="1:8" x14ac:dyDescent="0.3">
      <c r="A95" s="7">
        <v>45524</v>
      </c>
      <c r="B95">
        <v>25.08</v>
      </c>
      <c r="C95">
        <v>25.25</v>
      </c>
      <c r="D95">
        <v>25.31</v>
      </c>
      <c r="E95">
        <v>25.05</v>
      </c>
      <c r="F95" t="s">
        <v>21</v>
      </c>
      <c r="G95" s="8">
        <v>-5.5999999999999999E-3</v>
      </c>
      <c r="H95" s="3">
        <f t="shared" si="1"/>
        <v>-5.5511498810467685E-3</v>
      </c>
    </row>
    <row r="96" spans="1:8" x14ac:dyDescent="0.3">
      <c r="A96" s="7">
        <v>45525</v>
      </c>
      <c r="B96">
        <v>25</v>
      </c>
      <c r="C96">
        <v>25.09</v>
      </c>
      <c r="D96">
        <v>25.11</v>
      </c>
      <c r="E96">
        <v>24.94</v>
      </c>
      <c r="F96" t="s">
        <v>254</v>
      </c>
      <c r="G96" s="8">
        <v>-3.2000000000000002E-3</v>
      </c>
      <c r="H96" s="3">
        <f t="shared" si="1"/>
        <v>-3.1897926634768536E-3</v>
      </c>
    </row>
    <row r="97" spans="1:8" x14ac:dyDescent="0.3">
      <c r="A97" s="7">
        <v>45526</v>
      </c>
      <c r="B97">
        <v>25.08</v>
      </c>
      <c r="C97">
        <v>25.02</v>
      </c>
      <c r="D97">
        <v>25.16</v>
      </c>
      <c r="E97">
        <v>25.01</v>
      </c>
      <c r="F97" t="s">
        <v>418</v>
      </c>
      <c r="G97" s="8">
        <v>3.2000000000000002E-3</v>
      </c>
      <c r="H97" s="3">
        <f t="shared" si="1"/>
        <v>3.1999999999998696E-3</v>
      </c>
    </row>
    <row r="98" spans="1:8" x14ac:dyDescent="0.3">
      <c r="A98" s="7">
        <v>45527</v>
      </c>
      <c r="B98">
        <v>25.19</v>
      </c>
      <c r="C98">
        <v>25.19</v>
      </c>
      <c r="D98">
        <v>25.28</v>
      </c>
      <c r="E98">
        <v>25.12</v>
      </c>
      <c r="F98" t="s">
        <v>289</v>
      </c>
      <c r="G98" s="8">
        <v>4.4000000000000003E-3</v>
      </c>
      <c r="H98" s="3">
        <f t="shared" si="1"/>
        <v>4.3859649122808264E-3</v>
      </c>
    </row>
    <row r="99" spans="1:8" x14ac:dyDescent="0.3">
      <c r="A99" s="7">
        <v>45530</v>
      </c>
      <c r="B99">
        <v>25.18</v>
      </c>
      <c r="C99">
        <v>25.15</v>
      </c>
      <c r="D99">
        <v>25.26</v>
      </c>
      <c r="E99">
        <v>25.15</v>
      </c>
      <c r="F99" t="s">
        <v>290</v>
      </c>
      <c r="G99" s="8">
        <v>-4.0000000000000002E-4</v>
      </c>
      <c r="H99" s="3">
        <f t="shared" si="1"/>
        <v>-3.969829297341132E-4</v>
      </c>
    </row>
    <row r="100" spans="1:8" x14ac:dyDescent="0.3">
      <c r="A100" s="7">
        <v>45531</v>
      </c>
      <c r="B100">
        <v>25.33</v>
      </c>
      <c r="C100">
        <v>25.28</v>
      </c>
      <c r="D100">
        <v>25.42</v>
      </c>
      <c r="E100">
        <v>25.24</v>
      </c>
      <c r="F100" t="s">
        <v>417</v>
      </c>
      <c r="G100" s="8">
        <v>6.0000000000000001E-3</v>
      </c>
      <c r="H100" s="3">
        <f t="shared" si="1"/>
        <v>5.9571088165208952E-3</v>
      </c>
    </row>
    <row r="101" spans="1:8" x14ac:dyDescent="0.3">
      <c r="A101" s="7">
        <v>45532</v>
      </c>
      <c r="B101">
        <v>25.57</v>
      </c>
      <c r="C101">
        <v>25.41</v>
      </c>
      <c r="D101">
        <v>25.58</v>
      </c>
      <c r="E101">
        <v>25.35</v>
      </c>
      <c r="F101" t="s">
        <v>416</v>
      </c>
      <c r="G101" s="8">
        <v>9.4999999999999998E-3</v>
      </c>
      <c r="H101" s="3">
        <f t="shared" si="1"/>
        <v>9.474930911962165E-3</v>
      </c>
    </row>
    <row r="102" spans="1:8" x14ac:dyDescent="0.3">
      <c r="A102" s="7">
        <v>45533</v>
      </c>
      <c r="B102">
        <v>25.71</v>
      </c>
      <c r="C102">
        <v>25.7</v>
      </c>
      <c r="D102">
        <v>25.84</v>
      </c>
      <c r="E102">
        <v>25.66</v>
      </c>
      <c r="F102" t="s">
        <v>415</v>
      </c>
      <c r="G102" s="8">
        <v>5.4999999999999997E-3</v>
      </c>
      <c r="H102" s="3">
        <f t="shared" si="1"/>
        <v>5.4751662104028931E-3</v>
      </c>
    </row>
    <row r="103" spans="1:8" x14ac:dyDescent="0.3">
      <c r="A103" s="7">
        <v>45534</v>
      </c>
      <c r="B103">
        <v>25.71</v>
      </c>
      <c r="C103">
        <v>25.69</v>
      </c>
      <c r="D103">
        <v>25.87</v>
      </c>
      <c r="E103">
        <v>25.61</v>
      </c>
      <c r="F103" t="s">
        <v>414</v>
      </c>
      <c r="G103" s="8">
        <v>0</v>
      </c>
      <c r="H103" s="3">
        <f t="shared" si="1"/>
        <v>0</v>
      </c>
    </row>
    <row r="104" spans="1:8" x14ac:dyDescent="0.3">
      <c r="A104" s="7">
        <v>45537</v>
      </c>
      <c r="B104">
        <v>25.88</v>
      </c>
      <c r="C104">
        <v>25.75</v>
      </c>
      <c r="D104">
        <v>25.97</v>
      </c>
      <c r="E104">
        <v>25.68</v>
      </c>
      <c r="F104" t="s">
        <v>272</v>
      </c>
      <c r="G104" s="8">
        <v>6.6E-3</v>
      </c>
      <c r="H104" s="3">
        <f t="shared" si="1"/>
        <v>6.612213146635515E-3</v>
      </c>
    </row>
    <row r="105" spans="1:8" x14ac:dyDescent="0.3">
      <c r="A105" s="7">
        <v>45538</v>
      </c>
      <c r="B105">
        <v>25.82</v>
      </c>
      <c r="C105">
        <v>25.99</v>
      </c>
      <c r="D105">
        <v>26.02</v>
      </c>
      <c r="E105">
        <v>25.66</v>
      </c>
      <c r="F105" t="s">
        <v>413</v>
      </c>
      <c r="G105" s="8">
        <v>-2.3E-3</v>
      </c>
      <c r="H105" s="3">
        <f t="shared" si="1"/>
        <v>-2.3183925811436357E-3</v>
      </c>
    </row>
    <row r="106" spans="1:8" x14ac:dyDescent="0.3">
      <c r="A106" s="7">
        <v>45539</v>
      </c>
      <c r="B106">
        <v>26.12</v>
      </c>
      <c r="C106">
        <v>25.73</v>
      </c>
      <c r="D106">
        <v>26.14</v>
      </c>
      <c r="E106">
        <v>25.71</v>
      </c>
      <c r="F106" t="s">
        <v>412</v>
      </c>
      <c r="G106" s="8">
        <v>1.1599999999999999E-2</v>
      </c>
      <c r="H106" s="3">
        <f t="shared" si="1"/>
        <v>1.161890007745936E-2</v>
      </c>
    </row>
    <row r="107" spans="1:8" x14ac:dyDescent="0.3">
      <c r="A107" s="7">
        <v>45540</v>
      </c>
      <c r="B107">
        <v>26.29</v>
      </c>
      <c r="C107">
        <v>26.03</v>
      </c>
      <c r="D107">
        <v>26.42</v>
      </c>
      <c r="E107">
        <v>26.03</v>
      </c>
      <c r="F107" t="s">
        <v>245</v>
      </c>
      <c r="G107" s="8">
        <v>6.4999999999999997E-3</v>
      </c>
      <c r="H107" s="3">
        <f t="shared" si="1"/>
        <v>6.5084226646248133E-3</v>
      </c>
    </row>
    <row r="108" spans="1:8" x14ac:dyDescent="0.3">
      <c r="A108" s="7">
        <v>45541</v>
      </c>
      <c r="B108">
        <v>26.02</v>
      </c>
      <c r="C108">
        <v>26.18</v>
      </c>
      <c r="D108">
        <v>26.28</v>
      </c>
      <c r="E108">
        <v>26.01</v>
      </c>
      <c r="F108" t="s">
        <v>411</v>
      </c>
      <c r="G108" s="8">
        <v>-1.03E-2</v>
      </c>
      <c r="H108" s="3">
        <f t="shared" si="1"/>
        <v>-1.0270064663370104E-2</v>
      </c>
    </row>
    <row r="109" spans="1:8" x14ac:dyDescent="0.3">
      <c r="A109" s="7">
        <v>45544</v>
      </c>
      <c r="B109">
        <v>26.23</v>
      </c>
      <c r="C109">
        <v>26.08</v>
      </c>
      <c r="D109">
        <v>26.25</v>
      </c>
      <c r="E109">
        <v>25.95</v>
      </c>
      <c r="F109" t="s">
        <v>193</v>
      </c>
      <c r="G109" s="8">
        <v>8.0999999999999996E-3</v>
      </c>
      <c r="H109" s="3">
        <f t="shared" si="1"/>
        <v>8.0707148347425317E-3</v>
      </c>
    </row>
    <row r="110" spans="1:8" x14ac:dyDescent="0.3">
      <c r="A110" s="7">
        <v>45545</v>
      </c>
      <c r="B110">
        <v>26.11</v>
      </c>
      <c r="C110">
        <v>25.86</v>
      </c>
      <c r="D110">
        <v>26.11</v>
      </c>
      <c r="E110">
        <v>25.82</v>
      </c>
      <c r="F110" t="s">
        <v>410</v>
      </c>
      <c r="G110" s="8">
        <v>-4.5999999999999999E-3</v>
      </c>
      <c r="H110" s="3">
        <f t="shared" si="1"/>
        <v>-4.5749142203583837E-3</v>
      </c>
    </row>
    <row r="111" spans="1:8" x14ac:dyDescent="0.3">
      <c r="A111" s="7">
        <v>45546</v>
      </c>
      <c r="B111">
        <v>26.26</v>
      </c>
      <c r="C111">
        <v>26.11</v>
      </c>
      <c r="D111">
        <v>26.29</v>
      </c>
      <c r="E111">
        <v>25.95</v>
      </c>
      <c r="F111" t="s">
        <v>409</v>
      </c>
      <c r="G111" s="8">
        <v>5.7000000000000002E-3</v>
      </c>
      <c r="H111" s="3">
        <f t="shared" si="1"/>
        <v>5.7449253159709279E-3</v>
      </c>
    </row>
    <row r="112" spans="1:8" x14ac:dyDescent="0.3">
      <c r="A112" s="7">
        <v>45547</v>
      </c>
      <c r="B112">
        <v>26.57</v>
      </c>
      <c r="C112">
        <v>26.35</v>
      </c>
      <c r="D112">
        <v>26.57</v>
      </c>
      <c r="E112">
        <v>26.32</v>
      </c>
      <c r="F112" t="s">
        <v>408</v>
      </c>
      <c r="G112" s="8">
        <v>1.18E-2</v>
      </c>
      <c r="H112" s="3">
        <f t="shared" si="1"/>
        <v>1.180502665651173E-2</v>
      </c>
    </row>
    <row r="113" spans="1:8" x14ac:dyDescent="0.3">
      <c r="A113" s="7">
        <v>45548</v>
      </c>
      <c r="B113">
        <v>26.82</v>
      </c>
      <c r="C113">
        <v>26.59</v>
      </c>
      <c r="D113">
        <v>26.85</v>
      </c>
      <c r="E113">
        <v>26.56</v>
      </c>
      <c r="F113" t="s">
        <v>407</v>
      </c>
      <c r="G113" s="8">
        <v>9.4000000000000004E-3</v>
      </c>
      <c r="H113" s="3">
        <f t="shared" si="1"/>
        <v>9.4091080165599195E-3</v>
      </c>
    </row>
    <row r="114" spans="1:8" x14ac:dyDescent="0.3">
      <c r="A114" s="7">
        <v>45551</v>
      </c>
      <c r="B114">
        <v>26.91</v>
      </c>
      <c r="C114">
        <v>26.8</v>
      </c>
      <c r="D114">
        <v>26.91</v>
      </c>
      <c r="E114">
        <v>26.7</v>
      </c>
      <c r="F114" t="s">
        <v>393</v>
      </c>
      <c r="G114" s="8">
        <v>3.3999999999999998E-3</v>
      </c>
      <c r="H114" s="3">
        <f t="shared" si="1"/>
        <v>3.3557046979866278E-3</v>
      </c>
    </row>
    <row r="115" spans="1:8" x14ac:dyDescent="0.3">
      <c r="A115" s="7">
        <v>45552</v>
      </c>
      <c r="B115">
        <v>26.68</v>
      </c>
      <c r="C115">
        <v>26.95</v>
      </c>
      <c r="D115">
        <v>27.02</v>
      </c>
      <c r="E115">
        <v>26.64</v>
      </c>
      <c r="F115" t="s">
        <v>328</v>
      </c>
      <c r="G115" s="8">
        <v>-8.5000000000000006E-3</v>
      </c>
      <c r="H115" s="3">
        <f t="shared" si="1"/>
        <v>-8.5470085470085166E-3</v>
      </c>
    </row>
    <row r="116" spans="1:8" x14ac:dyDescent="0.3">
      <c r="A116" s="7">
        <v>45553</v>
      </c>
      <c r="B116">
        <v>26.47</v>
      </c>
      <c r="C116">
        <v>26.66</v>
      </c>
      <c r="D116">
        <v>26.79</v>
      </c>
      <c r="E116">
        <v>26.45</v>
      </c>
      <c r="F116" t="s">
        <v>406</v>
      </c>
      <c r="G116" s="8">
        <v>-7.9000000000000008E-3</v>
      </c>
      <c r="H116" s="3">
        <f t="shared" si="1"/>
        <v>-7.8710644677661978E-3</v>
      </c>
    </row>
    <row r="117" spans="1:8" x14ac:dyDescent="0.3">
      <c r="A117" s="7">
        <v>45554</v>
      </c>
      <c r="B117">
        <v>26.02</v>
      </c>
      <c r="C117">
        <v>26</v>
      </c>
      <c r="D117">
        <v>26.11</v>
      </c>
      <c r="E117">
        <v>25.62</v>
      </c>
      <c r="F117" t="s">
        <v>405</v>
      </c>
      <c r="G117" s="8">
        <v>-1.7000000000000001E-2</v>
      </c>
      <c r="H117" s="3">
        <f t="shared" si="1"/>
        <v>-1.7000377786173027E-2</v>
      </c>
    </row>
    <row r="118" spans="1:8" x14ac:dyDescent="0.3">
      <c r="A118" s="7">
        <v>45555</v>
      </c>
      <c r="B118">
        <v>26.07</v>
      </c>
      <c r="C118">
        <v>26.05</v>
      </c>
      <c r="D118">
        <v>26.25</v>
      </c>
      <c r="E118">
        <v>25.99</v>
      </c>
      <c r="F118" t="s">
        <v>404</v>
      </c>
      <c r="G118" s="8">
        <v>1.9E-3</v>
      </c>
      <c r="H118" s="3">
        <f t="shared" si="1"/>
        <v>1.9215987701768356E-3</v>
      </c>
    </row>
    <row r="119" spans="1:8" x14ac:dyDescent="0.3">
      <c r="A119" s="7">
        <v>45558</v>
      </c>
      <c r="B119">
        <v>26.24</v>
      </c>
      <c r="C119">
        <v>26.22</v>
      </c>
      <c r="D119">
        <v>26.4</v>
      </c>
      <c r="E119">
        <v>26.09</v>
      </c>
      <c r="F119" t="s">
        <v>309</v>
      </c>
      <c r="G119" s="8">
        <v>6.4999999999999997E-3</v>
      </c>
      <c r="H119" s="3">
        <f t="shared" si="1"/>
        <v>6.5209052550823099E-3</v>
      </c>
    </row>
    <row r="120" spans="1:8" x14ac:dyDescent="0.3">
      <c r="A120" s="7">
        <v>45559</v>
      </c>
      <c r="B120">
        <v>26.47</v>
      </c>
      <c r="C120">
        <v>26.26</v>
      </c>
      <c r="D120">
        <v>26.49</v>
      </c>
      <c r="E120">
        <v>26.12</v>
      </c>
      <c r="F120" t="s">
        <v>391</v>
      </c>
      <c r="G120" s="8">
        <v>8.8000000000000005E-3</v>
      </c>
      <c r="H120" s="3">
        <f t="shared" si="1"/>
        <v>8.7652439024390461E-3</v>
      </c>
    </row>
    <row r="121" spans="1:8" x14ac:dyDescent="0.3">
      <c r="A121" s="7">
        <v>45560</v>
      </c>
      <c r="B121">
        <v>26.48</v>
      </c>
      <c r="C121">
        <v>26.48</v>
      </c>
      <c r="D121">
        <v>26.58</v>
      </c>
      <c r="E121">
        <v>26.34</v>
      </c>
      <c r="F121" t="s">
        <v>27</v>
      </c>
      <c r="G121" s="8">
        <v>4.0000000000000002E-4</v>
      </c>
      <c r="H121" s="3">
        <f t="shared" si="1"/>
        <v>3.7778617302608453E-4</v>
      </c>
    </row>
    <row r="122" spans="1:8" x14ac:dyDescent="0.3">
      <c r="A122" s="7">
        <v>45561</v>
      </c>
      <c r="B122">
        <v>26.35</v>
      </c>
      <c r="C122">
        <v>26.59</v>
      </c>
      <c r="D122">
        <v>26.6</v>
      </c>
      <c r="E122">
        <v>26.2</v>
      </c>
      <c r="F122" t="s">
        <v>403</v>
      </c>
      <c r="G122" s="8">
        <v>-4.8999999999999998E-3</v>
      </c>
      <c r="H122" s="3">
        <f t="shared" si="1"/>
        <v>-4.9093655589123042E-3</v>
      </c>
    </row>
    <row r="123" spans="1:8" x14ac:dyDescent="0.3">
      <c r="A123" s="7">
        <v>45562</v>
      </c>
      <c r="B123">
        <v>26.24</v>
      </c>
      <c r="C123">
        <v>26.3</v>
      </c>
      <c r="D123">
        <v>26.4</v>
      </c>
      <c r="E123">
        <v>26.21</v>
      </c>
      <c r="F123" t="s">
        <v>402</v>
      </c>
      <c r="G123" s="8">
        <v>-4.1999999999999997E-3</v>
      </c>
      <c r="H123" s="3">
        <f t="shared" si="1"/>
        <v>-4.174573055028552E-3</v>
      </c>
    </row>
    <row r="124" spans="1:8" x14ac:dyDescent="0.3">
      <c r="A124" s="7">
        <v>45565</v>
      </c>
      <c r="B124">
        <v>26.39</v>
      </c>
      <c r="C124">
        <v>26.34</v>
      </c>
      <c r="D124">
        <v>26.52</v>
      </c>
      <c r="E124">
        <v>26.25</v>
      </c>
      <c r="F124" t="s">
        <v>401</v>
      </c>
      <c r="G124" s="8">
        <v>5.7000000000000002E-3</v>
      </c>
      <c r="H124" s="3">
        <f t="shared" si="1"/>
        <v>5.7164634146342763E-3</v>
      </c>
    </row>
    <row r="125" spans="1:8" x14ac:dyDescent="0.3">
      <c r="A125" s="7">
        <v>45566</v>
      </c>
      <c r="B125">
        <v>26.51</v>
      </c>
      <c r="C125">
        <v>26.51</v>
      </c>
      <c r="D125">
        <v>26.59</v>
      </c>
      <c r="E125">
        <v>26.43</v>
      </c>
      <c r="F125" t="s">
        <v>63</v>
      </c>
      <c r="G125" s="8">
        <v>4.4999999999999997E-3</v>
      </c>
      <c r="H125" s="3">
        <f t="shared" si="1"/>
        <v>4.5471769609701784E-3</v>
      </c>
    </row>
    <row r="126" spans="1:8" x14ac:dyDescent="0.3">
      <c r="A126" s="7">
        <v>45567</v>
      </c>
      <c r="B126">
        <v>26.32</v>
      </c>
      <c r="C126">
        <v>26.5</v>
      </c>
      <c r="D126">
        <v>26.52</v>
      </c>
      <c r="E126">
        <v>26.23</v>
      </c>
      <c r="F126" t="s">
        <v>400</v>
      </c>
      <c r="G126" s="8">
        <v>-7.1999999999999998E-3</v>
      </c>
      <c r="H126" s="3">
        <f t="shared" si="1"/>
        <v>-7.1671067521690279E-3</v>
      </c>
    </row>
    <row r="127" spans="1:8" x14ac:dyDescent="0.3">
      <c r="A127" s="7">
        <v>45568</v>
      </c>
      <c r="B127">
        <v>26.29</v>
      </c>
      <c r="C127">
        <v>26.28</v>
      </c>
      <c r="D127">
        <v>26.42</v>
      </c>
      <c r="E127">
        <v>26.14</v>
      </c>
      <c r="F127" t="s">
        <v>293</v>
      </c>
      <c r="G127" s="8">
        <v>-1.1000000000000001E-3</v>
      </c>
      <c r="H127" s="3">
        <f t="shared" si="1"/>
        <v>-1.1398176291793627E-3</v>
      </c>
    </row>
    <row r="128" spans="1:8" x14ac:dyDescent="0.3">
      <c r="A128" s="7">
        <v>45569</v>
      </c>
      <c r="B128">
        <v>26.29</v>
      </c>
      <c r="C128">
        <v>26.26</v>
      </c>
      <c r="D128">
        <v>26.48</v>
      </c>
      <c r="E128">
        <v>26.19</v>
      </c>
      <c r="F128" t="s">
        <v>157</v>
      </c>
      <c r="G128" s="8">
        <v>0</v>
      </c>
      <c r="H128" s="3">
        <f t="shared" si="1"/>
        <v>0</v>
      </c>
    </row>
    <row r="129" spans="1:8" x14ac:dyDescent="0.3">
      <c r="A129" s="7">
        <v>45572</v>
      </c>
      <c r="B129">
        <v>26.43</v>
      </c>
      <c r="C129">
        <v>26.34</v>
      </c>
      <c r="D129">
        <v>26.52</v>
      </c>
      <c r="E129">
        <v>26.28</v>
      </c>
      <c r="F129" t="s">
        <v>156</v>
      </c>
      <c r="G129" s="8">
        <v>5.3E-3</v>
      </c>
      <c r="H129" s="3">
        <f t="shared" si="1"/>
        <v>5.3252187143399965E-3</v>
      </c>
    </row>
    <row r="130" spans="1:8" x14ac:dyDescent="0.3">
      <c r="A130" s="7">
        <v>45573</v>
      </c>
      <c r="B130">
        <v>26.6</v>
      </c>
      <c r="C130">
        <v>26.44</v>
      </c>
      <c r="D130">
        <v>26.68</v>
      </c>
      <c r="E130">
        <v>26.41</v>
      </c>
      <c r="F130" t="s">
        <v>399</v>
      </c>
      <c r="G130" s="8">
        <v>6.4000000000000003E-3</v>
      </c>
      <c r="H130" s="3">
        <f t="shared" si="1"/>
        <v>6.4320847521757152E-3</v>
      </c>
    </row>
    <row r="131" spans="1:8" x14ac:dyDescent="0.3">
      <c r="A131" s="7">
        <v>45574</v>
      </c>
      <c r="B131">
        <v>26.75</v>
      </c>
      <c r="C131">
        <v>26.56</v>
      </c>
      <c r="D131">
        <v>26.75</v>
      </c>
      <c r="E131">
        <v>26.49</v>
      </c>
      <c r="F131" t="s">
        <v>288</v>
      </c>
      <c r="G131" s="8">
        <v>5.5999999999999999E-3</v>
      </c>
      <c r="H131" s="3">
        <f t="shared" si="1"/>
        <v>5.639097744360777E-3</v>
      </c>
    </row>
    <row r="132" spans="1:8" x14ac:dyDescent="0.3">
      <c r="A132" s="7">
        <v>45575</v>
      </c>
      <c r="B132">
        <v>27.2</v>
      </c>
      <c r="C132">
        <v>26.95</v>
      </c>
      <c r="D132">
        <v>27.32</v>
      </c>
      <c r="E132">
        <v>26.84</v>
      </c>
      <c r="F132" t="s">
        <v>398</v>
      </c>
      <c r="G132" s="8">
        <v>1.6799999999999999E-2</v>
      </c>
      <c r="H132" s="3">
        <f t="shared" ref="H132:H195" si="2">(B132/B131)-1</f>
        <v>1.6822429906542036E-2</v>
      </c>
    </row>
    <row r="133" spans="1:8" x14ac:dyDescent="0.3">
      <c r="A133" s="7">
        <v>45576</v>
      </c>
      <c r="B133">
        <v>27.14</v>
      </c>
      <c r="C133">
        <v>27.19</v>
      </c>
      <c r="D133">
        <v>27.25</v>
      </c>
      <c r="E133">
        <v>26.94</v>
      </c>
      <c r="F133" t="s">
        <v>339</v>
      </c>
      <c r="G133" s="8">
        <v>-2.2000000000000001E-3</v>
      </c>
      <c r="H133" s="3">
        <f t="shared" si="2"/>
        <v>-2.2058823529411686E-3</v>
      </c>
    </row>
    <row r="134" spans="1:8" x14ac:dyDescent="0.3">
      <c r="A134" s="7">
        <v>45579</v>
      </c>
      <c r="B134">
        <v>27.48</v>
      </c>
      <c r="C134">
        <v>27.22</v>
      </c>
      <c r="D134">
        <v>27.54</v>
      </c>
      <c r="E134">
        <v>27.21</v>
      </c>
      <c r="F134" t="s">
        <v>218</v>
      </c>
      <c r="G134" s="8">
        <v>1.2500000000000001E-2</v>
      </c>
      <c r="H134" s="3">
        <f t="shared" si="2"/>
        <v>1.2527634487840889E-2</v>
      </c>
    </row>
    <row r="135" spans="1:8" x14ac:dyDescent="0.3">
      <c r="A135" s="7">
        <v>45580</v>
      </c>
      <c r="B135">
        <v>28.02</v>
      </c>
      <c r="C135">
        <v>27.65</v>
      </c>
      <c r="D135">
        <v>28.09</v>
      </c>
      <c r="E135">
        <v>27.64</v>
      </c>
      <c r="F135" t="s">
        <v>397</v>
      </c>
      <c r="G135" s="8">
        <v>1.9699999999999999E-2</v>
      </c>
      <c r="H135" s="3">
        <f t="shared" si="2"/>
        <v>1.9650655021834051E-2</v>
      </c>
    </row>
    <row r="136" spans="1:8" x14ac:dyDescent="0.3">
      <c r="A136" s="7">
        <v>45581</v>
      </c>
      <c r="B136">
        <v>28.19</v>
      </c>
      <c r="C136">
        <v>28.19</v>
      </c>
      <c r="D136">
        <v>28.27</v>
      </c>
      <c r="E136">
        <v>27.92</v>
      </c>
      <c r="F136" t="s">
        <v>362</v>
      </c>
      <c r="G136" s="8">
        <v>6.1000000000000004E-3</v>
      </c>
      <c r="H136" s="3">
        <f t="shared" si="2"/>
        <v>6.0670949321912637E-3</v>
      </c>
    </row>
    <row r="137" spans="1:8" x14ac:dyDescent="0.3">
      <c r="A137" s="7">
        <v>45582</v>
      </c>
      <c r="B137">
        <v>28.2</v>
      </c>
      <c r="C137">
        <v>28.21</v>
      </c>
      <c r="D137">
        <v>28.33</v>
      </c>
      <c r="E137">
        <v>28.18</v>
      </c>
      <c r="F137" t="s">
        <v>218</v>
      </c>
      <c r="G137" s="8">
        <v>4.0000000000000002E-4</v>
      </c>
      <c r="H137" s="3">
        <f t="shared" si="2"/>
        <v>3.5473572188715607E-4</v>
      </c>
    </row>
    <row r="138" spans="1:8" x14ac:dyDescent="0.3">
      <c r="A138" s="7">
        <v>45583</v>
      </c>
      <c r="B138">
        <v>28.28</v>
      </c>
      <c r="C138">
        <v>28.11</v>
      </c>
      <c r="D138">
        <v>28.28</v>
      </c>
      <c r="E138">
        <v>27.9</v>
      </c>
      <c r="F138" t="s">
        <v>396</v>
      </c>
      <c r="G138" s="8">
        <v>2.8E-3</v>
      </c>
      <c r="H138" s="3">
        <f t="shared" si="2"/>
        <v>2.8368794326241176E-3</v>
      </c>
    </row>
    <row r="139" spans="1:8" x14ac:dyDescent="0.3">
      <c r="A139" s="7">
        <v>45586</v>
      </c>
      <c r="B139">
        <v>27.89</v>
      </c>
      <c r="C139">
        <v>28.26</v>
      </c>
      <c r="D139">
        <v>28.27</v>
      </c>
      <c r="E139">
        <v>27.89</v>
      </c>
      <c r="F139" t="s">
        <v>395</v>
      </c>
      <c r="G139" s="8">
        <v>-1.38E-2</v>
      </c>
      <c r="H139" s="3">
        <f t="shared" si="2"/>
        <v>-1.379066478076385E-2</v>
      </c>
    </row>
    <row r="140" spans="1:8" x14ac:dyDescent="0.3">
      <c r="A140" s="7">
        <v>45587</v>
      </c>
      <c r="B140">
        <v>27.58</v>
      </c>
      <c r="C140">
        <v>27.75</v>
      </c>
      <c r="D140">
        <v>27.76</v>
      </c>
      <c r="E140">
        <v>27.38</v>
      </c>
      <c r="F140" t="s">
        <v>394</v>
      </c>
      <c r="G140" s="8">
        <v>-1.11E-2</v>
      </c>
      <c r="H140" s="3">
        <f t="shared" si="2"/>
        <v>-1.1115095016134946E-2</v>
      </c>
    </row>
    <row r="141" spans="1:8" x14ac:dyDescent="0.3">
      <c r="A141" s="7">
        <v>45588</v>
      </c>
      <c r="B141">
        <v>27.65</v>
      </c>
      <c r="C141">
        <v>27.58</v>
      </c>
      <c r="D141">
        <v>27.74</v>
      </c>
      <c r="E141">
        <v>27.41</v>
      </c>
      <c r="F141" t="s">
        <v>393</v>
      </c>
      <c r="G141" s="8">
        <v>2.5000000000000001E-3</v>
      </c>
      <c r="H141" s="3">
        <f t="shared" si="2"/>
        <v>2.5380710659899108E-3</v>
      </c>
    </row>
    <row r="142" spans="1:8" x14ac:dyDescent="0.3">
      <c r="A142" s="7">
        <v>45589</v>
      </c>
      <c r="B142">
        <v>28.03</v>
      </c>
      <c r="C142">
        <v>27.92</v>
      </c>
      <c r="D142">
        <v>28.13</v>
      </c>
      <c r="E142">
        <v>27.85</v>
      </c>
      <c r="F142" t="s">
        <v>392</v>
      </c>
      <c r="G142" s="8">
        <v>1.37E-2</v>
      </c>
      <c r="H142" s="3">
        <f t="shared" si="2"/>
        <v>1.3743218806510082E-2</v>
      </c>
    </row>
    <row r="143" spans="1:8" x14ac:dyDescent="0.3">
      <c r="A143" s="7">
        <v>45590</v>
      </c>
      <c r="B143">
        <v>28.1</v>
      </c>
      <c r="C143">
        <v>28.1</v>
      </c>
      <c r="D143">
        <v>28.31</v>
      </c>
      <c r="E143">
        <v>28.08</v>
      </c>
      <c r="F143" t="s">
        <v>391</v>
      </c>
      <c r="G143" s="8">
        <v>2.5000000000000001E-3</v>
      </c>
      <c r="H143" s="3">
        <f t="shared" si="2"/>
        <v>2.4973242953978403E-3</v>
      </c>
    </row>
    <row r="144" spans="1:8" x14ac:dyDescent="0.3">
      <c r="A144" s="7">
        <v>45593</v>
      </c>
      <c r="B144">
        <v>28.25</v>
      </c>
      <c r="C144">
        <v>28.18</v>
      </c>
      <c r="D144">
        <v>28.29</v>
      </c>
      <c r="E144">
        <v>28.07</v>
      </c>
      <c r="F144" t="s">
        <v>378</v>
      </c>
      <c r="G144" s="8">
        <v>5.3E-3</v>
      </c>
      <c r="H144" s="3">
        <f t="shared" si="2"/>
        <v>5.3380782918148739E-3</v>
      </c>
    </row>
    <row r="145" spans="1:8" x14ac:dyDescent="0.3">
      <c r="A145" s="7">
        <v>45594</v>
      </c>
      <c r="B145">
        <v>28.34</v>
      </c>
      <c r="C145">
        <v>28.42</v>
      </c>
      <c r="D145">
        <v>28.49</v>
      </c>
      <c r="E145">
        <v>28.25</v>
      </c>
      <c r="F145" t="s">
        <v>390</v>
      </c>
      <c r="G145" s="8">
        <v>3.2000000000000002E-3</v>
      </c>
      <c r="H145" s="3">
        <f t="shared" si="2"/>
        <v>3.1858407079645712E-3</v>
      </c>
    </row>
    <row r="146" spans="1:8" x14ac:dyDescent="0.3">
      <c r="A146" s="7">
        <v>45595</v>
      </c>
      <c r="B146">
        <v>28.07</v>
      </c>
      <c r="C146">
        <v>28.27</v>
      </c>
      <c r="D146">
        <v>28.32</v>
      </c>
      <c r="E146">
        <v>27.95</v>
      </c>
      <c r="F146" t="s">
        <v>389</v>
      </c>
      <c r="G146" s="8">
        <v>-9.4999999999999998E-3</v>
      </c>
      <c r="H146" s="3">
        <f t="shared" si="2"/>
        <v>-9.5271700776288215E-3</v>
      </c>
    </row>
    <row r="147" spans="1:8" x14ac:dyDescent="0.3">
      <c r="A147" s="7">
        <v>45596</v>
      </c>
      <c r="B147">
        <v>27.82</v>
      </c>
      <c r="C147">
        <v>27.93</v>
      </c>
      <c r="D147">
        <v>27.96</v>
      </c>
      <c r="E147">
        <v>27.67</v>
      </c>
      <c r="F147" t="s">
        <v>388</v>
      </c>
      <c r="G147" s="8">
        <v>-8.8999999999999999E-3</v>
      </c>
      <c r="H147" s="3">
        <f t="shared" si="2"/>
        <v>-8.9063056644104188E-3</v>
      </c>
    </row>
    <row r="148" spans="1:8" x14ac:dyDescent="0.3">
      <c r="A148" s="7">
        <v>45597</v>
      </c>
      <c r="B148">
        <v>28.02</v>
      </c>
      <c r="C148">
        <v>27.78</v>
      </c>
      <c r="D148">
        <v>28.11</v>
      </c>
      <c r="E148">
        <v>27.77</v>
      </c>
      <c r="F148" t="s">
        <v>387</v>
      </c>
      <c r="G148" s="8">
        <v>7.1999999999999998E-3</v>
      </c>
      <c r="H148" s="3">
        <f t="shared" si="2"/>
        <v>7.1890726096333069E-3</v>
      </c>
    </row>
    <row r="149" spans="1:8" x14ac:dyDescent="0.3">
      <c r="A149" s="7">
        <v>45600</v>
      </c>
      <c r="B149">
        <v>27.95</v>
      </c>
      <c r="C149">
        <v>28.02</v>
      </c>
      <c r="D149">
        <v>28.15</v>
      </c>
      <c r="E149">
        <v>27.95</v>
      </c>
      <c r="F149" t="s">
        <v>386</v>
      </c>
      <c r="G149" s="8">
        <v>-2.5000000000000001E-3</v>
      </c>
      <c r="H149" s="3">
        <f t="shared" si="2"/>
        <v>-2.4982155603140432E-3</v>
      </c>
    </row>
    <row r="150" spans="1:8" x14ac:dyDescent="0.3">
      <c r="A150" s="7">
        <v>45601</v>
      </c>
      <c r="B150">
        <v>28.14</v>
      </c>
      <c r="C150">
        <v>28</v>
      </c>
      <c r="D150">
        <v>28.15</v>
      </c>
      <c r="E150">
        <v>27.94</v>
      </c>
      <c r="F150" t="s">
        <v>18</v>
      </c>
      <c r="G150" s="8">
        <v>6.7999999999999996E-3</v>
      </c>
      <c r="H150" s="3">
        <f t="shared" si="2"/>
        <v>6.7978533094812388E-3</v>
      </c>
    </row>
    <row r="151" spans="1:8" x14ac:dyDescent="0.3">
      <c r="A151" s="7">
        <v>45602</v>
      </c>
      <c r="B151">
        <v>28.36</v>
      </c>
      <c r="C151">
        <v>28.48</v>
      </c>
      <c r="D151">
        <v>28.73</v>
      </c>
      <c r="E151">
        <v>28.32</v>
      </c>
      <c r="F151" t="s">
        <v>385</v>
      </c>
      <c r="G151" s="8">
        <v>7.7999999999999996E-3</v>
      </c>
      <c r="H151" s="3">
        <f t="shared" si="2"/>
        <v>7.8180525941720092E-3</v>
      </c>
    </row>
    <row r="152" spans="1:8" x14ac:dyDescent="0.3">
      <c r="A152" s="7">
        <v>45603</v>
      </c>
      <c r="B152">
        <v>28.28</v>
      </c>
      <c r="C152">
        <v>28.3</v>
      </c>
      <c r="D152">
        <v>28.48</v>
      </c>
      <c r="E152">
        <v>28.08</v>
      </c>
      <c r="F152" t="s">
        <v>384</v>
      </c>
      <c r="G152" s="8">
        <v>-2.8E-3</v>
      </c>
      <c r="H152" s="3">
        <f t="shared" si="2"/>
        <v>-2.8208744710859213E-3</v>
      </c>
    </row>
    <row r="153" spans="1:8" x14ac:dyDescent="0.3">
      <c r="A153" s="7">
        <v>45604</v>
      </c>
      <c r="B153">
        <v>28.52</v>
      </c>
      <c r="C153">
        <v>28.27</v>
      </c>
      <c r="D153">
        <v>28.64</v>
      </c>
      <c r="E153">
        <v>28.19</v>
      </c>
      <c r="F153" t="s">
        <v>383</v>
      </c>
      <c r="G153" s="8">
        <v>8.5000000000000006E-3</v>
      </c>
      <c r="H153" s="3">
        <f t="shared" si="2"/>
        <v>8.4865629420083355E-3</v>
      </c>
    </row>
    <row r="154" spans="1:8" x14ac:dyDescent="0.3">
      <c r="A154" s="7">
        <v>45607</v>
      </c>
      <c r="B154">
        <v>28.7</v>
      </c>
      <c r="C154">
        <v>28.69</v>
      </c>
      <c r="D154">
        <v>28.79</v>
      </c>
      <c r="E154">
        <v>28.6</v>
      </c>
      <c r="F154" t="s">
        <v>152</v>
      </c>
      <c r="G154" s="8">
        <v>6.3E-3</v>
      </c>
      <c r="H154" s="3">
        <f t="shared" si="2"/>
        <v>6.3113604488078678E-3</v>
      </c>
    </row>
    <row r="155" spans="1:8" x14ac:dyDescent="0.3">
      <c r="A155" s="7">
        <v>45608</v>
      </c>
      <c r="B155">
        <v>28.03</v>
      </c>
      <c r="C155">
        <v>28.6</v>
      </c>
      <c r="D155">
        <v>28.66</v>
      </c>
      <c r="E155">
        <v>28.03</v>
      </c>
      <c r="F155" t="s">
        <v>382</v>
      </c>
      <c r="G155" s="8">
        <v>-2.3300000000000001E-2</v>
      </c>
      <c r="H155" s="3">
        <f t="shared" si="2"/>
        <v>-2.3344947735191579E-2</v>
      </c>
    </row>
    <row r="156" spans="1:8" x14ac:dyDescent="0.3">
      <c r="A156" s="7">
        <v>45609</v>
      </c>
      <c r="B156">
        <v>27.85</v>
      </c>
      <c r="C156">
        <v>28.05</v>
      </c>
      <c r="D156">
        <v>28.17</v>
      </c>
      <c r="E156">
        <v>27.66</v>
      </c>
      <c r="F156" t="s">
        <v>381</v>
      </c>
      <c r="G156" s="8">
        <v>-6.4000000000000003E-3</v>
      </c>
      <c r="H156" s="3">
        <f t="shared" si="2"/>
        <v>-6.4216910453085418E-3</v>
      </c>
    </row>
    <row r="157" spans="1:8" x14ac:dyDescent="0.3">
      <c r="A157" s="7">
        <v>45610</v>
      </c>
      <c r="B157">
        <v>28.77</v>
      </c>
      <c r="C157">
        <v>28.7</v>
      </c>
      <c r="D157">
        <v>29.11</v>
      </c>
      <c r="E157">
        <v>28.45</v>
      </c>
      <c r="F157" t="s">
        <v>380</v>
      </c>
      <c r="G157" s="8">
        <v>3.3000000000000002E-2</v>
      </c>
      <c r="H157" s="3">
        <f t="shared" si="2"/>
        <v>3.3034111310592307E-2</v>
      </c>
    </row>
    <row r="158" spans="1:8" x14ac:dyDescent="0.3">
      <c r="A158" s="7">
        <v>45611</v>
      </c>
      <c r="B158">
        <v>28.68</v>
      </c>
      <c r="C158">
        <v>28.68</v>
      </c>
      <c r="D158">
        <v>28.73</v>
      </c>
      <c r="E158">
        <v>28.54</v>
      </c>
      <c r="F158" t="s">
        <v>379</v>
      </c>
      <c r="G158" s="8">
        <v>-3.0999999999999999E-3</v>
      </c>
      <c r="H158" s="3">
        <f t="shared" si="2"/>
        <v>-3.1282586027111536E-3</v>
      </c>
    </row>
    <row r="159" spans="1:8" x14ac:dyDescent="0.3">
      <c r="A159" s="7">
        <v>45614</v>
      </c>
      <c r="B159">
        <v>28.76</v>
      </c>
      <c r="C159">
        <v>28.67</v>
      </c>
      <c r="D159">
        <v>28.76</v>
      </c>
      <c r="E159">
        <v>28.42</v>
      </c>
      <c r="F159" t="s">
        <v>378</v>
      </c>
      <c r="G159" s="8">
        <v>2.8E-3</v>
      </c>
      <c r="H159" s="3">
        <f t="shared" si="2"/>
        <v>2.7894002789401462E-3</v>
      </c>
    </row>
    <row r="160" spans="1:8" x14ac:dyDescent="0.3">
      <c r="A160" s="7">
        <v>45615</v>
      </c>
      <c r="B160">
        <v>28.72</v>
      </c>
      <c r="C160">
        <v>28.69</v>
      </c>
      <c r="D160">
        <v>28.84</v>
      </c>
      <c r="E160">
        <v>28.49</v>
      </c>
      <c r="F160" t="s">
        <v>377</v>
      </c>
      <c r="G160" s="8">
        <v>-1.4E-3</v>
      </c>
      <c r="H160" s="3">
        <f t="shared" si="2"/>
        <v>-1.3908205841447474E-3</v>
      </c>
    </row>
    <row r="161" spans="1:8" x14ac:dyDescent="0.3">
      <c r="A161" s="7">
        <v>45616</v>
      </c>
      <c r="B161">
        <v>28.8</v>
      </c>
      <c r="C161">
        <v>28.87</v>
      </c>
      <c r="D161">
        <v>28.99</v>
      </c>
      <c r="E161">
        <v>28.73</v>
      </c>
      <c r="F161" t="s">
        <v>152</v>
      </c>
      <c r="G161" s="8">
        <v>2.8E-3</v>
      </c>
      <c r="H161" s="3">
        <f t="shared" si="2"/>
        <v>2.7855153203342198E-3</v>
      </c>
    </row>
    <row r="162" spans="1:8" x14ac:dyDescent="0.3">
      <c r="A162" s="7">
        <v>45617</v>
      </c>
      <c r="B162">
        <v>28.96</v>
      </c>
      <c r="C162">
        <v>28.85</v>
      </c>
      <c r="D162">
        <v>29.05</v>
      </c>
      <c r="E162">
        <v>28.68</v>
      </c>
      <c r="F162" t="s">
        <v>305</v>
      </c>
      <c r="G162" s="8">
        <v>5.5999999999999999E-3</v>
      </c>
      <c r="H162" s="3">
        <f t="shared" si="2"/>
        <v>5.5555555555555358E-3</v>
      </c>
    </row>
    <row r="163" spans="1:8" x14ac:dyDescent="0.3">
      <c r="A163" s="7">
        <v>45618</v>
      </c>
      <c r="B163">
        <v>29.4</v>
      </c>
      <c r="C163">
        <v>29.04</v>
      </c>
      <c r="D163">
        <v>29.4</v>
      </c>
      <c r="E163">
        <v>28.96</v>
      </c>
      <c r="F163" t="s">
        <v>376</v>
      </c>
      <c r="G163" s="8">
        <v>1.52E-2</v>
      </c>
      <c r="H163" s="3">
        <f t="shared" si="2"/>
        <v>1.5193370165745845E-2</v>
      </c>
    </row>
    <row r="164" spans="1:8" x14ac:dyDescent="0.3">
      <c r="A164" s="7">
        <v>45621</v>
      </c>
      <c r="B164">
        <v>29.58</v>
      </c>
      <c r="C164">
        <v>29.55</v>
      </c>
      <c r="D164">
        <v>29.64</v>
      </c>
      <c r="E164">
        <v>29.37</v>
      </c>
      <c r="F164" t="s">
        <v>375</v>
      </c>
      <c r="G164" s="8">
        <v>6.1000000000000004E-3</v>
      </c>
      <c r="H164" s="3">
        <f t="shared" si="2"/>
        <v>6.1224489795919101E-3</v>
      </c>
    </row>
    <row r="165" spans="1:8" x14ac:dyDescent="0.3">
      <c r="A165" s="7">
        <v>45622</v>
      </c>
      <c r="B165">
        <v>29.78</v>
      </c>
      <c r="C165">
        <v>29.7</v>
      </c>
      <c r="D165">
        <v>29.94</v>
      </c>
      <c r="E165">
        <v>29.61</v>
      </c>
      <c r="F165" t="s">
        <v>374</v>
      </c>
      <c r="G165" s="8">
        <v>6.7999999999999996E-3</v>
      </c>
      <c r="H165" s="3">
        <f t="shared" si="2"/>
        <v>6.7613252197431528E-3</v>
      </c>
    </row>
    <row r="166" spans="1:8" x14ac:dyDescent="0.3">
      <c r="A166" s="7">
        <v>45623</v>
      </c>
      <c r="B166">
        <v>29.91</v>
      </c>
      <c r="C166">
        <v>29.94</v>
      </c>
      <c r="D166">
        <v>29.99</v>
      </c>
      <c r="E166">
        <v>29.73</v>
      </c>
      <c r="F166" t="s">
        <v>373</v>
      </c>
      <c r="G166" s="8">
        <v>4.4000000000000003E-3</v>
      </c>
      <c r="H166" s="3">
        <f t="shared" si="2"/>
        <v>4.3653458697112679E-3</v>
      </c>
    </row>
    <row r="167" spans="1:8" x14ac:dyDescent="0.3">
      <c r="A167" s="7">
        <v>45624</v>
      </c>
      <c r="B167">
        <v>30.13</v>
      </c>
      <c r="C167">
        <v>29.95</v>
      </c>
      <c r="D167">
        <v>30.13</v>
      </c>
      <c r="E167">
        <v>29.87</v>
      </c>
      <c r="F167" t="s">
        <v>29</v>
      </c>
      <c r="G167" s="8">
        <v>7.4000000000000003E-3</v>
      </c>
      <c r="H167" s="3">
        <f t="shared" si="2"/>
        <v>7.3553995319290966E-3</v>
      </c>
    </row>
    <row r="168" spans="1:8" x14ac:dyDescent="0.3">
      <c r="A168" s="7">
        <v>45625</v>
      </c>
      <c r="B168">
        <v>30.28</v>
      </c>
      <c r="C168">
        <v>30.11</v>
      </c>
      <c r="D168">
        <v>30.28</v>
      </c>
      <c r="E168">
        <v>30.02</v>
      </c>
      <c r="F168" t="s">
        <v>372</v>
      </c>
      <c r="G168" s="8">
        <v>5.0000000000000001E-3</v>
      </c>
      <c r="H168" s="3">
        <f t="shared" si="2"/>
        <v>4.9784268171257917E-3</v>
      </c>
    </row>
    <row r="169" spans="1:8" x14ac:dyDescent="0.3">
      <c r="A169" s="7">
        <v>45628</v>
      </c>
      <c r="B169">
        <v>30.49</v>
      </c>
      <c r="C169">
        <v>30.36</v>
      </c>
      <c r="D169">
        <v>30.56</v>
      </c>
      <c r="E169">
        <v>30.15</v>
      </c>
      <c r="F169" t="s">
        <v>371</v>
      </c>
      <c r="G169" s="8">
        <v>6.8999999999999999E-3</v>
      </c>
      <c r="H169" s="3">
        <f t="shared" si="2"/>
        <v>6.9352708058123547E-3</v>
      </c>
    </row>
    <row r="170" spans="1:8" x14ac:dyDescent="0.3">
      <c r="A170" s="7">
        <v>45629</v>
      </c>
      <c r="B170">
        <v>30.56</v>
      </c>
      <c r="C170">
        <v>30.29</v>
      </c>
      <c r="D170">
        <v>30.58</v>
      </c>
      <c r="E170">
        <v>30.28</v>
      </c>
      <c r="F170" t="s">
        <v>370</v>
      </c>
      <c r="G170" s="8">
        <v>2.3E-3</v>
      </c>
      <c r="H170" s="3">
        <f t="shared" si="2"/>
        <v>2.2958346999015777E-3</v>
      </c>
    </row>
    <row r="171" spans="1:8" x14ac:dyDescent="0.3">
      <c r="A171" s="7">
        <v>45630</v>
      </c>
      <c r="B171">
        <v>30.33</v>
      </c>
      <c r="C171">
        <v>30.58</v>
      </c>
      <c r="D171">
        <v>30.64</v>
      </c>
      <c r="E171">
        <v>30.29</v>
      </c>
      <c r="F171" t="s">
        <v>369</v>
      </c>
      <c r="G171" s="8">
        <v>-7.4999999999999997E-3</v>
      </c>
      <c r="H171" s="3">
        <f t="shared" si="2"/>
        <v>-7.526178010471174E-3</v>
      </c>
    </row>
    <row r="172" spans="1:8" x14ac:dyDescent="0.3">
      <c r="A172" s="7">
        <v>45631</v>
      </c>
      <c r="B172">
        <v>30.58</v>
      </c>
      <c r="C172">
        <v>30.29</v>
      </c>
      <c r="D172">
        <v>30.58</v>
      </c>
      <c r="E172">
        <v>30.29</v>
      </c>
      <c r="F172" t="s">
        <v>368</v>
      </c>
      <c r="G172" s="8">
        <v>8.2000000000000007E-3</v>
      </c>
      <c r="H172" s="3">
        <f t="shared" si="2"/>
        <v>8.2426640290140796E-3</v>
      </c>
    </row>
    <row r="173" spans="1:8" x14ac:dyDescent="0.3">
      <c r="A173" s="7">
        <v>45632</v>
      </c>
      <c r="B173">
        <v>30.6</v>
      </c>
      <c r="C173">
        <v>30.59</v>
      </c>
      <c r="D173">
        <v>30.78</v>
      </c>
      <c r="E173">
        <v>30.51</v>
      </c>
      <c r="F173" t="s">
        <v>367</v>
      </c>
      <c r="G173" s="8">
        <v>6.9999999999999999E-4</v>
      </c>
      <c r="H173" s="3">
        <f t="shared" si="2"/>
        <v>6.5402223675614657E-4</v>
      </c>
    </row>
    <row r="174" spans="1:8" x14ac:dyDescent="0.3">
      <c r="A174" s="7">
        <v>45635</v>
      </c>
      <c r="B174">
        <v>29.95</v>
      </c>
      <c r="C174">
        <v>30.65</v>
      </c>
      <c r="D174">
        <v>30.72</v>
      </c>
      <c r="E174">
        <v>29.84</v>
      </c>
      <c r="F174" t="s">
        <v>366</v>
      </c>
      <c r="G174" s="8">
        <v>-2.12E-2</v>
      </c>
      <c r="H174" s="3">
        <f t="shared" si="2"/>
        <v>-2.1241830065359513E-2</v>
      </c>
    </row>
    <row r="175" spans="1:8" x14ac:dyDescent="0.3">
      <c r="A175" s="7">
        <v>45636</v>
      </c>
      <c r="B175">
        <v>29.69</v>
      </c>
      <c r="C175">
        <v>29.69</v>
      </c>
      <c r="D175">
        <v>29.98</v>
      </c>
      <c r="E175">
        <v>29.48</v>
      </c>
      <c r="F175" t="s">
        <v>365</v>
      </c>
      <c r="G175" s="8">
        <v>-8.6999999999999994E-3</v>
      </c>
      <c r="H175" s="3">
        <f t="shared" si="2"/>
        <v>-8.6811352253756136E-3</v>
      </c>
    </row>
    <row r="176" spans="1:8" x14ac:dyDescent="0.3">
      <c r="A176" s="7">
        <v>45637</v>
      </c>
      <c r="B176">
        <v>29.79</v>
      </c>
      <c r="C176">
        <v>29.85</v>
      </c>
      <c r="D176">
        <v>30.04</v>
      </c>
      <c r="E176">
        <v>29.79</v>
      </c>
      <c r="F176" t="s">
        <v>364</v>
      </c>
      <c r="G176" s="8">
        <v>3.3999999999999998E-3</v>
      </c>
      <c r="H176" s="3">
        <f t="shared" si="2"/>
        <v>3.3681374200067449E-3</v>
      </c>
    </row>
    <row r="177" spans="1:8" x14ac:dyDescent="0.3">
      <c r="A177" s="7">
        <v>45638</v>
      </c>
      <c r="B177">
        <v>29.94</v>
      </c>
      <c r="C177">
        <v>29.66</v>
      </c>
      <c r="D177">
        <v>30.04</v>
      </c>
      <c r="E177">
        <v>29.66</v>
      </c>
      <c r="F177" t="s">
        <v>363</v>
      </c>
      <c r="G177" s="8">
        <v>5.0000000000000001E-3</v>
      </c>
      <c r="H177" s="3">
        <f t="shared" si="2"/>
        <v>5.0352467270897705E-3</v>
      </c>
    </row>
    <row r="178" spans="1:8" x14ac:dyDescent="0.3">
      <c r="A178" s="7">
        <v>45639</v>
      </c>
      <c r="B178">
        <v>29.8</v>
      </c>
      <c r="C178">
        <v>29.96</v>
      </c>
      <c r="D178">
        <v>30</v>
      </c>
      <c r="E178">
        <v>29.76</v>
      </c>
      <c r="F178" t="s">
        <v>362</v>
      </c>
      <c r="G178" s="8">
        <v>-4.7000000000000002E-3</v>
      </c>
      <c r="H178" s="3">
        <f t="shared" si="2"/>
        <v>-4.676018704074858E-3</v>
      </c>
    </row>
    <row r="179" spans="1:8" x14ac:dyDescent="0.3">
      <c r="A179" s="7">
        <v>45642</v>
      </c>
      <c r="B179">
        <v>30</v>
      </c>
      <c r="C179">
        <v>29.94</v>
      </c>
      <c r="D179">
        <v>30.15</v>
      </c>
      <c r="E179">
        <v>29.8</v>
      </c>
      <c r="F179" t="s">
        <v>361</v>
      </c>
      <c r="G179" s="8">
        <v>6.7000000000000002E-3</v>
      </c>
      <c r="H179" s="3">
        <f t="shared" si="2"/>
        <v>6.7114093959730337E-3</v>
      </c>
    </row>
    <row r="180" spans="1:8" x14ac:dyDescent="0.3">
      <c r="A180" s="7">
        <v>45643</v>
      </c>
      <c r="B180">
        <v>29.8</v>
      </c>
      <c r="C180">
        <v>29.88</v>
      </c>
      <c r="D180">
        <v>29.98</v>
      </c>
      <c r="E180">
        <v>29.74</v>
      </c>
      <c r="F180" t="s">
        <v>350</v>
      </c>
      <c r="G180" s="8">
        <v>-6.7000000000000002E-3</v>
      </c>
      <c r="H180" s="3">
        <f t="shared" si="2"/>
        <v>-6.6666666666665986E-3</v>
      </c>
    </row>
    <row r="181" spans="1:8" x14ac:dyDescent="0.3">
      <c r="A181" s="7">
        <v>45644</v>
      </c>
      <c r="B181">
        <v>29.5</v>
      </c>
      <c r="C181">
        <v>29.65</v>
      </c>
      <c r="D181">
        <v>29.75</v>
      </c>
      <c r="E181">
        <v>29.48</v>
      </c>
      <c r="F181" t="s">
        <v>275</v>
      </c>
      <c r="G181" s="8">
        <v>-1.01E-2</v>
      </c>
      <c r="H181" s="3">
        <f t="shared" si="2"/>
        <v>-1.0067114093959773E-2</v>
      </c>
    </row>
    <row r="182" spans="1:8" x14ac:dyDescent="0.3">
      <c r="A182" s="7">
        <v>45645</v>
      </c>
      <c r="B182">
        <v>29.24</v>
      </c>
      <c r="C182">
        <v>29.33</v>
      </c>
      <c r="D182">
        <v>29.46</v>
      </c>
      <c r="E182">
        <v>28.85</v>
      </c>
      <c r="F182" t="s">
        <v>360</v>
      </c>
      <c r="G182" s="8">
        <v>-8.8000000000000005E-3</v>
      </c>
      <c r="H182" s="3">
        <f t="shared" si="2"/>
        <v>-8.8135593220339814E-3</v>
      </c>
    </row>
    <row r="183" spans="1:8" x14ac:dyDescent="0.3">
      <c r="A183" s="7">
        <v>45646</v>
      </c>
      <c r="B183">
        <v>28.92</v>
      </c>
      <c r="C183">
        <v>29.1</v>
      </c>
      <c r="D183">
        <v>29.1</v>
      </c>
      <c r="E183">
        <v>28.71</v>
      </c>
      <c r="F183" t="s">
        <v>359</v>
      </c>
      <c r="G183" s="8">
        <v>-1.09E-2</v>
      </c>
      <c r="H183" s="3">
        <f t="shared" si="2"/>
        <v>-1.0943912448700299E-2</v>
      </c>
    </row>
    <row r="184" spans="1:8" x14ac:dyDescent="0.3">
      <c r="A184" s="7">
        <v>45649</v>
      </c>
      <c r="B184">
        <v>28.83</v>
      </c>
      <c r="C184">
        <v>28.96</v>
      </c>
      <c r="D184">
        <v>29.02</v>
      </c>
      <c r="E184">
        <v>28.77</v>
      </c>
      <c r="F184" t="s">
        <v>225</v>
      </c>
      <c r="G184" s="8">
        <v>-3.0999999999999999E-3</v>
      </c>
      <c r="H184" s="3">
        <f t="shared" si="2"/>
        <v>-3.1120331950208469E-3</v>
      </c>
    </row>
    <row r="185" spans="1:8" x14ac:dyDescent="0.3">
      <c r="A185" s="7">
        <v>45653</v>
      </c>
      <c r="B185">
        <v>28.99</v>
      </c>
      <c r="C185">
        <v>28.69</v>
      </c>
      <c r="D185">
        <v>28.99</v>
      </c>
      <c r="E185">
        <v>28.48</v>
      </c>
      <c r="F185" t="s">
        <v>23</v>
      </c>
      <c r="G185" s="8">
        <v>5.4999999999999997E-3</v>
      </c>
      <c r="H185" s="3">
        <f t="shared" si="2"/>
        <v>5.5497745404093912E-3</v>
      </c>
    </row>
    <row r="186" spans="1:8" x14ac:dyDescent="0.3">
      <c r="A186" s="7">
        <v>45656</v>
      </c>
      <c r="B186">
        <v>28.89</v>
      </c>
      <c r="C186">
        <v>28.92</v>
      </c>
      <c r="D186">
        <v>29.04</v>
      </c>
      <c r="E186">
        <v>28.82</v>
      </c>
      <c r="F186" t="s">
        <v>271</v>
      </c>
      <c r="G186" s="8">
        <v>-3.3999999999999998E-3</v>
      </c>
      <c r="H186" s="3">
        <f t="shared" si="2"/>
        <v>-3.4494653328733804E-3</v>
      </c>
    </row>
    <row r="187" spans="1:8" x14ac:dyDescent="0.3">
      <c r="A187" s="7">
        <v>45659</v>
      </c>
      <c r="B187">
        <v>29.17</v>
      </c>
      <c r="C187">
        <v>28.94</v>
      </c>
      <c r="D187">
        <v>29.17</v>
      </c>
      <c r="E187">
        <v>28.86</v>
      </c>
      <c r="F187" t="s">
        <v>358</v>
      </c>
      <c r="G187" s="8">
        <v>9.7000000000000003E-3</v>
      </c>
      <c r="H187" s="3">
        <f t="shared" si="2"/>
        <v>9.6919349255797371E-3</v>
      </c>
    </row>
    <row r="188" spans="1:8" x14ac:dyDescent="0.3">
      <c r="A188" s="7">
        <v>45660</v>
      </c>
      <c r="B188">
        <v>29.31</v>
      </c>
      <c r="C188">
        <v>29.3</v>
      </c>
      <c r="D188">
        <v>29.46</v>
      </c>
      <c r="E188">
        <v>29.29</v>
      </c>
      <c r="F188" t="s">
        <v>246</v>
      </c>
      <c r="G188" s="8">
        <v>4.7999999999999996E-3</v>
      </c>
      <c r="H188" s="3">
        <f t="shared" si="2"/>
        <v>4.7994514912579334E-3</v>
      </c>
    </row>
    <row r="189" spans="1:8" x14ac:dyDescent="0.3">
      <c r="A189" s="7">
        <v>45663</v>
      </c>
      <c r="B189">
        <v>28.84</v>
      </c>
      <c r="C189">
        <v>29.29</v>
      </c>
      <c r="D189">
        <v>29.35</v>
      </c>
      <c r="E189">
        <v>28.67</v>
      </c>
      <c r="F189" t="s">
        <v>357</v>
      </c>
      <c r="G189" s="8">
        <v>-1.6E-2</v>
      </c>
      <c r="H189" s="3">
        <f t="shared" si="2"/>
        <v>-1.6035482770385467E-2</v>
      </c>
    </row>
    <row r="190" spans="1:8" x14ac:dyDescent="0.3">
      <c r="A190" s="7">
        <v>45664</v>
      </c>
      <c r="B190">
        <v>29.01</v>
      </c>
      <c r="C190">
        <v>28.75</v>
      </c>
      <c r="D190">
        <v>29.1</v>
      </c>
      <c r="E190">
        <v>28.66</v>
      </c>
      <c r="F190" t="s">
        <v>239</v>
      </c>
      <c r="G190" s="8">
        <v>5.8999999999999999E-3</v>
      </c>
      <c r="H190" s="3">
        <f t="shared" si="2"/>
        <v>5.8945908460472651E-3</v>
      </c>
    </row>
    <row r="191" spans="1:8" x14ac:dyDescent="0.3">
      <c r="A191" s="7">
        <v>45665</v>
      </c>
      <c r="B191">
        <v>29.09</v>
      </c>
      <c r="C191">
        <v>28.98</v>
      </c>
      <c r="D191">
        <v>29.15</v>
      </c>
      <c r="E191">
        <v>28.84</v>
      </c>
      <c r="F191" t="s">
        <v>276</v>
      </c>
      <c r="G191" s="8">
        <v>2.8E-3</v>
      </c>
      <c r="H191" s="3">
        <f t="shared" si="2"/>
        <v>2.7576697690450125E-3</v>
      </c>
    </row>
    <row r="192" spans="1:8" x14ac:dyDescent="0.3">
      <c r="A192" s="7">
        <v>45666</v>
      </c>
      <c r="B192">
        <v>29.26</v>
      </c>
      <c r="C192">
        <v>29.02</v>
      </c>
      <c r="D192">
        <v>29.39</v>
      </c>
      <c r="E192">
        <v>29.02</v>
      </c>
      <c r="F192" t="s">
        <v>204</v>
      </c>
      <c r="G192" s="8">
        <v>5.7999999999999996E-3</v>
      </c>
      <c r="H192" s="3">
        <f t="shared" si="2"/>
        <v>5.8439326228945099E-3</v>
      </c>
    </row>
    <row r="193" spans="1:8" x14ac:dyDescent="0.3">
      <c r="A193" s="7">
        <v>45667</v>
      </c>
      <c r="B193">
        <v>29.44</v>
      </c>
      <c r="C193">
        <v>29.62</v>
      </c>
      <c r="D193">
        <v>29.86</v>
      </c>
      <c r="E193">
        <v>29.27</v>
      </c>
      <c r="F193" t="s">
        <v>356</v>
      </c>
      <c r="G193" s="8">
        <v>6.1999999999999998E-3</v>
      </c>
      <c r="H193" s="3">
        <f t="shared" si="2"/>
        <v>6.1517429938482415E-3</v>
      </c>
    </row>
    <row r="194" spans="1:8" x14ac:dyDescent="0.3">
      <c r="A194" s="7">
        <v>45670</v>
      </c>
      <c r="B194">
        <v>29.85</v>
      </c>
      <c r="C194">
        <v>29.41</v>
      </c>
      <c r="D194">
        <v>29.96</v>
      </c>
      <c r="E194">
        <v>29.39</v>
      </c>
      <c r="F194" t="s">
        <v>343</v>
      </c>
      <c r="G194" s="8">
        <v>1.3899999999999999E-2</v>
      </c>
      <c r="H194" s="3">
        <f t="shared" si="2"/>
        <v>1.3926630434782705E-2</v>
      </c>
    </row>
    <row r="195" spans="1:8" x14ac:dyDescent="0.3">
      <c r="A195" s="7">
        <v>45671</v>
      </c>
      <c r="B195">
        <v>30.2</v>
      </c>
      <c r="C195">
        <v>29.84</v>
      </c>
      <c r="D195">
        <v>30.2</v>
      </c>
      <c r="E195">
        <v>29.74</v>
      </c>
      <c r="F195" t="s">
        <v>258</v>
      </c>
      <c r="G195" s="8">
        <v>1.17E-2</v>
      </c>
      <c r="H195" s="3">
        <f t="shared" si="2"/>
        <v>1.1725293132328174E-2</v>
      </c>
    </row>
    <row r="196" spans="1:8" x14ac:dyDescent="0.3">
      <c r="A196" s="7">
        <v>45672</v>
      </c>
      <c r="B196">
        <v>30.02</v>
      </c>
      <c r="C196">
        <v>30.3</v>
      </c>
      <c r="D196">
        <v>30.36</v>
      </c>
      <c r="E196">
        <v>29.9</v>
      </c>
      <c r="F196" t="s">
        <v>355</v>
      </c>
      <c r="G196" s="8">
        <v>-6.0000000000000001E-3</v>
      </c>
      <c r="H196" s="3">
        <f t="shared" ref="H196:H250" si="3">(B196/B195)-1</f>
        <v>-5.9602649006622599E-3</v>
      </c>
    </row>
    <row r="197" spans="1:8" x14ac:dyDescent="0.3">
      <c r="A197" s="7">
        <v>45673</v>
      </c>
      <c r="B197">
        <v>30.31</v>
      </c>
      <c r="C197">
        <v>29.9</v>
      </c>
      <c r="D197">
        <v>30.31</v>
      </c>
      <c r="E197">
        <v>29.55</v>
      </c>
      <c r="F197" t="s">
        <v>354</v>
      </c>
      <c r="G197" s="8">
        <v>9.7000000000000003E-3</v>
      </c>
      <c r="H197" s="3">
        <f t="shared" si="3"/>
        <v>9.6602265156562339E-3</v>
      </c>
    </row>
    <row r="198" spans="1:8" x14ac:dyDescent="0.3">
      <c r="A198" s="7">
        <v>45674</v>
      </c>
      <c r="B198">
        <v>30.31</v>
      </c>
      <c r="C198">
        <v>30.29</v>
      </c>
      <c r="D198">
        <v>30.39</v>
      </c>
      <c r="E198">
        <v>30.07</v>
      </c>
      <c r="F198" t="s">
        <v>353</v>
      </c>
      <c r="G198" s="8">
        <v>0</v>
      </c>
      <c r="H198" s="3">
        <f t="shared" si="3"/>
        <v>0</v>
      </c>
    </row>
    <row r="199" spans="1:8" x14ac:dyDescent="0.3">
      <c r="A199" s="7">
        <v>45677</v>
      </c>
      <c r="B199">
        <v>30.24</v>
      </c>
      <c r="C199">
        <v>30.22</v>
      </c>
      <c r="D199">
        <v>30.48</v>
      </c>
      <c r="E199">
        <v>30.14</v>
      </c>
      <c r="F199" t="s">
        <v>219</v>
      </c>
      <c r="G199" s="8">
        <v>-2.3E-3</v>
      </c>
      <c r="H199" s="3">
        <f t="shared" si="3"/>
        <v>-2.3094688221708681E-3</v>
      </c>
    </row>
    <row r="200" spans="1:8" x14ac:dyDescent="0.3">
      <c r="A200" s="7">
        <v>45678</v>
      </c>
      <c r="B200">
        <v>30.33</v>
      </c>
      <c r="C200">
        <v>30.22</v>
      </c>
      <c r="D200">
        <v>30.53</v>
      </c>
      <c r="E200">
        <v>30.22</v>
      </c>
      <c r="F200" t="s">
        <v>283</v>
      </c>
      <c r="G200" s="8">
        <v>3.0000000000000001E-3</v>
      </c>
      <c r="H200" s="3">
        <f t="shared" si="3"/>
        <v>2.9761904761904656E-3</v>
      </c>
    </row>
    <row r="201" spans="1:8" x14ac:dyDescent="0.3">
      <c r="A201" s="7">
        <v>45679</v>
      </c>
      <c r="B201">
        <v>29.95</v>
      </c>
      <c r="C201">
        <v>30.34</v>
      </c>
      <c r="D201">
        <v>30.39</v>
      </c>
      <c r="E201">
        <v>29.86</v>
      </c>
      <c r="F201" t="s">
        <v>352</v>
      </c>
      <c r="G201" s="8">
        <v>-1.2500000000000001E-2</v>
      </c>
      <c r="H201" s="3">
        <f t="shared" si="3"/>
        <v>-1.2528849324101476E-2</v>
      </c>
    </row>
    <row r="202" spans="1:8" x14ac:dyDescent="0.3">
      <c r="A202" s="7">
        <v>45680</v>
      </c>
      <c r="B202">
        <v>30</v>
      </c>
      <c r="C202">
        <v>30.21</v>
      </c>
      <c r="D202">
        <v>30.25</v>
      </c>
      <c r="E202">
        <v>29.98</v>
      </c>
      <c r="F202" t="s">
        <v>351</v>
      </c>
      <c r="G202" s="8">
        <v>1.6999999999999999E-3</v>
      </c>
      <c r="H202" s="3">
        <f t="shared" si="3"/>
        <v>1.6694490818029983E-3</v>
      </c>
    </row>
    <row r="203" spans="1:8" x14ac:dyDescent="0.3">
      <c r="A203" s="7">
        <v>45681</v>
      </c>
      <c r="B203">
        <v>29.35</v>
      </c>
      <c r="C203">
        <v>30.06</v>
      </c>
      <c r="D203">
        <v>30.07</v>
      </c>
      <c r="E203">
        <v>29.24</v>
      </c>
      <c r="F203" t="s">
        <v>350</v>
      </c>
      <c r="G203" s="8">
        <v>-2.1700000000000001E-2</v>
      </c>
      <c r="H203" s="3">
        <f t="shared" si="3"/>
        <v>-2.1666666666666612E-2</v>
      </c>
    </row>
    <row r="204" spans="1:8" x14ac:dyDescent="0.3">
      <c r="A204" s="7">
        <v>45684</v>
      </c>
      <c r="B204">
        <v>29.81</v>
      </c>
      <c r="C204">
        <v>29.59</v>
      </c>
      <c r="D204">
        <v>29.91</v>
      </c>
      <c r="E204">
        <v>29.43</v>
      </c>
      <c r="F204" t="s">
        <v>109</v>
      </c>
      <c r="G204" s="8">
        <v>1.5699999999999999E-2</v>
      </c>
      <c r="H204" s="3">
        <f t="shared" si="3"/>
        <v>1.5672913117546816E-2</v>
      </c>
    </row>
    <row r="205" spans="1:8" x14ac:dyDescent="0.3">
      <c r="A205" s="7">
        <v>45685</v>
      </c>
      <c r="B205">
        <v>30.77</v>
      </c>
      <c r="C205">
        <v>29.75</v>
      </c>
      <c r="D205">
        <v>30.77</v>
      </c>
      <c r="E205">
        <v>29.71</v>
      </c>
      <c r="F205" t="s">
        <v>349</v>
      </c>
      <c r="G205" s="8">
        <v>3.2199999999999999E-2</v>
      </c>
      <c r="H205" s="3">
        <f t="shared" si="3"/>
        <v>3.2203958403220323E-2</v>
      </c>
    </row>
    <row r="206" spans="1:8" x14ac:dyDescent="0.3">
      <c r="A206" s="7">
        <v>45686</v>
      </c>
      <c r="B206">
        <v>32.200000000000003</v>
      </c>
      <c r="C206">
        <v>30.64</v>
      </c>
      <c r="D206">
        <v>32.25</v>
      </c>
      <c r="E206">
        <v>30.39</v>
      </c>
      <c r="F206" t="s">
        <v>348</v>
      </c>
      <c r="G206" s="8">
        <v>4.65E-2</v>
      </c>
      <c r="H206" s="3">
        <f t="shared" si="3"/>
        <v>4.6473838154046154E-2</v>
      </c>
    </row>
    <row r="207" spans="1:8" x14ac:dyDescent="0.3">
      <c r="A207" s="7">
        <v>45687</v>
      </c>
      <c r="B207">
        <v>32.29</v>
      </c>
      <c r="C207">
        <v>32.15</v>
      </c>
      <c r="D207">
        <v>32.29</v>
      </c>
      <c r="E207">
        <v>31.87</v>
      </c>
      <c r="F207" t="s">
        <v>16</v>
      </c>
      <c r="G207" s="8">
        <v>2.8E-3</v>
      </c>
      <c r="H207" s="3">
        <f t="shared" si="3"/>
        <v>2.7950310559003988E-3</v>
      </c>
    </row>
    <row r="208" spans="1:8" x14ac:dyDescent="0.3">
      <c r="A208" s="7">
        <v>45688</v>
      </c>
      <c r="B208">
        <v>32.35</v>
      </c>
      <c r="C208">
        <v>32.39</v>
      </c>
      <c r="D208">
        <v>32.5</v>
      </c>
      <c r="E208">
        <v>32.08</v>
      </c>
      <c r="F208" t="s">
        <v>347</v>
      </c>
      <c r="G208" s="8">
        <v>1.9E-3</v>
      </c>
      <c r="H208" s="3">
        <f t="shared" si="3"/>
        <v>1.8581604211831415E-3</v>
      </c>
    </row>
    <row r="209" spans="1:8" x14ac:dyDescent="0.3">
      <c r="A209" s="7">
        <v>45691</v>
      </c>
      <c r="B209">
        <v>32.54</v>
      </c>
      <c r="C209">
        <v>32.4</v>
      </c>
      <c r="D209">
        <v>32.75</v>
      </c>
      <c r="E209">
        <v>32.340000000000003</v>
      </c>
      <c r="F209" t="s">
        <v>336</v>
      </c>
      <c r="G209" s="8">
        <v>5.8999999999999999E-3</v>
      </c>
      <c r="H209" s="3">
        <f t="shared" si="3"/>
        <v>5.8732612055640843E-3</v>
      </c>
    </row>
    <row r="210" spans="1:8" x14ac:dyDescent="0.3">
      <c r="A210" s="7">
        <v>45692</v>
      </c>
      <c r="B210">
        <v>32.35</v>
      </c>
      <c r="C210">
        <v>32.56</v>
      </c>
      <c r="D210">
        <v>32.619999999999997</v>
      </c>
      <c r="E210">
        <v>32.11</v>
      </c>
      <c r="F210" t="s">
        <v>346</v>
      </c>
      <c r="G210" s="8">
        <v>-5.7999999999999996E-3</v>
      </c>
      <c r="H210" s="3">
        <f t="shared" si="3"/>
        <v>-5.8389674247080192E-3</v>
      </c>
    </row>
    <row r="211" spans="1:8" x14ac:dyDescent="0.3">
      <c r="A211" s="7">
        <v>45693</v>
      </c>
      <c r="B211">
        <v>32.659999999999997</v>
      </c>
      <c r="C211">
        <v>32.33</v>
      </c>
      <c r="D211">
        <v>32.68</v>
      </c>
      <c r="E211">
        <v>32.24</v>
      </c>
      <c r="F211" t="s">
        <v>17</v>
      </c>
      <c r="G211" s="8">
        <v>9.5999999999999992E-3</v>
      </c>
      <c r="H211" s="3">
        <f t="shared" si="3"/>
        <v>9.582689335394079E-3</v>
      </c>
    </row>
    <row r="212" spans="1:8" x14ac:dyDescent="0.3">
      <c r="A212" s="7">
        <v>45694</v>
      </c>
      <c r="B212">
        <v>33.020000000000003</v>
      </c>
      <c r="C212">
        <v>32.659999999999997</v>
      </c>
      <c r="D212">
        <v>33.020000000000003</v>
      </c>
      <c r="E212">
        <v>32.549999999999997</v>
      </c>
      <c r="F212" t="s">
        <v>345</v>
      </c>
      <c r="G212" s="8">
        <v>1.0999999999999999E-2</v>
      </c>
      <c r="H212" s="3">
        <f t="shared" si="3"/>
        <v>1.1022657685242132E-2</v>
      </c>
    </row>
    <row r="213" spans="1:8" x14ac:dyDescent="0.3">
      <c r="A213" s="7">
        <v>45695</v>
      </c>
      <c r="B213">
        <v>32.909999999999997</v>
      </c>
      <c r="C213">
        <v>33</v>
      </c>
      <c r="D213">
        <v>33.159999999999997</v>
      </c>
      <c r="E213">
        <v>32.909999999999997</v>
      </c>
      <c r="F213" t="s">
        <v>343</v>
      </c>
      <c r="G213" s="8">
        <v>-3.3E-3</v>
      </c>
      <c r="H213" s="3">
        <f t="shared" si="3"/>
        <v>-3.3313143549366098E-3</v>
      </c>
    </row>
    <row r="214" spans="1:8" x14ac:dyDescent="0.3">
      <c r="A214" s="7">
        <v>45698</v>
      </c>
      <c r="B214">
        <v>33.380000000000003</v>
      </c>
      <c r="C214">
        <v>33.11</v>
      </c>
      <c r="D214">
        <v>33.5</v>
      </c>
      <c r="E214">
        <v>33.01</v>
      </c>
      <c r="F214" t="s">
        <v>344</v>
      </c>
      <c r="G214" s="8">
        <v>1.43E-2</v>
      </c>
      <c r="H214" s="3">
        <f t="shared" si="3"/>
        <v>1.4281373442722733E-2</v>
      </c>
    </row>
    <row r="215" spans="1:8" x14ac:dyDescent="0.3">
      <c r="A215" s="7">
        <v>45699</v>
      </c>
      <c r="B215">
        <v>33.83</v>
      </c>
      <c r="C215">
        <v>33.35</v>
      </c>
      <c r="D215">
        <v>33.94</v>
      </c>
      <c r="E215">
        <v>33.25</v>
      </c>
      <c r="F215" t="s">
        <v>343</v>
      </c>
      <c r="G215" s="8">
        <v>1.35E-2</v>
      </c>
      <c r="H215" s="3">
        <f t="shared" si="3"/>
        <v>1.3481126423007694E-2</v>
      </c>
    </row>
    <row r="216" spans="1:8" x14ac:dyDescent="0.3">
      <c r="A216" s="7">
        <v>45700</v>
      </c>
      <c r="B216">
        <v>34.119999999999997</v>
      </c>
      <c r="C216">
        <v>33.99</v>
      </c>
      <c r="D216">
        <v>34.119999999999997</v>
      </c>
      <c r="E216">
        <v>33.71</v>
      </c>
      <c r="F216" t="s">
        <v>342</v>
      </c>
      <c r="G216" s="8">
        <v>8.6E-3</v>
      </c>
      <c r="H216" s="3">
        <f t="shared" si="3"/>
        <v>8.5722731303576882E-3</v>
      </c>
    </row>
    <row r="217" spans="1:8" x14ac:dyDescent="0.3">
      <c r="A217" s="7">
        <v>45701</v>
      </c>
      <c r="B217">
        <v>33.590000000000003</v>
      </c>
      <c r="C217">
        <v>33.83</v>
      </c>
      <c r="D217">
        <v>34.090000000000003</v>
      </c>
      <c r="E217">
        <v>33.299999999999997</v>
      </c>
      <c r="F217" t="s">
        <v>341</v>
      </c>
      <c r="G217" s="8">
        <v>-1.55E-2</v>
      </c>
      <c r="H217" s="3">
        <f t="shared" si="3"/>
        <v>-1.553341148886267E-2</v>
      </c>
    </row>
    <row r="218" spans="1:8" x14ac:dyDescent="0.3">
      <c r="A218" s="7">
        <v>45702</v>
      </c>
      <c r="B218">
        <v>33.619999999999997</v>
      </c>
      <c r="C218">
        <v>33.49</v>
      </c>
      <c r="D218">
        <v>33.68</v>
      </c>
      <c r="E218">
        <v>33.35</v>
      </c>
      <c r="F218" t="s">
        <v>340</v>
      </c>
      <c r="G218" s="8">
        <v>8.9999999999999998E-4</v>
      </c>
      <c r="H218" s="3">
        <f t="shared" si="3"/>
        <v>8.9312295325982838E-4</v>
      </c>
    </row>
    <row r="219" spans="1:8" x14ac:dyDescent="0.3">
      <c r="A219" s="7">
        <v>45705</v>
      </c>
      <c r="B219">
        <v>34.04</v>
      </c>
      <c r="C219">
        <v>33.6</v>
      </c>
      <c r="D219">
        <v>34.04</v>
      </c>
      <c r="E219">
        <v>33.57</v>
      </c>
      <c r="F219" t="s">
        <v>339</v>
      </c>
      <c r="G219" s="8">
        <v>1.2500000000000001E-2</v>
      </c>
      <c r="H219" s="3">
        <f t="shared" si="3"/>
        <v>1.2492563950029734E-2</v>
      </c>
    </row>
    <row r="220" spans="1:8" x14ac:dyDescent="0.3">
      <c r="A220" s="7">
        <v>45706</v>
      </c>
      <c r="B220">
        <v>34.47</v>
      </c>
      <c r="C220">
        <v>34.04</v>
      </c>
      <c r="D220">
        <v>34.520000000000003</v>
      </c>
      <c r="E220">
        <v>34.04</v>
      </c>
      <c r="F220" t="s">
        <v>338</v>
      </c>
      <c r="G220" s="8">
        <v>1.26E-2</v>
      </c>
      <c r="H220" s="3">
        <f t="shared" si="3"/>
        <v>1.2632197414806035E-2</v>
      </c>
    </row>
    <row r="221" spans="1:8" x14ac:dyDescent="0.3">
      <c r="A221" s="7">
        <v>45707</v>
      </c>
      <c r="B221">
        <v>34.340000000000003</v>
      </c>
      <c r="C221">
        <v>34.39</v>
      </c>
      <c r="D221">
        <v>34.89</v>
      </c>
      <c r="E221">
        <v>34.340000000000003</v>
      </c>
      <c r="F221" t="s">
        <v>337</v>
      </c>
      <c r="G221" s="8">
        <v>-3.8E-3</v>
      </c>
      <c r="H221" s="3">
        <f t="shared" si="3"/>
        <v>-3.771395416303891E-3</v>
      </c>
    </row>
    <row r="222" spans="1:8" x14ac:dyDescent="0.3">
      <c r="A222" s="7">
        <v>45708</v>
      </c>
      <c r="B222">
        <v>34.25</v>
      </c>
      <c r="C222">
        <v>34.5</v>
      </c>
      <c r="D222">
        <v>34.770000000000003</v>
      </c>
      <c r="E222">
        <v>34.25</v>
      </c>
      <c r="F222" t="s">
        <v>336</v>
      </c>
      <c r="G222" s="8">
        <v>-2.5999999999999999E-3</v>
      </c>
      <c r="H222" s="3">
        <f t="shared" si="3"/>
        <v>-2.6208503203262179E-3</v>
      </c>
    </row>
    <row r="223" spans="1:8" x14ac:dyDescent="0.3">
      <c r="A223" s="7">
        <v>45709</v>
      </c>
      <c r="B223">
        <v>34.520000000000003</v>
      </c>
      <c r="C223">
        <v>34.4</v>
      </c>
      <c r="D223">
        <v>34.520000000000003</v>
      </c>
      <c r="E223">
        <v>34.14</v>
      </c>
      <c r="F223" t="s">
        <v>335</v>
      </c>
      <c r="G223" s="8">
        <v>7.9000000000000008E-3</v>
      </c>
      <c r="H223" s="3">
        <f t="shared" si="3"/>
        <v>7.8832116788321027E-3</v>
      </c>
    </row>
    <row r="224" spans="1:8" x14ac:dyDescent="0.3">
      <c r="A224" s="7">
        <v>45712</v>
      </c>
      <c r="B224">
        <v>34.659999999999997</v>
      </c>
      <c r="C224">
        <v>34.65</v>
      </c>
      <c r="D224">
        <v>34.85</v>
      </c>
      <c r="E224">
        <v>34.520000000000003</v>
      </c>
      <c r="F224" t="s">
        <v>334</v>
      </c>
      <c r="G224" s="8">
        <v>4.1000000000000003E-3</v>
      </c>
      <c r="H224" s="3">
        <f t="shared" si="3"/>
        <v>4.0556199304748741E-3</v>
      </c>
    </row>
    <row r="225" spans="1:8" x14ac:dyDescent="0.3">
      <c r="A225" s="7">
        <v>45713</v>
      </c>
      <c r="B225">
        <v>34.979999999999997</v>
      </c>
      <c r="C225">
        <v>34.549999999999997</v>
      </c>
      <c r="D225">
        <v>35.01</v>
      </c>
      <c r="E225">
        <v>34.409999999999997</v>
      </c>
      <c r="F225" t="s">
        <v>333</v>
      </c>
      <c r="G225" s="8">
        <v>9.1999999999999998E-3</v>
      </c>
      <c r="H225" s="3">
        <f t="shared" si="3"/>
        <v>9.2325447201384581E-3</v>
      </c>
    </row>
    <row r="226" spans="1:8" x14ac:dyDescent="0.3">
      <c r="A226" s="7">
        <v>45714</v>
      </c>
      <c r="B226">
        <v>33.840000000000003</v>
      </c>
      <c r="C226">
        <v>33.71</v>
      </c>
      <c r="D226">
        <v>34.29</v>
      </c>
      <c r="E226">
        <v>33.22</v>
      </c>
      <c r="F226" t="s">
        <v>798</v>
      </c>
      <c r="G226" s="8">
        <v>-3.2599999999999997E-2</v>
      </c>
      <c r="H226" s="3">
        <f t="shared" si="3"/>
        <v>-3.2590051457975777E-2</v>
      </c>
    </row>
    <row r="227" spans="1:8" x14ac:dyDescent="0.3">
      <c r="A227" s="7">
        <v>45715</v>
      </c>
      <c r="B227">
        <v>34.42</v>
      </c>
      <c r="C227">
        <v>33.840000000000003</v>
      </c>
      <c r="D227">
        <v>34.67</v>
      </c>
      <c r="E227">
        <v>33.840000000000003</v>
      </c>
      <c r="F227" t="s">
        <v>332</v>
      </c>
      <c r="G227" s="8">
        <v>1.7100000000000001E-2</v>
      </c>
      <c r="H227" s="3">
        <f t="shared" si="3"/>
        <v>1.7139479905437405E-2</v>
      </c>
    </row>
    <row r="228" spans="1:8" x14ac:dyDescent="0.3">
      <c r="A228" s="7">
        <v>45716</v>
      </c>
      <c r="B228">
        <v>34.75</v>
      </c>
      <c r="C228">
        <v>34.42</v>
      </c>
      <c r="D228">
        <v>34.79</v>
      </c>
      <c r="E228">
        <v>34.32</v>
      </c>
      <c r="F228" t="s">
        <v>797</v>
      </c>
      <c r="G228" s="8">
        <v>9.5999999999999992E-3</v>
      </c>
      <c r="H228" s="3">
        <f t="shared" si="3"/>
        <v>9.5874491574665655E-3</v>
      </c>
    </row>
    <row r="229" spans="1:8" x14ac:dyDescent="0.3">
      <c r="A229" s="7">
        <v>45719</v>
      </c>
      <c r="B229">
        <v>35.85</v>
      </c>
      <c r="C229">
        <v>34.89</v>
      </c>
      <c r="D229">
        <v>35.909999999999997</v>
      </c>
      <c r="E229">
        <v>34.75</v>
      </c>
      <c r="F229" t="s">
        <v>499</v>
      </c>
      <c r="G229" s="8">
        <v>3.1699999999999999E-2</v>
      </c>
      <c r="H229" s="3">
        <f t="shared" si="3"/>
        <v>3.1654676258992875E-2</v>
      </c>
    </row>
    <row r="230" spans="1:8" x14ac:dyDescent="0.3">
      <c r="A230" s="7">
        <v>45720</v>
      </c>
      <c r="B230">
        <v>35.14</v>
      </c>
      <c r="C230">
        <v>35.86</v>
      </c>
      <c r="D230">
        <v>35.9</v>
      </c>
      <c r="E230">
        <v>35.14</v>
      </c>
      <c r="F230" t="s">
        <v>796</v>
      </c>
      <c r="G230" s="8">
        <v>-1.9800000000000002E-2</v>
      </c>
      <c r="H230" s="3">
        <f t="shared" si="3"/>
        <v>-1.9804741980474216E-2</v>
      </c>
    </row>
    <row r="231" spans="1:8" x14ac:dyDescent="0.3">
      <c r="A231" s="7">
        <v>45721</v>
      </c>
      <c r="B231">
        <v>33.94</v>
      </c>
      <c r="C231">
        <v>34.85</v>
      </c>
      <c r="D231">
        <v>34.94</v>
      </c>
      <c r="E231">
        <v>33.94</v>
      </c>
      <c r="F231" t="s">
        <v>795</v>
      </c>
      <c r="G231" s="8">
        <v>-3.4099999999999998E-2</v>
      </c>
      <c r="H231" s="3">
        <f t="shared" si="3"/>
        <v>-3.4149117814456509E-2</v>
      </c>
    </row>
    <row r="232" spans="1:8" x14ac:dyDescent="0.3">
      <c r="A232" s="7">
        <v>45722</v>
      </c>
      <c r="B232">
        <v>33.049999999999997</v>
      </c>
      <c r="C232">
        <v>34.01</v>
      </c>
      <c r="D232">
        <v>34.06</v>
      </c>
      <c r="E232">
        <v>32.56</v>
      </c>
      <c r="F232" t="s">
        <v>794</v>
      </c>
      <c r="G232" s="8">
        <v>-2.6200000000000001E-2</v>
      </c>
      <c r="H232" s="3">
        <f t="shared" si="3"/>
        <v>-2.6222746022392496E-2</v>
      </c>
    </row>
    <row r="233" spans="1:8" x14ac:dyDescent="0.3">
      <c r="A233" s="7">
        <v>45723</v>
      </c>
      <c r="B233">
        <v>34.07</v>
      </c>
      <c r="C233">
        <v>33.380000000000003</v>
      </c>
      <c r="D233">
        <v>34.07</v>
      </c>
      <c r="E233">
        <v>32.950000000000003</v>
      </c>
      <c r="F233" t="s">
        <v>793</v>
      </c>
      <c r="G233" s="8">
        <v>3.09E-2</v>
      </c>
      <c r="H233" s="3">
        <f t="shared" si="3"/>
        <v>3.086232980332837E-2</v>
      </c>
    </row>
    <row r="234" spans="1:8" x14ac:dyDescent="0.3">
      <c r="A234" s="7">
        <v>45726</v>
      </c>
      <c r="B234">
        <v>34.5</v>
      </c>
      <c r="C234">
        <v>34.07</v>
      </c>
      <c r="D234">
        <v>34.61</v>
      </c>
      <c r="E234">
        <v>33.69</v>
      </c>
      <c r="F234" t="s">
        <v>792</v>
      </c>
      <c r="G234" s="8">
        <v>1.26E-2</v>
      </c>
      <c r="H234" s="3">
        <f t="shared" si="3"/>
        <v>1.2621074258878817E-2</v>
      </c>
    </row>
    <row r="235" spans="1:8" x14ac:dyDescent="0.3">
      <c r="A235" s="7">
        <v>45727</v>
      </c>
      <c r="B235">
        <v>33.43</v>
      </c>
      <c r="C235">
        <v>34.5</v>
      </c>
      <c r="D235">
        <v>34.81</v>
      </c>
      <c r="E235">
        <v>33.31</v>
      </c>
      <c r="F235" t="s">
        <v>492</v>
      </c>
      <c r="G235" s="8">
        <v>-3.1E-2</v>
      </c>
      <c r="H235" s="3">
        <f t="shared" si="3"/>
        <v>-3.1014492753623224E-2</v>
      </c>
    </row>
    <row r="236" spans="1:8" x14ac:dyDescent="0.3">
      <c r="A236" s="7">
        <v>45728</v>
      </c>
      <c r="B236">
        <v>33.32</v>
      </c>
      <c r="C236">
        <v>33.35</v>
      </c>
      <c r="D236">
        <v>33.520000000000003</v>
      </c>
      <c r="E236">
        <v>32.950000000000003</v>
      </c>
      <c r="F236" t="s">
        <v>505</v>
      </c>
      <c r="G236" s="8">
        <v>-3.3E-3</v>
      </c>
      <c r="H236" s="3">
        <f t="shared" si="3"/>
        <v>-3.2904576727490475E-3</v>
      </c>
    </row>
    <row r="237" spans="1:8" x14ac:dyDescent="0.3">
      <c r="A237" s="7">
        <v>45729</v>
      </c>
      <c r="B237">
        <v>33.81</v>
      </c>
      <c r="C237">
        <v>33.32</v>
      </c>
      <c r="D237">
        <v>33.81</v>
      </c>
      <c r="E237">
        <v>33.299999999999997</v>
      </c>
      <c r="F237" t="s">
        <v>506</v>
      </c>
      <c r="G237" s="8">
        <v>1.47E-2</v>
      </c>
      <c r="H237" s="3">
        <f t="shared" si="3"/>
        <v>1.4705882352941346E-2</v>
      </c>
    </row>
    <row r="238" spans="1:8" x14ac:dyDescent="0.3">
      <c r="A238" s="7">
        <v>45730</v>
      </c>
      <c r="B238">
        <v>33.700000000000003</v>
      </c>
      <c r="C238">
        <v>33.54</v>
      </c>
      <c r="D238">
        <v>33.89</v>
      </c>
      <c r="E238">
        <v>33.28</v>
      </c>
      <c r="F238" t="s">
        <v>511</v>
      </c>
      <c r="G238" s="8">
        <v>-3.3E-3</v>
      </c>
      <c r="H238" s="3">
        <f t="shared" si="3"/>
        <v>-3.2534753031647767E-3</v>
      </c>
    </row>
    <row r="239" spans="1:8" x14ac:dyDescent="0.3">
      <c r="A239" s="7">
        <v>45733</v>
      </c>
      <c r="B239">
        <v>33.82</v>
      </c>
      <c r="C239">
        <v>33.700000000000003</v>
      </c>
      <c r="D239">
        <v>33.86</v>
      </c>
      <c r="E239">
        <v>33.54</v>
      </c>
      <c r="F239" t="s">
        <v>467</v>
      </c>
      <c r="G239" s="8">
        <v>3.5999999999999999E-3</v>
      </c>
      <c r="H239" s="3">
        <f t="shared" si="3"/>
        <v>3.5608308605341588E-3</v>
      </c>
    </row>
    <row r="240" spans="1:8" x14ac:dyDescent="0.3">
      <c r="A240" s="7">
        <v>45734</v>
      </c>
      <c r="B240">
        <v>33.79</v>
      </c>
      <c r="C240">
        <v>33.86</v>
      </c>
      <c r="D240">
        <v>34.090000000000003</v>
      </c>
      <c r="E240">
        <v>33.520000000000003</v>
      </c>
      <c r="F240" t="s">
        <v>791</v>
      </c>
      <c r="G240" s="8">
        <v>-8.9999999999999998E-4</v>
      </c>
      <c r="H240" s="3">
        <f t="shared" si="3"/>
        <v>-8.8704908338266275E-4</v>
      </c>
    </row>
    <row r="241" spans="1:8" x14ac:dyDescent="0.3">
      <c r="A241" s="7">
        <v>45735</v>
      </c>
      <c r="B241">
        <v>33.549999999999997</v>
      </c>
      <c r="C241">
        <v>33.61</v>
      </c>
      <c r="D241">
        <v>33.9</v>
      </c>
      <c r="E241">
        <v>33.549999999999997</v>
      </c>
      <c r="F241" t="s">
        <v>790</v>
      </c>
      <c r="G241" s="8">
        <v>-7.1000000000000004E-3</v>
      </c>
      <c r="H241" s="3">
        <f t="shared" si="3"/>
        <v>-7.1026931044688713E-3</v>
      </c>
    </row>
    <row r="242" spans="1:8" x14ac:dyDescent="0.3">
      <c r="A242" s="7">
        <v>45736</v>
      </c>
      <c r="B242">
        <v>33.340000000000003</v>
      </c>
      <c r="C242">
        <v>33.549999999999997</v>
      </c>
      <c r="D242">
        <v>33.65</v>
      </c>
      <c r="E242">
        <v>33.33</v>
      </c>
      <c r="F242" t="s">
        <v>513</v>
      </c>
      <c r="G242" s="8">
        <v>-6.3E-3</v>
      </c>
      <c r="H242" s="3">
        <f t="shared" si="3"/>
        <v>-6.2593144560355585E-3</v>
      </c>
    </row>
    <row r="243" spans="1:8" x14ac:dyDescent="0.3">
      <c r="A243" s="7">
        <v>45737</v>
      </c>
      <c r="B243">
        <v>33.76</v>
      </c>
      <c r="C243">
        <v>33.44</v>
      </c>
      <c r="D243">
        <v>33.76</v>
      </c>
      <c r="E243">
        <v>33.270000000000003</v>
      </c>
      <c r="F243" t="s">
        <v>15</v>
      </c>
      <c r="G243" s="8">
        <v>1.26E-2</v>
      </c>
      <c r="H243" s="3">
        <f t="shared" si="3"/>
        <v>1.2597480503899083E-2</v>
      </c>
    </row>
    <row r="244" spans="1:8" x14ac:dyDescent="0.3">
      <c r="A244" s="7">
        <v>45740</v>
      </c>
      <c r="B244">
        <v>33.299999999999997</v>
      </c>
      <c r="C244">
        <v>33.799999999999997</v>
      </c>
      <c r="D244">
        <v>33.82</v>
      </c>
      <c r="E244">
        <v>33.229999999999997</v>
      </c>
      <c r="F244" t="s">
        <v>415</v>
      </c>
      <c r="G244" s="8">
        <v>-1.3599999999999999E-2</v>
      </c>
      <c r="H244" s="3">
        <f t="shared" si="3"/>
        <v>-1.3625592417061627E-2</v>
      </c>
    </row>
    <row r="245" spans="1:8" x14ac:dyDescent="0.3">
      <c r="A245" s="7">
        <v>45741</v>
      </c>
      <c r="B245">
        <v>33.4</v>
      </c>
      <c r="C245">
        <v>33.39</v>
      </c>
      <c r="D245">
        <v>33.67</v>
      </c>
      <c r="E245">
        <v>33.299999999999997</v>
      </c>
      <c r="F245" t="s">
        <v>789</v>
      </c>
      <c r="G245" s="8">
        <v>3.0000000000000001E-3</v>
      </c>
      <c r="H245" s="3">
        <f t="shared" si="3"/>
        <v>3.0030030030030463E-3</v>
      </c>
    </row>
    <row r="246" spans="1:8" x14ac:dyDescent="0.3">
      <c r="A246" s="7">
        <v>45742</v>
      </c>
      <c r="B246">
        <v>33.549999999999997</v>
      </c>
      <c r="C246">
        <v>33.369999999999997</v>
      </c>
      <c r="D246">
        <v>33.590000000000003</v>
      </c>
      <c r="E246">
        <v>32.799999999999997</v>
      </c>
      <c r="F246" t="s">
        <v>788</v>
      </c>
      <c r="G246" s="8">
        <v>4.4999999999999997E-3</v>
      </c>
      <c r="H246" s="3">
        <f t="shared" si="3"/>
        <v>4.4910179640718084E-3</v>
      </c>
    </row>
    <row r="247" spans="1:8" x14ac:dyDescent="0.3">
      <c r="A247" s="7">
        <v>45743</v>
      </c>
      <c r="B247">
        <v>33.409999999999997</v>
      </c>
      <c r="C247">
        <v>33.43</v>
      </c>
      <c r="D247">
        <v>33.590000000000003</v>
      </c>
      <c r="E247">
        <v>33.29</v>
      </c>
      <c r="F247" t="s">
        <v>787</v>
      </c>
      <c r="G247" s="8">
        <v>-4.1999999999999997E-3</v>
      </c>
      <c r="H247" s="3">
        <f t="shared" si="3"/>
        <v>-4.1728763040238537E-3</v>
      </c>
    </row>
    <row r="248" spans="1:8" x14ac:dyDescent="0.3">
      <c r="A248" s="7">
        <v>45744</v>
      </c>
      <c r="B248">
        <v>34.130000000000003</v>
      </c>
      <c r="C248">
        <v>33.57</v>
      </c>
      <c r="D248">
        <v>34.25</v>
      </c>
      <c r="E248">
        <v>33.54</v>
      </c>
      <c r="F248" t="s">
        <v>786</v>
      </c>
      <c r="G248" s="8">
        <v>2.1600000000000001E-2</v>
      </c>
      <c r="H248" s="3">
        <f t="shared" si="3"/>
        <v>2.1550434001796015E-2</v>
      </c>
    </row>
    <row r="249" spans="1:8" x14ac:dyDescent="0.3">
      <c r="A249" s="7">
        <v>45747</v>
      </c>
      <c r="B249">
        <v>34.22</v>
      </c>
      <c r="C249">
        <v>34.090000000000003</v>
      </c>
      <c r="D249">
        <v>34.56</v>
      </c>
      <c r="E249">
        <v>33.92</v>
      </c>
      <c r="F249" t="s">
        <v>785</v>
      </c>
      <c r="G249" s="8">
        <v>2.5999999999999999E-3</v>
      </c>
      <c r="H249" s="3">
        <f t="shared" si="3"/>
        <v>2.6369762672135977E-3</v>
      </c>
    </row>
    <row r="250" spans="1:8" x14ac:dyDescent="0.3">
      <c r="A250" s="7">
        <v>45748</v>
      </c>
      <c r="B250">
        <v>34.56</v>
      </c>
      <c r="C250">
        <v>34.24</v>
      </c>
      <c r="D250">
        <v>34.57</v>
      </c>
      <c r="E250">
        <v>34.21</v>
      </c>
      <c r="F250" t="s">
        <v>142</v>
      </c>
      <c r="G250" s="8">
        <v>9.9000000000000008E-3</v>
      </c>
      <c r="H250" s="3">
        <f t="shared" si="3"/>
        <v>9.9357101110462143E-3</v>
      </c>
    </row>
    <row r="251" spans="1:8" x14ac:dyDescent="0.3">
      <c r="A251" s="7">
        <v>45749</v>
      </c>
      <c r="B251">
        <v>34.01</v>
      </c>
      <c r="C251">
        <v>34.51</v>
      </c>
      <c r="D251">
        <v>34.619999999999997</v>
      </c>
      <c r="E251">
        <v>34.01</v>
      </c>
      <c r="F251" t="s">
        <v>784</v>
      </c>
      <c r="G251" s="8">
        <v>-1.5900000000000001E-2</v>
      </c>
      <c r="H251" s="3">
        <f>(B251/B250)-1</f>
        <v>-1.5914351851851971E-2</v>
      </c>
    </row>
    <row r="252" spans="1:8" x14ac:dyDescent="0.3">
      <c r="A252" s="7">
        <v>45750</v>
      </c>
      <c r="B252">
        <v>33.97</v>
      </c>
      <c r="C252">
        <v>34.04</v>
      </c>
      <c r="D252">
        <v>34.39</v>
      </c>
      <c r="E252">
        <v>33.799999999999997</v>
      </c>
      <c r="F252" t="s">
        <v>783</v>
      </c>
      <c r="G252" s="8">
        <v>-1.1999999999999999E-3</v>
      </c>
      <c r="H252" s="3">
        <f t="shared" ref="H252:H253" si="4">(B252/B251)-1</f>
        <v>-1.1761246692149063E-3</v>
      </c>
    </row>
    <row r="253" spans="1:8" x14ac:dyDescent="0.3">
      <c r="A253" s="7">
        <v>45751</v>
      </c>
      <c r="B253">
        <v>32.6</v>
      </c>
      <c r="C253">
        <v>34.11</v>
      </c>
      <c r="D253">
        <v>34.14</v>
      </c>
      <c r="E253">
        <v>32.44</v>
      </c>
      <c r="F253" t="s">
        <v>782</v>
      </c>
      <c r="G253" s="8">
        <v>-4.0300000000000002E-2</v>
      </c>
      <c r="H253" s="3">
        <f t="shared" si="4"/>
        <v>-4.0329702678834178E-2</v>
      </c>
    </row>
    <row r="254" spans="1:8" x14ac:dyDescent="0.3">
      <c r="A254" s="7"/>
      <c r="G254" s="8"/>
      <c r="H254" s="3"/>
    </row>
    <row r="255" spans="1:8" x14ac:dyDescent="0.3">
      <c r="A255" s="7"/>
      <c r="G255" s="8"/>
    </row>
    <row r="256" spans="1:8" x14ac:dyDescent="0.3">
      <c r="A256" s="7"/>
      <c r="G256" s="8"/>
    </row>
    <row r="257" spans="1:7" x14ac:dyDescent="0.3">
      <c r="A257" s="7"/>
      <c r="G257" s="8"/>
    </row>
  </sheetData>
  <autoFilter ref="A1:G257" xr:uid="{E1CA79EB-B433-495B-B5A0-DC05E252AFD5}">
    <sortState xmlns:xlrd2="http://schemas.microsoft.com/office/spreadsheetml/2017/richdata2" ref="A2:G257">
      <sortCondition ref="A1:A257"/>
    </sortState>
  </autoFilter>
  <sortState xmlns:xlrd2="http://schemas.microsoft.com/office/spreadsheetml/2017/richdata2" ref="A2:G254">
    <sortCondition ref="A2:A25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B7E-52C9-4B8D-AC5D-11F4A55F5419}">
  <sheetPr codeName="Hoja7">
    <tabColor theme="6" tint="0.79998168889431442"/>
  </sheetPr>
  <dimension ref="A1:L257"/>
  <sheetViews>
    <sheetView topLeftCell="A227" workbookViewId="0">
      <selection activeCell="B2" sqref="B2:B253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45392</v>
      </c>
      <c r="B2">
        <v>96.66</v>
      </c>
      <c r="C2">
        <v>96.78</v>
      </c>
      <c r="D2">
        <v>97.5</v>
      </c>
      <c r="E2">
        <v>93.66</v>
      </c>
      <c r="F2" t="s">
        <v>747</v>
      </c>
      <c r="G2" s="8">
        <v>2.5000000000000001E-3</v>
      </c>
      <c r="H2" s="3" t="s">
        <v>11</v>
      </c>
      <c r="J2" t="s">
        <v>12</v>
      </c>
      <c r="K2" s="4">
        <f>AVERAGE(H3:H253)</f>
        <v>2.0064350976926647E-3</v>
      </c>
      <c r="L2" s="5">
        <f>_xlfn.STDEV.S(H3:H253)</f>
        <v>2.1041184595197781E-2</v>
      </c>
    </row>
    <row r="3" spans="1:12" x14ac:dyDescent="0.3">
      <c r="A3" s="7">
        <v>45393</v>
      </c>
      <c r="B3">
        <v>96.14</v>
      </c>
      <c r="C3">
        <v>96.3</v>
      </c>
      <c r="D3">
        <v>96.76</v>
      </c>
      <c r="E3">
        <v>95.08</v>
      </c>
      <c r="F3" t="s">
        <v>746</v>
      </c>
      <c r="G3" s="8">
        <v>-5.4000000000000003E-3</v>
      </c>
      <c r="H3" s="3">
        <f>(B3/B2)-1</f>
        <v>-5.3796813573349089E-3</v>
      </c>
      <c r="J3" t="s">
        <v>14</v>
      </c>
      <c r="K3" s="6">
        <f>K2*252</f>
        <v>0.50562164461855152</v>
      </c>
      <c r="L3" s="6">
        <f>L2*SQRT(252)</f>
        <v>0.33401845037457961</v>
      </c>
    </row>
    <row r="4" spans="1:12" x14ac:dyDescent="0.3">
      <c r="A4" s="7">
        <v>45394</v>
      </c>
      <c r="B4">
        <v>96.88</v>
      </c>
      <c r="C4">
        <v>97.5</v>
      </c>
      <c r="D4">
        <v>98.62</v>
      </c>
      <c r="E4">
        <v>96.12</v>
      </c>
      <c r="F4" t="s">
        <v>745</v>
      </c>
      <c r="G4" s="8">
        <v>7.7000000000000002E-3</v>
      </c>
      <c r="H4" s="3">
        <f t="shared" ref="H4:H67" si="0">(B4/B3)-1</f>
        <v>7.6971083836072651E-3</v>
      </c>
    </row>
    <row r="5" spans="1:12" x14ac:dyDescent="0.3">
      <c r="A5" s="7">
        <v>45397</v>
      </c>
      <c r="B5">
        <v>98.34</v>
      </c>
      <c r="C5">
        <v>97.02</v>
      </c>
      <c r="D5">
        <v>99.2</v>
      </c>
      <c r="E5">
        <v>96.98</v>
      </c>
      <c r="F5" t="s">
        <v>744</v>
      </c>
      <c r="G5" s="8">
        <v>1.5100000000000001E-2</v>
      </c>
      <c r="H5" s="3">
        <f t="shared" si="0"/>
        <v>1.5070189925681321E-2</v>
      </c>
    </row>
    <row r="6" spans="1:12" x14ac:dyDescent="0.3">
      <c r="A6" s="7">
        <v>45398</v>
      </c>
      <c r="B6">
        <v>95.7</v>
      </c>
      <c r="C6">
        <v>96.54</v>
      </c>
      <c r="D6">
        <v>96.96</v>
      </c>
      <c r="E6">
        <v>95.08</v>
      </c>
      <c r="F6" t="s">
        <v>743</v>
      </c>
      <c r="G6" s="8">
        <v>-2.6800000000000001E-2</v>
      </c>
      <c r="H6" s="3">
        <f t="shared" si="0"/>
        <v>-2.6845637583892579E-2</v>
      </c>
    </row>
    <row r="7" spans="1:12" x14ac:dyDescent="0.3">
      <c r="A7" s="7">
        <v>45399</v>
      </c>
      <c r="B7">
        <v>96</v>
      </c>
      <c r="C7">
        <v>95.48</v>
      </c>
      <c r="D7">
        <v>97.28</v>
      </c>
      <c r="E7">
        <v>95.44</v>
      </c>
      <c r="F7" t="s">
        <v>742</v>
      </c>
      <c r="G7" s="8">
        <v>3.0999999999999999E-3</v>
      </c>
      <c r="H7" s="3">
        <f t="shared" si="0"/>
        <v>3.1347962382444194E-3</v>
      </c>
    </row>
    <row r="8" spans="1:12" x14ac:dyDescent="0.3">
      <c r="A8" s="7">
        <v>45400</v>
      </c>
      <c r="B8">
        <v>94.5</v>
      </c>
      <c r="C8">
        <v>96.08</v>
      </c>
      <c r="D8">
        <v>96.18</v>
      </c>
      <c r="E8">
        <v>92.98</v>
      </c>
      <c r="F8" t="s">
        <v>741</v>
      </c>
      <c r="G8" s="8">
        <v>-1.5599999999999999E-2</v>
      </c>
      <c r="H8" s="3">
        <f t="shared" si="0"/>
        <v>-1.5625E-2</v>
      </c>
    </row>
    <row r="9" spans="1:12" x14ac:dyDescent="0.3">
      <c r="A9" s="7">
        <v>45401</v>
      </c>
      <c r="B9">
        <v>93.14</v>
      </c>
      <c r="C9">
        <v>93.4</v>
      </c>
      <c r="D9">
        <v>94.26</v>
      </c>
      <c r="E9">
        <v>92.46</v>
      </c>
      <c r="F9" t="s">
        <v>740</v>
      </c>
      <c r="G9" s="8">
        <v>-1.44E-2</v>
      </c>
      <c r="H9" s="3">
        <f t="shared" si="0"/>
        <v>-1.43915343915344E-2</v>
      </c>
    </row>
    <row r="10" spans="1:12" x14ac:dyDescent="0.3">
      <c r="A10" s="7">
        <v>45404</v>
      </c>
      <c r="B10">
        <v>92.32</v>
      </c>
      <c r="C10">
        <v>93.72</v>
      </c>
      <c r="D10">
        <v>93.82</v>
      </c>
      <c r="E10">
        <v>90.76</v>
      </c>
      <c r="F10" t="s">
        <v>739</v>
      </c>
      <c r="G10" s="8">
        <v>-8.8000000000000005E-3</v>
      </c>
      <c r="H10" s="3">
        <f t="shared" si="0"/>
        <v>-8.8039510414430477E-3</v>
      </c>
    </row>
    <row r="11" spans="1:12" x14ac:dyDescent="0.3">
      <c r="A11" s="7">
        <v>45405</v>
      </c>
      <c r="B11">
        <v>93.74</v>
      </c>
      <c r="C11">
        <v>92.88</v>
      </c>
      <c r="D11">
        <v>93.74</v>
      </c>
      <c r="E11">
        <v>92.38</v>
      </c>
      <c r="F11" t="s">
        <v>738</v>
      </c>
      <c r="G11" s="8">
        <v>1.54E-2</v>
      </c>
      <c r="H11" s="3">
        <f t="shared" si="0"/>
        <v>1.538128249566717E-2</v>
      </c>
    </row>
    <row r="12" spans="1:12" x14ac:dyDescent="0.3">
      <c r="A12" s="7">
        <v>45406</v>
      </c>
      <c r="B12">
        <v>93.64</v>
      </c>
      <c r="C12">
        <v>93.54</v>
      </c>
      <c r="D12">
        <v>94.16</v>
      </c>
      <c r="E12">
        <v>92.82</v>
      </c>
      <c r="F12" t="s">
        <v>737</v>
      </c>
      <c r="G12" s="8">
        <v>-1.1000000000000001E-3</v>
      </c>
      <c r="H12" s="3">
        <f t="shared" si="0"/>
        <v>-1.0667804565819283E-3</v>
      </c>
    </row>
    <row r="13" spans="1:12" x14ac:dyDescent="0.3">
      <c r="A13" s="7">
        <v>45407</v>
      </c>
      <c r="B13">
        <v>93.1</v>
      </c>
      <c r="C13">
        <v>93.98</v>
      </c>
      <c r="D13">
        <v>93.98</v>
      </c>
      <c r="E13">
        <v>92</v>
      </c>
      <c r="F13" t="s">
        <v>736</v>
      </c>
      <c r="G13" s="8">
        <v>-5.7999999999999996E-3</v>
      </c>
      <c r="H13" s="3">
        <f t="shared" si="0"/>
        <v>-5.7667663391713919E-3</v>
      </c>
    </row>
    <row r="14" spans="1:12" x14ac:dyDescent="0.3">
      <c r="A14" s="7">
        <v>45408</v>
      </c>
      <c r="B14">
        <v>95.22</v>
      </c>
      <c r="C14">
        <v>94</v>
      </c>
      <c r="D14">
        <v>95.42</v>
      </c>
      <c r="E14">
        <v>93.56</v>
      </c>
      <c r="F14" t="s">
        <v>735</v>
      </c>
      <c r="G14" s="8">
        <v>2.2800000000000001E-2</v>
      </c>
      <c r="H14" s="3">
        <f t="shared" si="0"/>
        <v>2.2771213748657315E-2</v>
      </c>
    </row>
    <row r="15" spans="1:12" x14ac:dyDescent="0.3">
      <c r="A15" s="7">
        <v>45411</v>
      </c>
      <c r="B15">
        <v>96.4</v>
      </c>
      <c r="C15">
        <v>95.76</v>
      </c>
      <c r="D15">
        <v>96.4</v>
      </c>
      <c r="E15">
        <v>95.36</v>
      </c>
      <c r="F15" t="s">
        <v>734</v>
      </c>
      <c r="G15" s="8">
        <v>1.24E-2</v>
      </c>
      <c r="H15" s="3">
        <f t="shared" si="0"/>
        <v>1.2392354547364093E-2</v>
      </c>
    </row>
    <row r="16" spans="1:12" x14ac:dyDescent="0.3">
      <c r="A16" s="7">
        <v>45412</v>
      </c>
      <c r="B16">
        <v>94.64</v>
      </c>
      <c r="C16">
        <v>96.78</v>
      </c>
      <c r="D16">
        <v>96.8</v>
      </c>
      <c r="E16">
        <v>94.5</v>
      </c>
      <c r="F16" t="s">
        <v>733</v>
      </c>
      <c r="G16" s="8">
        <v>-1.83E-2</v>
      </c>
      <c r="H16" s="3">
        <f t="shared" si="0"/>
        <v>-1.8257261410788428E-2</v>
      </c>
    </row>
    <row r="17" spans="1:8" x14ac:dyDescent="0.3">
      <c r="A17" s="7">
        <v>45414</v>
      </c>
      <c r="B17">
        <v>94.62</v>
      </c>
      <c r="C17">
        <v>94.1</v>
      </c>
      <c r="D17">
        <v>95.24</v>
      </c>
      <c r="E17">
        <v>94.1</v>
      </c>
      <c r="F17" t="s">
        <v>732</v>
      </c>
      <c r="G17" s="8">
        <v>-2.0000000000000001E-4</v>
      </c>
      <c r="H17" s="3">
        <f t="shared" si="0"/>
        <v>-2.1132713440397133E-4</v>
      </c>
    </row>
    <row r="18" spans="1:8" x14ac:dyDescent="0.3">
      <c r="A18" s="7">
        <v>45415</v>
      </c>
      <c r="B18">
        <v>95.6</v>
      </c>
      <c r="C18">
        <v>95.2</v>
      </c>
      <c r="D18">
        <v>95.76</v>
      </c>
      <c r="E18">
        <v>93.94</v>
      </c>
      <c r="F18" t="s">
        <v>731</v>
      </c>
      <c r="G18" s="8">
        <v>1.04E-2</v>
      </c>
      <c r="H18" s="3">
        <f t="shared" si="0"/>
        <v>1.0357218347072372E-2</v>
      </c>
    </row>
    <row r="19" spans="1:8" x14ac:dyDescent="0.3">
      <c r="A19" s="7">
        <v>45418</v>
      </c>
      <c r="B19">
        <v>97.44</v>
      </c>
      <c r="C19">
        <v>95.54</v>
      </c>
      <c r="D19">
        <v>98</v>
      </c>
      <c r="E19">
        <v>95.54</v>
      </c>
      <c r="F19" t="s">
        <v>730</v>
      </c>
      <c r="G19" s="8">
        <v>1.9199999999999998E-2</v>
      </c>
      <c r="H19" s="3">
        <f t="shared" si="0"/>
        <v>1.9246861924686165E-2</v>
      </c>
    </row>
    <row r="20" spans="1:8" x14ac:dyDescent="0.3">
      <c r="A20" s="7">
        <v>45419</v>
      </c>
      <c r="B20">
        <v>98.34</v>
      </c>
      <c r="C20">
        <v>96.88</v>
      </c>
      <c r="D20">
        <v>99.16</v>
      </c>
      <c r="E20">
        <v>94.9</v>
      </c>
      <c r="F20" t="s">
        <v>729</v>
      </c>
      <c r="G20" s="8">
        <v>9.1999999999999998E-3</v>
      </c>
      <c r="H20" s="3">
        <f t="shared" si="0"/>
        <v>9.2364532019704182E-3</v>
      </c>
    </row>
    <row r="21" spans="1:8" x14ac:dyDescent="0.3">
      <c r="A21" s="7">
        <v>45420</v>
      </c>
      <c r="B21">
        <v>97.74</v>
      </c>
      <c r="C21">
        <v>98.74</v>
      </c>
      <c r="D21">
        <v>99.1</v>
      </c>
      <c r="E21">
        <v>97.3</v>
      </c>
      <c r="F21" t="s">
        <v>728</v>
      </c>
      <c r="G21" s="8">
        <v>-6.1000000000000004E-3</v>
      </c>
      <c r="H21" s="3">
        <f t="shared" si="0"/>
        <v>-6.1012812690666163E-3</v>
      </c>
    </row>
    <row r="22" spans="1:8" x14ac:dyDescent="0.3">
      <c r="A22" s="7">
        <v>45421</v>
      </c>
      <c r="B22">
        <v>100.1</v>
      </c>
      <c r="C22">
        <v>97.6</v>
      </c>
      <c r="D22">
        <v>100.35</v>
      </c>
      <c r="E22">
        <v>97.18</v>
      </c>
      <c r="F22" t="s">
        <v>727</v>
      </c>
      <c r="G22" s="8">
        <v>2.41E-2</v>
      </c>
      <c r="H22" s="3">
        <f t="shared" si="0"/>
        <v>2.4145692653980033E-2</v>
      </c>
    </row>
    <row r="23" spans="1:8" x14ac:dyDescent="0.3">
      <c r="A23" s="7">
        <v>45422</v>
      </c>
      <c r="B23">
        <v>102.95</v>
      </c>
      <c r="C23">
        <v>100.5</v>
      </c>
      <c r="D23">
        <v>103.3</v>
      </c>
      <c r="E23">
        <v>100.35</v>
      </c>
      <c r="F23" t="s">
        <v>726</v>
      </c>
      <c r="G23" s="8">
        <v>2.8500000000000001E-2</v>
      </c>
      <c r="H23" s="3">
        <f t="shared" si="0"/>
        <v>2.8471528471528451E-2</v>
      </c>
    </row>
    <row r="24" spans="1:8" x14ac:dyDescent="0.3">
      <c r="A24" s="7">
        <v>45425</v>
      </c>
      <c r="B24">
        <v>101.45</v>
      </c>
      <c r="C24">
        <v>103</v>
      </c>
      <c r="D24">
        <v>103.6</v>
      </c>
      <c r="E24">
        <v>101.45</v>
      </c>
      <c r="F24" t="s">
        <v>725</v>
      </c>
      <c r="G24" s="8">
        <v>-1.46E-2</v>
      </c>
      <c r="H24" s="3">
        <f t="shared" si="0"/>
        <v>-1.4570179698882968E-2</v>
      </c>
    </row>
    <row r="25" spans="1:8" x14ac:dyDescent="0.3">
      <c r="A25" s="7">
        <v>45426</v>
      </c>
      <c r="B25">
        <v>102.05</v>
      </c>
      <c r="C25">
        <v>102</v>
      </c>
      <c r="D25">
        <v>102.35</v>
      </c>
      <c r="E25">
        <v>100.15</v>
      </c>
      <c r="F25" t="s">
        <v>724</v>
      </c>
      <c r="G25" s="8">
        <v>5.8999999999999999E-3</v>
      </c>
      <c r="H25" s="3">
        <f t="shared" si="0"/>
        <v>5.9142434696894952E-3</v>
      </c>
    </row>
    <row r="26" spans="1:8" x14ac:dyDescent="0.3">
      <c r="A26" s="7">
        <v>45427</v>
      </c>
      <c r="B26">
        <v>102.6</v>
      </c>
      <c r="C26">
        <v>102.25</v>
      </c>
      <c r="D26">
        <v>103.15</v>
      </c>
      <c r="E26">
        <v>101.65</v>
      </c>
      <c r="F26" t="s">
        <v>723</v>
      </c>
      <c r="G26" s="8">
        <v>5.4000000000000003E-3</v>
      </c>
      <c r="H26" s="3">
        <f t="shared" si="0"/>
        <v>5.3895149436551382E-3</v>
      </c>
    </row>
    <row r="27" spans="1:8" x14ac:dyDescent="0.3">
      <c r="A27" s="7">
        <v>45428</v>
      </c>
      <c r="B27">
        <v>99.98</v>
      </c>
      <c r="C27">
        <v>102.15</v>
      </c>
      <c r="D27">
        <v>102.4</v>
      </c>
      <c r="E27">
        <v>99.98</v>
      </c>
      <c r="F27" t="s">
        <v>722</v>
      </c>
      <c r="G27" s="8">
        <v>-2.5499999999999998E-2</v>
      </c>
      <c r="H27" s="3">
        <f t="shared" si="0"/>
        <v>-2.5536062378167523E-2</v>
      </c>
    </row>
    <row r="28" spans="1:8" x14ac:dyDescent="0.3">
      <c r="A28" s="7">
        <v>45429</v>
      </c>
      <c r="B28">
        <v>98</v>
      </c>
      <c r="C28">
        <v>97.02</v>
      </c>
      <c r="D28">
        <v>98.52</v>
      </c>
      <c r="E28">
        <v>96.62</v>
      </c>
      <c r="F28" t="s">
        <v>721</v>
      </c>
      <c r="G28" s="8">
        <v>-1.9800000000000002E-2</v>
      </c>
      <c r="H28" s="3">
        <f t="shared" si="0"/>
        <v>-1.9803960792158515E-2</v>
      </c>
    </row>
    <row r="29" spans="1:8" x14ac:dyDescent="0.3">
      <c r="A29" s="7">
        <v>45432</v>
      </c>
      <c r="B29">
        <v>98.3</v>
      </c>
      <c r="C29">
        <v>98.18</v>
      </c>
      <c r="D29">
        <v>98.88</v>
      </c>
      <c r="E29">
        <v>97.92</v>
      </c>
      <c r="F29" t="s">
        <v>720</v>
      </c>
      <c r="G29" s="8">
        <v>3.0999999999999999E-3</v>
      </c>
      <c r="H29" s="3">
        <f t="shared" si="0"/>
        <v>3.0612244897958441E-3</v>
      </c>
    </row>
    <row r="30" spans="1:8" x14ac:dyDescent="0.3">
      <c r="A30" s="7">
        <v>45433</v>
      </c>
      <c r="B30">
        <v>97.72</v>
      </c>
      <c r="C30">
        <v>98.26</v>
      </c>
      <c r="D30">
        <v>98.9</v>
      </c>
      <c r="E30">
        <v>97.22</v>
      </c>
      <c r="F30" t="s">
        <v>719</v>
      </c>
      <c r="G30" s="8">
        <v>-5.8999999999999999E-3</v>
      </c>
      <c r="H30" s="3">
        <f t="shared" si="0"/>
        <v>-5.9003051881993951E-3</v>
      </c>
    </row>
    <row r="31" spans="1:8" x14ac:dyDescent="0.3">
      <c r="A31" s="7">
        <v>45434</v>
      </c>
      <c r="B31">
        <v>97.36</v>
      </c>
      <c r="C31">
        <v>97.72</v>
      </c>
      <c r="D31">
        <v>97.94</v>
      </c>
      <c r="E31">
        <v>96.9</v>
      </c>
      <c r="F31" t="s">
        <v>718</v>
      </c>
      <c r="G31" s="8">
        <v>-3.7000000000000002E-3</v>
      </c>
      <c r="H31" s="3">
        <f t="shared" si="0"/>
        <v>-3.683995088006542E-3</v>
      </c>
    </row>
    <row r="32" spans="1:8" x14ac:dyDescent="0.3">
      <c r="A32" s="7">
        <v>45435</v>
      </c>
      <c r="B32">
        <v>99.34</v>
      </c>
      <c r="C32">
        <v>97.7</v>
      </c>
      <c r="D32">
        <v>99.56</v>
      </c>
      <c r="E32">
        <v>97.64</v>
      </c>
      <c r="F32" t="s">
        <v>717</v>
      </c>
      <c r="G32" s="8">
        <v>2.0299999999999999E-2</v>
      </c>
      <c r="H32" s="3">
        <f t="shared" si="0"/>
        <v>2.0336894001643513E-2</v>
      </c>
    </row>
    <row r="33" spans="1:8" x14ac:dyDescent="0.3">
      <c r="A33" s="7">
        <v>45436</v>
      </c>
      <c r="B33">
        <v>99.96</v>
      </c>
      <c r="C33">
        <v>98.6</v>
      </c>
      <c r="D33">
        <v>99.96</v>
      </c>
      <c r="E33">
        <v>98.58</v>
      </c>
      <c r="F33" t="s">
        <v>716</v>
      </c>
      <c r="G33" s="8">
        <v>6.1999999999999998E-3</v>
      </c>
      <c r="H33" s="3">
        <f t="shared" si="0"/>
        <v>6.2411918663176635E-3</v>
      </c>
    </row>
    <row r="34" spans="1:8" x14ac:dyDescent="0.3">
      <c r="A34" s="7">
        <v>45439</v>
      </c>
      <c r="B34">
        <v>99.82</v>
      </c>
      <c r="C34">
        <v>100.2</v>
      </c>
      <c r="D34">
        <v>100.5</v>
      </c>
      <c r="E34">
        <v>99.54</v>
      </c>
      <c r="F34" t="s">
        <v>715</v>
      </c>
      <c r="G34" s="8">
        <v>-1.4E-3</v>
      </c>
      <c r="H34" s="3">
        <f t="shared" si="0"/>
        <v>-1.4005602240896309E-3</v>
      </c>
    </row>
    <row r="35" spans="1:8" x14ac:dyDescent="0.3">
      <c r="A35" s="7">
        <v>45440</v>
      </c>
      <c r="B35">
        <v>98.6</v>
      </c>
      <c r="C35">
        <v>99.98</v>
      </c>
      <c r="D35">
        <v>100.35</v>
      </c>
      <c r="E35">
        <v>97.66</v>
      </c>
      <c r="F35" t="s">
        <v>714</v>
      </c>
      <c r="G35" s="8">
        <v>-1.2200000000000001E-2</v>
      </c>
      <c r="H35" s="3">
        <f t="shared" si="0"/>
        <v>-1.2221999599278721E-2</v>
      </c>
    </row>
    <row r="36" spans="1:8" x14ac:dyDescent="0.3">
      <c r="A36" s="7">
        <v>45441</v>
      </c>
      <c r="B36">
        <v>97.02</v>
      </c>
      <c r="C36">
        <v>98.2</v>
      </c>
      <c r="D36">
        <v>98.2</v>
      </c>
      <c r="E36">
        <v>96.22</v>
      </c>
      <c r="F36" t="s">
        <v>713</v>
      </c>
      <c r="G36" s="8">
        <v>-1.6E-2</v>
      </c>
      <c r="H36" s="3">
        <f t="shared" si="0"/>
        <v>-1.6024340770791068E-2</v>
      </c>
    </row>
    <row r="37" spans="1:8" x14ac:dyDescent="0.3">
      <c r="A37" s="7">
        <v>45442</v>
      </c>
      <c r="B37">
        <v>96.72</v>
      </c>
      <c r="C37">
        <v>96.14</v>
      </c>
      <c r="D37">
        <v>97.24</v>
      </c>
      <c r="E37">
        <v>95.74</v>
      </c>
      <c r="F37" t="s">
        <v>712</v>
      </c>
      <c r="G37" s="8">
        <v>-3.0999999999999999E-3</v>
      </c>
      <c r="H37" s="3">
        <f t="shared" si="0"/>
        <v>-3.0921459492887493E-3</v>
      </c>
    </row>
    <row r="38" spans="1:8" x14ac:dyDescent="0.3">
      <c r="A38" s="7">
        <v>45443</v>
      </c>
      <c r="B38">
        <v>95.72</v>
      </c>
      <c r="C38">
        <v>96.8</v>
      </c>
      <c r="D38">
        <v>97.68</v>
      </c>
      <c r="E38">
        <v>95.46</v>
      </c>
      <c r="F38" t="s">
        <v>104</v>
      </c>
      <c r="G38" s="8">
        <v>-1.03E-2</v>
      </c>
      <c r="H38" s="3">
        <f t="shared" si="0"/>
        <v>-1.0339123242349091E-2</v>
      </c>
    </row>
    <row r="39" spans="1:8" x14ac:dyDescent="0.3">
      <c r="A39" s="7">
        <v>45446</v>
      </c>
      <c r="B39">
        <v>95.88</v>
      </c>
      <c r="C39">
        <v>96.86</v>
      </c>
      <c r="D39">
        <v>98.44</v>
      </c>
      <c r="E39">
        <v>95.76</v>
      </c>
      <c r="F39" t="s">
        <v>711</v>
      </c>
      <c r="G39" s="8">
        <v>1.6999999999999999E-3</v>
      </c>
      <c r="H39" s="3">
        <f t="shared" si="0"/>
        <v>1.6715419974926427E-3</v>
      </c>
    </row>
    <row r="40" spans="1:8" x14ac:dyDescent="0.3">
      <c r="A40" s="7">
        <v>45447</v>
      </c>
      <c r="B40">
        <v>94.3</v>
      </c>
      <c r="C40">
        <v>95.8</v>
      </c>
      <c r="D40">
        <v>96.54</v>
      </c>
      <c r="E40">
        <v>93.7</v>
      </c>
      <c r="F40" t="s">
        <v>710</v>
      </c>
      <c r="G40" s="8">
        <v>-1.6500000000000001E-2</v>
      </c>
      <c r="H40" s="3">
        <f t="shared" si="0"/>
        <v>-1.6478931998331281E-2</v>
      </c>
    </row>
    <row r="41" spans="1:8" x14ac:dyDescent="0.3">
      <c r="A41" s="7">
        <v>45448</v>
      </c>
      <c r="B41">
        <v>94.84</v>
      </c>
      <c r="C41">
        <v>94.76</v>
      </c>
      <c r="D41">
        <v>94.9</v>
      </c>
      <c r="E41">
        <v>94.06</v>
      </c>
      <c r="F41" t="s">
        <v>709</v>
      </c>
      <c r="G41" s="8">
        <v>5.7000000000000002E-3</v>
      </c>
      <c r="H41" s="3">
        <f t="shared" si="0"/>
        <v>5.7264050901379981E-3</v>
      </c>
    </row>
    <row r="42" spans="1:8" x14ac:dyDescent="0.3">
      <c r="A42" s="7">
        <v>45449</v>
      </c>
      <c r="B42">
        <v>95.12</v>
      </c>
      <c r="C42">
        <v>95.14</v>
      </c>
      <c r="D42">
        <v>95.84</v>
      </c>
      <c r="E42">
        <v>94.76</v>
      </c>
      <c r="F42" t="s">
        <v>708</v>
      </c>
      <c r="G42" s="8">
        <v>3.0000000000000001E-3</v>
      </c>
      <c r="H42" s="3">
        <f t="shared" si="0"/>
        <v>2.9523407844791461E-3</v>
      </c>
    </row>
    <row r="43" spans="1:8" x14ac:dyDescent="0.3">
      <c r="A43" s="7">
        <v>45450</v>
      </c>
      <c r="B43">
        <v>95.52</v>
      </c>
      <c r="C43">
        <v>95.14</v>
      </c>
      <c r="D43">
        <v>96.4</v>
      </c>
      <c r="E43">
        <v>94.56</v>
      </c>
      <c r="F43" t="s">
        <v>707</v>
      </c>
      <c r="G43" s="8">
        <v>4.1999999999999997E-3</v>
      </c>
      <c r="H43" s="3">
        <f t="shared" si="0"/>
        <v>4.20521446593769E-3</v>
      </c>
    </row>
    <row r="44" spans="1:8" x14ac:dyDescent="0.3">
      <c r="A44" s="7">
        <v>45453</v>
      </c>
      <c r="B44">
        <v>95.68</v>
      </c>
      <c r="C44">
        <v>95</v>
      </c>
      <c r="D44">
        <v>96.3</v>
      </c>
      <c r="E44">
        <v>94.68</v>
      </c>
      <c r="F44" t="s">
        <v>706</v>
      </c>
      <c r="G44" s="8">
        <v>1.6999999999999999E-3</v>
      </c>
      <c r="H44" s="3">
        <f t="shared" si="0"/>
        <v>1.6750418760469454E-3</v>
      </c>
    </row>
    <row r="45" spans="1:8" x14ac:dyDescent="0.3">
      <c r="A45" s="7">
        <v>45454</v>
      </c>
      <c r="B45">
        <v>95.14</v>
      </c>
      <c r="C45">
        <v>95.74</v>
      </c>
      <c r="D45">
        <v>96.22</v>
      </c>
      <c r="E45">
        <v>94.78</v>
      </c>
      <c r="F45" t="s">
        <v>705</v>
      </c>
      <c r="G45" s="8">
        <v>-5.5999999999999999E-3</v>
      </c>
      <c r="H45" s="3">
        <f t="shared" si="0"/>
        <v>-5.6438127090301382E-3</v>
      </c>
    </row>
    <row r="46" spans="1:8" x14ac:dyDescent="0.3">
      <c r="A46" s="7">
        <v>45455</v>
      </c>
      <c r="B46">
        <v>99.36</v>
      </c>
      <c r="C46">
        <v>97.12</v>
      </c>
      <c r="D46">
        <v>99.48</v>
      </c>
      <c r="E46">
        <v>96.28</v>
      </c>
      <c r="F46" t="s">
        <v>704</v>
      </c>
      <c r="G46" s="8">
        <v>4.4400000000000002E-2</v>
      </c>
      <c r="H46" s="3">
        <f t="shared" si="0"/>
        <v>4.4355686356947643E-2</v>
      </c>
    </row>
    <row r="47" spans="1:8" x14ac:dyDescent="0.3">
      <c r="A47" s="7">
        <v>45456</v>
      </c>
      <c r="B47">
        <v>97</v>
      </c>
      <c r="C47">
        <v>99</v>
      </c>
      <c r="D47">
        <v>99.24</v>
      </c>
      <c r="E47">
        <v>96.64</v>
      </c>
      <c r="F47" t="s">
        <v>703</v>
      </c>
      <c r="G47" s="8">
        <v>-2.3800000000000002E-2</v>
      </c>
      <c r="H47" s="3">
        <f t="shared" si="0"/>
        <v>-2.375201288244766E-2</v>
      </c>
    </row>
    <row r="48" spans="1:8" x14ac:dyDescent="0.3">
      <c r="A48" s="7">
        <v>45457</v>
      </c>
      <c r="B48">
        <v>95.26</v>
      </c>
      <c r="C48">
        <v>97.08</v>
      </c>
      <c r="D48">
        <v>97.36</v>
      </c>
      <c r="E48">
        <v>95.06</v>
      </c>
      <c r="F48" t="s">
        <v>702</v>
      </c>
      <c r="G48" s="8">
        <v>-1.7899999999999999E-2</v>
      </c>
      <c r="H48" s="3">
        <f t="shared" si="0"/>
        <v>-1.7938144329896821E-2</v>
      </c>
    </row>
    <row r="49" spans="1:8" x14ac:dyDescent="0.3">
      <c r="A49" s="7">
        <v>45460</v>
      </c>
      <c r="B49">
        <v>96.48</v>
      </c>
      <c r="C49">
        <v>95.62</v>
      </c>
      <c r="D49">
        <v>96.54</v>
      </c>
      <c r="E49">
        <v>95.3</v>
      </c>
      <c r="F49" t="s">
        <v>701</v>
      </c>
      <c r="G49" s="8">
        <v>1.2800000000000001E-2</v>
      </c>
      <c r="H49" s="3">
        <f t="shared" si="0"/>
        <v>1.2807054377493188E-2</v>
      </c>
    </row>
    <row r="50" spans="1:8" x14ac:dyDescent="0.3">
      <c r="A50" s="7">
        <v>45461</v>
      </c>
      <c r="B50">
        <v>95.82</v>
      </c>
      <c r="C50">
        <v>97.62</v>
      </c>
      <c r="D50">
        <v>97.84</v>
      </c>
      <c r="E50">
        <v>95.78</v>
      </c>
      <c r="F50" t="s">
        <v>700</v>
      </c>
      <c r="G50" s="8">
        <v>-6.7999999999999996E-3</v>
      </c>
      <c r="H50" s="3">
        <f t="shared" si="0"/>
        <v>-6.840796019900619E-3</v>
      </c>
    </row>
    <row r="51" spans="1:8" x14ac:dyDescent="0.3">
      <c r="A51" s="7">
        <v>45462</v>
      </c>
      <c r="B51">
        <v>96</v>
      </c>
      <c r="C51">
        <v>96.02</v>
      </c>
      <c r="D51">
        <v>96.38</v>
      </c>
      <c r="E51">
        <v>95.82</v>
      </c>
      <c r="F51" t="s">
        <v>699</v>
      </c>
      <c r="G51" s="8">
        <v>1.9E-3</v>
      </c>
      <c r="H51" s="3">
        <f t="shared" si="0"/>
        <v>1.8785222291797243E-3</v>
      </c>
    </row>
    <row r="52" spans="1:8" x14ac:dyDescent="0.3">
      <c r="A52" s="7">
        <v>45463</v>
      </c>
      <c r="B52">
        <v>96</v>
      </c>
      <c r="C52">
        <v>96.4</v>
      </c>
      <c r="D52">
        <v>97.68</v>
      </c>
      <c r="E52">
        <v>95.64</v>
      </c>
      <c r="F52" t="s">
        <v>698</v>
      </c>
      <c r="G52" s="8">
        <v>0</v>
      </c>
      <c r="H52" s="3">
        <f t="shared" si="0"/>
        <v>0</v>
      </c>
    </row>
    <row r="53" spans="1:8" x14ac:dyDescent="0.3">
      <c r="A53" s="7">
        <v>45464</v>
      </c>
      <c r="B53">
        <v>94.5</v>
      </c>
      <c r="C53">
        <v>95.54</v>
      </c>
      <c r="D53">
        <v>95.62</v>
      </c>
      <c r="E53">
        <v>92.88</v>
      </c>
      <c r="F53" t="s">
        <v>697</v>
      </c>
      <c r="G53" s="8">
        <v>-1.5599999999999999E-2</v>
      </c>
      <c r="H53" s="3">
        <f t="shared" si="0"/>
        <v>-1.5625E-2</v>
      </c>
    </row>
    <row r="54" spans="1:8" x14ac:dyDescent="0.3">
      <c r="A54" s="7">
        <v>45467</v>
      </c>
      <c r="B54">
        <v>95.96</v>
      </c>
      <c r="C54">
        <v>94.36</v>
      </c>
      <c r="D54">
        <v>96.36</v>
      </c>
      <c r="E54">
        <v>94.36</v>
      </c>
      <c r="F54" t="s">
        <v>696</v>
      </c>
      <c r="G54" s="8">
        <v>1.54E-2</v>
      </c>
      <c r="H54" s="3">
        <f t="shared" si="0"/>
        <v>1.544973544973538E-2</v>
      </c>
    </row>
    <row r="55" spans="1:8" x14ac:dyDescent="0.3">
      <c r="A55" s="7">
        <v>45468</v>
      </c>
      <c r="B55">
        <v>94.58</v>
      </c>
      <c r="C55">
        <v>94.86</v>
      </c>
      <c r="D55">
        <v>95.22</v>
      </c>
      <c r="E55">
        <v>94</v>
      </c>
      <c r="F55" t="s">
        <v>695</v>
      </c>
      <c r="G55" s="8">
        <v>-1.44E-2</v>
      </c>
      <c r="H55" s="3">
        <f t="shared" si="0"/>
        <v>-1.4380992080033295E-2</v>
      </c>
    </row>
    <row r="56" spans="1:8" x14ac:dyDescent="0.3">
      <c r="A56" s="7">
        <v>45469</v>
      </c>
      <c r="B56">
        <v>94.58</v>
      </c>
      <c r="C56">
        <v>95.3</v>
      </c>
      <c r="D56">
        <v>95.4</v>
      </c>
      <c r="E56">
        <v>93.92</v>
      </c>
      <c r="F56" t="s">
        <v>694</v>
      </c>
      <c r="G56" s="8">
        <v>0</v>
      </c>
      <c r="H56" s="3">
        <f t="shared" si="0"/>
        <v>0</v>
      </c>
    </row>
    <row r="57" spans="1:8" x14ac:dyDescent="0.3">
      <c r="A57" s="7">
        <v>45470</v>
      </c>
      <c r="B57">
        <v>96.38</v>
      </c>
      <c r="C57">
        <v>94.92</v>
      </c>
      <c r="D57">
        <v>97.12</v>
      </c>
      <c r="E57">
        <v>94.92</v>
      </c>
      <c r="F57" t="s">
        <v>693</v>
      </c>
      <c r="G57" s="8">
        <v>1.9E-2</v>
      </c>
      <c r="H57" s="3">
        <f t="shared" si="0"/>
        <v>1.9031507718333618E-2</v>
      </c>
    </row>
    <row r="58" spans="1:8" x14ac:dyDescent="0.3">
      <c r="A58" s="7">
        <v>45471</v>
      </c>
      <c r="B58">
        <v>96.82</v>
      </c>
      <c r="C58">
        <v>97.12</v>
      </c>
      <c r="D58">
        <v>97.24</v>
      </c>
      <c r="E58">
        <v>96.06</v>
      </c>
      <c r="F58" t="s">
        <v>692</v>
      </c>
      <c r="G58" s="8">
        <v>4.5999999999999999E-3</v>
      </c>
      <c r="H58" s="3">
        <f t="shared" si="0"/>
        <v>4.5652625025938143E-3</v>
      </c>
    </row>
    <row r="59" spans="1:8" x14ac:dyDescent="0.3">
      <c r="A59" s="7">
        <v>45474</v>
      </c>
      <c r="B59">
        <v>96.44</v>
      </c>
      <c r="C59">
        <v>97.56</v>
      </c>
      <c r="D59">
        <v>98.06</v>
      </c>
      <c r="E59">
        <v>96.4</v>
      </c>
      <c r="F59" t="s">
        <v>691</v>
      </c>
      <c r="G59" s="8">
        <v>-3.8999999999999998E-3</v>
      </c>
      <c r="H59" s="3">
        <f t="shared" si="0"/>
        <v>-3.924808923776002E-3</v>
      </c>
    </row>
    <row r="60" spans="1:8" x14ac:dyDescent="0.3">
      <c r="A60" s="7">
        <v>45475</v>
      </c>
      <c r="B60">
        <v>94.96</v>
      </c>
      <c r="C60">
        <v>96.14</v>
      </c>
      <c r="D60">
        <v>96.38</v>
      </c>
      <c r="E60">
        <v>93.78</v>
      </c>
      <c r="F60" t="s">
        <v>690</v>
      </c>
      <c r="G60" s="8">
        <v>-1.5299999999999999E-2</v>
      </c>
      <c r="H60" s="3">
        <f t="shared" si="0"/>
        <v>-1.5346329323931984E-2</v>
      </c>
    </row>
    <row r="61" spans="1:8" x14ac:dyDescent="0.3">
      <c r="A61" s="7">
        <v>45476</v>
      </c>
      <c r="B61">
        <v>97.16</v>
      </c>
      <c r="C61">
        <v>95.82</v>
      </c>
      <c r="D61">
        <v>97.82</v>
      </c>
      <c r="E61">
        <v>95.14</v>
      </c>
      <c r="F61" t="s">
        <v>689</v>
      </c>
      <c r="G61" s="8">
        <v>2.3199999999999998E-2</v>
      </c>
      <c r="H61" s="3">
        <f t="shared" si="0"/>
        <v>2.3167649536647072E-2</v>
      </c>
    </row>
    <row r="62" spans="1:8" x14ac:dyDescent="0.3">
      <c r="A62" s="7">
        <v>45477</v>
      </c>
      <c r="B62">
        <v>98.78</v>
      </c>
      <c r="C62">
        <v>97.5</v>
      </c>
      <c r="D62">
        <v>98.84</v>
      </c>
      <c r="E62">
        <v>97.04</v>
      </c>
      <c r="F62" t="s">
        <v>688</v>
      </c>
      <c r="G62" s="8">
        <v>1.67E-2</v>
      </c>
      <c r="H62" s="3">
        <f t="shared" si="0"/>
        <v>1.6673528200905841E-2</v>
      </c>
    </row>
    <row r="63" spans="1:8" x14ac:dyDescent="0.3">
      <c r="A63" s="7">
        <v>45478</v>
      </c>
      <c r="B63">
        <v>98.42</v>
      </c>
      <c r="C63">
        <v>99.1</v>
      </c>
      <c r="D63">
        <v>100</v>
      </c>
      <c r="E63">
        <v>97.88</v>
      </c>
      <c r="F63" t="s">
        <v>687</v>
      </c>
      <c r="G63" s="8">
        <v>-3.5999999999999999E-3</v>
      </c>
      <c r="H63" s="3">
        <f t="shared" si="0"/>
        <v>-3.6444624417898419E-3</v>
      </c>
    </row>
    <row r="64" spans="1:8" x14ac:dyDescent="0.3">
      <c r="A64" s="7">
        <v>45481</v>
      </c>
      <c r="B64">
        <v>99.68</v>
      </c>
      <c r="C64">
        <v>98.5</v>
      </c>
      <c r="D64">
        <v>99.88</v>
      </c>
      <c r="E64">
        <v>98.16</v>
      </c>
      <c r="F64" t="s">
        <v>686</v>
      </c>
      <c r="G64" s="8">
        <v>1.2800000000000001E-2</v>
      </c>
      <c r="H64" s="3">
        <f t="shared" si="0"/>
        <v>1.2802275960170695E-2</v>
      </c>
    </row>
    <row r="65" spans="1:8" x14ac:dyDescent="0.3">
      <c r="A65" s="7">
        <v>45482</v>
      </c>
      <c r="B65">
        <v>97.62</v>
      </c>
      <c r="C65">
        <v>99.48</v>
      </c>
      <c r="D65">
        <v>99.86</v>
      </c>
      <c r="E65">
        <v>97.56</v>
      </c>
      <c r="F65" t="s">
        <v>685</v>
      </c>
      <c r="G65" s="8">
        <v>-2.07E-2</v>
      </c>
      <c r="H65" s="3">
        <f t="shared" si="0"/>
        <v>-2.06661316211878E-2</v>
      </c>
    </row>
    <row r="66" spans="1:8" x14ac:dyDescent="0.3">
      <c r="A66" s="7">
        <v>45483</v>
      </c>
      <c r="B66">
        <v>97.94</v>
      </c>
      <c r="C66">
        <v>97.88</v>
      </c>
      <c r="D66">
        <v>98.56</v>
      </c>
      <c r="E66">
        <v>97.14</v>
      </c>
      <c r="F66" t="s">
        <v>684</v>
      </c>
      <c r="G66" s="8">
        <v>3.3E-3</v>
      </c>
      <c r="H66" s="3">
        <f t="shared" si="0"/>
        <v>3.278016799836081E-3</v>
      </c>
    </row>
    <row r="67" spans="1:8" x14ac:dyDescent="0.3">
      <c r="A67" s="7">
        <v>45484</v>
      </c>
      <c r="B67">
        <v>99.76</v>
      </c>
      <c r="C67">
        <v>98.7</v>
      </c>
      <c r="D67">
        <v>99.84</v>
      </c>
      <c r="E67">
        <v>97.94</v>
      </c>
      <c r="F67" t="s">
        <v>683</v>
      </c>
      <c r="G67" s="8">
        <v>1.8599999999999998E-2</v>
      </c>
      <c r="H67" s="3">
        <f t="shared" si="0"/>
        <v>1.8582805799469249E-2</v>
      </c>
    </row>
    <row r="68" spans="1:8" x14ac:dyDescent="0.3">
      <c r="A68" s="7">
        <v>45485</v>
      </c>
      <c r="B68">
        <v>102.2</v>
      </c>
      <c r="C68">
        <v>99.94</v>
      </c>
      <c r="D68">
        <v>102.35</v>
      </c>
      <c r="E68">
        <v>99.26</v>
      </c>
      <c r="F68" t="s">
        <v>682</v>
      </c>
      <c r="G68" s="8">
        <v>2.4500000000000001E-2</v>
      </c>
      <c r="H68" s="3">
        <f t="shared" ref="H68:H131" si="1">(B68/B67)-1</f>
        <v>2.4458700882117101E-2</v>
      </c>
    </row>
    <row r="69" spans="1:8" x14ac:dyDescent="0.3">
      <c r="A69" s="7">
        <v>45488</v>
      </c>
      <c r="B69">
        <v>101.15</v>
      </c>
      <c r="C69">
        <v>101.95</v>
      </c>
      <c r="D69">
        <v>102</v>
      </c>
      <c r="E69">
        <v>100.85</v>
      </c>
      <c r="F69" t="s">
        <v>681</v>
      </c>
      <c r="G69" s="8">
        <v>-1.03E-2</v>
      </c>
      <c r="H69" s="3">
        <f t="shared" si="1"/>
        <v>-1.0273972602739656E-2</v>
      </c>
    </row>
    <row r="70" spans="1:8" x14ac:dyDescent="0.3">
      <c r="A70" s="7">
        <v>45489</v>
      </c>
      <c r="B70">
        <v>102.8</v>
      </c>
      <c r="C70">
        <v>100.5</v>
      </c>
      <c r="D70">
        <v>102.8</v>
      </c>
      <c r="E70">
        <v>100.5</v>
      </c>
      <c r="F70" t="s">
        <v>680</v>
      </c>
      <c r="G70" s="8">
        <v>1.6299999999999999E-2</v>
      </c>
      <c r="H70" s="3">
        <f t="shared" si="1"/>
        <v>1.6312407315867361E-2</v>
      </c>
    </row>
    <row r="71" spans="1:8" x14ac:dyDescent="0.3">
      <c r="A71" s="7">
        <v>45490</v>
      </c>
      <c r="B71">
        <v>101.85</v>
      </c>
      <c r="C71">
        <v>101.7</v>
      </c>
      <c r="D71">
        <v>102.45</v>
      </c>
      <c r="E71">
        <v>100.9</v>
      </c>
      <c r="F71" t="s">
        <v>679</v>
      </c>
      <c r="G71" s="8">
        <v>-9.1999999999999998E-3</v>
      </c>
      <c r="H71" s="3">
        <f t="shared" si="1"/>
        <v>-9.2412451361868486E-3</v>
      </c>
    </row>
    <row r="72" spans="1:8" x14ac:dyDescent="0.3">
      <c r="A72" s="7">
        <v>45491</v>
      </c>
      <c r="B72">
        <v>101.45</v>
      </c>
      <c r="C72">
        <v>102.25</v>
      </c>
      <c r="D72">
        <v>102.95</v>
      </c>
      <c r="E72">
        <v>100.75</v>
      </c>
      <c r="F72" t="s">
        <v>678</v>
      </c>
      <c r="G72" s="8">
        <v>-3.8999999999999998E-3</v>
      </c>
      <c r="H72" s="3">
        <f t="shared" si="1"/>
        <v>-3.9273441335295756E-3</v>
      </c>
    </row>
    <row r="73" spans="1:8" x14ac:dyDescent="0.3">
      <c r="A73" s="7">
        <v>45492</v>
      </c>
      <c r="B73">
        <v>100.6</v>
      </c>
      <c r="C73">
        <v>102.15</v>
      </c>
      <c r="D73">
        <v>102.15</v>
      </c>
      <c r="E73">
        <v>100.6</v>
      </c>
      <c r="F73" t="s">
        <v>677</v>
      </c>
      <c r="G73" s="8">
        <v>-8.3999999999999995E-3</v>
      </c>
      <c r="H73" s="3">
        <f t="shared" si="1"/>
        <v>-8.3785115820602662E-3</v>
      </c>
    </row>
    <row r="74" spans="1:8" x14ac:dyDescent="0.3">
      <c r="A74" s="7">
        <v>45495</v>
      </c>
      <c r="B74">
        <v>101.95</v>
      </c>
      <c r="C74">
        <v>100.85</v>
      </c>
      <c r="D74">
        <v>102.8</v>
      </c>
      <c r="E74">
        <v>100.85</v>
      </c>
      <c r="F74" t="s">
        <v>676</v>
      </c>
      <c r="G74" s="8">
        <v>1.34E-2</v>
      </c>
      <c r="H74" s="3">
        <f t="shared" si="1"/>
        <v>1.3419483101391627E-2</v>
      </c>
    </row>
    <row r="75" spans="1:8" x14ac:dyDescent="0.3">
      <c r="A75" s="7">
        <v>45496</v>
      </c>
      <c r="B75">
        <v>102.05</v>
      </c>
      <c r="C75">
        <v>102</v>
      </c>
      <c r="D75">
        <v>103.45</v>
      </c>
      <c r="E75">
        <v>101.65</v>
      </c>
      <c r="F75" t="s">
        <v>675</v>
      </c>
      <c r="G75" s="8">
        <v>1E-3</v>
      </c>
      <c r="H75" s="3">
        <f t="shared" si="1"/>
        <v>9.8087297694937625E-4</v>
      </c>
    </row>
    <row r="76" spans="1:8" x14ac:dyDescent="0.3">
      <c r="A76" s="7">
        <v>45497</v>
      </c>
      <c r="B76">
        <v>99.88</v>
      </c>
      <c r="C76">
        <v>101.35</v>
      </c>
      <c r="D76">
        <v>101.55</v>
      </c>
      <c r="E76">
        <v>99.88</v>
      </c>
      <c r="F76" t="s">
        <v>674</v>
      </c>
      <c r="G76" s="8">
        <v>-2.1299999999999999E-2</v>
      </c>
      <c r="H76" s="3">
        <f t="shared" si="1"/>
        <v>-2.1264086232239077E-2</v>
      </c>
    </row>
    <row r="77" spans="1:8" x14ac:dyDescent="0.3">
      <c r="A77" s="7">
        <v>45498</v>
      </c>
      <c r="B77">
        <v>97.86</v>
      </c>
      <c r="C77">
        <v>98.72</v>
      </c>
      <c r="D77">
        <v>98.8</v>
      </c>
      <c r="E77">
        <v>97.22</v>
      </c>
      <c r="F77" t="s">
        <v>673</v>
      </c>
      <c r="G77" s="8">
        <v>-2.0199999999999999E-2</v>
      </c>
      <c r="H77" s="3">
        <f t="shared" si="1"/>
        <v>-2.0224269122947502E-2</v>
      </c>
    </row>
    <row r="78" spans="1:8" x14ac:dyDescent="0.3">
      <c r="A78" s="7">
        <v>45499</v>
      </c>
      <c r="B78">
        <v>99.82</v>
      </c>
      <c r="C78">
        <v>97.48</v>
      </c>
      <c r="D78">
        <v>100.1</v>
      </c>
      <c r="E78">
        <v>97.24</v>
      </c>
      <c r="F78" t="s">
        <v>672</v>
      </c>
      <c r="G78" s="8">
        <v>0.02</v>
      </c>
      <c r="H78" s="3">
        <f t="shared" si="1"/>
        <v>2.002861230329045E-2</v>
      </c>
    </row>
    <row r="79" spans="1:8" x14ac:dyDescent="0.3">
      <c r="A79" s="7">
        <v>45502</v>
      </c>
      <c r="B79">
        <v>98.66</v>
      </c>
      <c r="C79">
        <v>100.15</v>
      </c>
      <c r="D79">
        <v>100.45</v>
      </c>
      <c r="E79">
        <v>98.44</v>
      </c>
      <c r="F79" t="s">
        <v>671</v>
      </c>
      <c r="G79" s="8">
        <v>-1.1599999999999999E-2</v>
      </c>
      <c r="H79" s="3">
        <f t="shared" si="1"/>
        <v>-1.1620917651773199E-2</v>
      </c>
    </row>
    <row r="80" spans="1:8" x14ac:dyDescent="0.3">
      <c r="A80" s="7">
        <v>45503</v>
      </c>
      <c r="B80">
        <v>97.8</v>
      </c>
      <c r="C80">
        <v>94.7</v>
      </c>
      <c r="D80">
        <v>98.94</v>
      </c>
      <c r="E80">
        <v>94</v>
      </c>
      <c r="F80" t="s">
        <v>670</v>
      </c>
      <c r="G80" s="8">
        <v>-8.6999999999999994E-3</v>
      </c>
      <c r="H80" s="3">
        <f t="shared" si="1"/>
        <v>-8.7168051895398779E-3</v>
      </c>
    </row>
    <row r="81" spans="1:8" x14ac:dyDescent="0.3">
      <c r="A81" s="7">
        <v>45504</v>
      </c>
      <c r="B81">
        <v>96.48</v>
      </c>
      <c r="C81">
        <v>98.5</v>
      </c>
      <c r="D81">
        <v>98.5</v>
      </c>
      <c r="E81">
        <v>96.2</v>
      </c>
      <c r="F81" t="s">
        <v>669</v>
      </c>
      <c r="G81" s="8">
        <v>-1.35E-2</v>
      </c>
      <c r="H81" s="3">
        <f t="shared" si="1"/>
        <v>-1.3496932515337345E-2</v>
      </c>
    </row>
    <row r="82" spans="1:8" x14ac:dyDescent="0.3">
      <c r="A82" s="7">
        <v>45505</v>
      </c>
      <c r="B82">
        <v>94.2</v>
      </c>
      <c r="C82">
        <v>95.12</v>
      </c>
      <c r="D82">
        <v>95.94</v>
      </c>
      <c r="E82">
        <v>93.58</v>
      </c>
      <c r="F82" t="s">
        <v>668</v>
      </c>
      <c r="G82" s="8">
        <v>-2.3599999999999999E-2</v>
      </c>
      <c r="H82" s="3">
        <f t="shared" si="1"/>
        <v>-2.3631840796019876E-2</v>
      </c>
    </row>
    <row r="83" spans="1:8" x14ac:dyDescent="0.3">
      <c r="A83" s="7">
        <v>45506</v>
      </c>
      <c r="B83">
        <v>89.68</v>
      </c>
      <c r="C83">
        <v>92.4</v>
      </c>
      <c r="D83">
        <v>92.4</v>
      </c>
      <c r="E83">
        <v>89.46</v>
      </c>
      <c r="F83" t="s">
        <v>667</v>
      </c>
      <c r="G83" s="8">
        <v>-4.8000000000000001E-2</v>
      </c>
      <c r="H83" s="3">
        <f t="shared" si="1"/>
        <v>-4.7983014861995743E-2</v>
      </c>
    </row>
    <row r="84" spans="1:8" x14ac:dyDescent="0.3">
      <c r="A84" s="7">
        <v>45509</v>
      </c>
      <c r="B84">
        <v>88.12</v>
      </c>
      <c r="C84">
        <v>86.98</v>
      </c>
      <c r="D84">
        <v>88.84</v>
      </c>
      <c r="E84">
        <v>85.6</v>
      </c>
      <c r="F84" t="s">
        <v>666</v>
      </c>
      <c r="G84" s="8">
        <v>-1.7399999999999999E-2</v>
      </c>
      <c r="H84" s="3">
        <f t="shared" si="1"/>
        <v>-1.7395182872435355E-2</v>
      </c>
    </row>
    <row r="85" spans="1:8" x14ac:dyDescent="0.3">
      <c r="A85" s="7">
        <v>45510</v>
      </c>
      <c r="B85">
        <v>86.8</v>
      </c>
      <c r="C85">
        <v>88.92</v>
      </c>
      <c r="D85">
        <v>89.02</v>
      </c>
      <c r="E85">
        <v>86.36</v>
      </c>
      <c r="F85" t="s">
        <v>665</v>
      </c>
      <c r="G85" s="8">
        <v>-1.4999999999999999E-2</v>
      </c>
      <c r="H85" s="3">
        <f t="shared" si="1"/>
        <v>-1.4979573309124028E-2</v>
      </c>
    </row>
    <row r="86" spans="1:8" x14ac:dyDescent="0.3">
      <c r="A86" s="7">
        <v>45511</v>
      </c>
      <c r="B86">
        <v>88.22</v>
      </c>
      <c r="C86">
        <v>86.76</v>
      </c>
      <c r="D86">
        <v>89.58</v>
      </c>
      <c r="E86">
        <v>86.58</v>
      </c>
      <c r="F86" t="s">
        <v>664</v>
      </c>
      <c r="G86" s="8">
        <v>1.6400000000000001E-2</v>
      </c>
      <c r="H86" s="3">
        <f t="shared" si="1"/>
        <v>1.635944700460823E-2</v>
      </c>
    </row>
    <row r="87" spans="1:8" x14ac:dyDescent="0.3">
      <c r="A87" s="7">
        <v>45512</v>
      </c>
      <c r="B87">
        <v>88.16</v>
      </c>
      <c r="C87">
        <v>87.72</v>
      </c>
      <c r="D87">
        <v>88.7</v>
      </c>
      <c r="E87">
        <v>87.54</v>
      </c>
      <c r="F87" t="s">
        <v>663</v>
      </c>
      <c r="G87" s="8">
        <v>-6.9999999999999999E-4</v>
      </c>
      <c r="H87" s="3">
        <f t="shared" si="1"/>
        <v>-6.8011788710042875E-4</v>
      </c>
    </row>
    <row r="88" spans="1:8" x14ac:dyDescent="0.3">
      <c r="A88" s="7">
        <v>45513</v>
      </c>
      <c r="B88">
        <v>88.36</v>
      </c>
      <c r="C88">
        <v>88.04</v>
      </c>
      <c r="D88">
        <v>89.08</v>
      </c>
      <c r="E88">
        <v>87.84</v>
      </c>
      <c r="F88" t="s">
        <v>662</v>
      </c>
      <c r="G88" s="8">
        <v>2.3E-3</v>
      </c>
      <c r="H88" s="3">
        <f t="shared" si="1"/>
        <v>2.2686025408349408E-3</v>
      </c>
    </row>
    <row r="89" spans="1:8" x14ac:dyDescent="0.3">
      <c r="A89" s="7">
        <v>45516</v>
      </c>
      <c r="B89">
        <v>87.64</v>
      </c>
      <c r="C89">
        <v>88.64</v>
      </c>
      <c r="D89">
        <v>88.96</v>
      </c>
      <c r="E89">
        <v>87.4</v>
      </c>
      <c r="F89" t="s">
        <v>661</v>
      </c>
      <c r="G89" s="8">
        <v>-8.0999999999999996E-3</v>
      </c>
      <c r="H89" s="3">
        <f t="shared" si="1"/>
        <v>-8.1484834766862857E-3</v>
      </c>
    </row>
    <row r="90" spans="1:8" x14ac:dyDescent="0.3">
      <c r="A90" s="7">
        <v>45517</v>
      </c>
      <c r="B90">
        <v>88</v>
      </c>
      <c r="C90">
        <v>88.04</v>
      </c>
      <c r="D90">
        <v>88.52</v>
      </c>
      <c r="E90">
        <v>87.48</v>
      </c>
      <c r="F90" t="s">
        <v>660</v>
      </c>
      <c r="G90" s="8">
        <v>4.1000000000000003E-3</v>
      </c>
      <c r="H90" s="3">
        <f t="shared" si="1"/>
        <v>4.1077133728890658E-3</v>
      </c>
    </row>
    <row r="91" spans="1:8" x14ac:dyDescent="0.3">
      <c r="A91" s="7">
        <v>45518</v>
      </c>
      <c r="B91">
        <v>89.12</v>
      </c>
      <c r="C91">
        <v>88.68</v>
      </c>
      <c r="D91">
        <v>89.12</v>
      </c>
      <c r="E91">
        <v>88.28</v>
      </c>
      <c r="F91" t="s">
        <v>659</v>
      </c>
      <c r="G91" s="8">
        <v>1.2699999999999999E-2</v>
      </c>
      <c r="H91" s="3">
        <f t="shared" si="1"/>
        <v>1.2727272727272698E-2</v>
      </c>
    </row>
    <row r="92" spans="1:8" x14ac:dyDescent="0.3">
      <c r="A92" s="7">
        <v>45519</v>
      </c>
      <c r="B92">
        <v>90.24</v>
      </c>
      <c r="C92">
        <v>89.18</v>
      </c>
      <c r="D92">
        <v>90.32</v>
      </c>
      <c r="E92">
        <v>88.46</v>
      </c>
      <c r="F92" t="s">
        <v>658</v>
      </c>
      <c r="G92" s="8">
        <v>1.26E-2</v>
      </c>
      <c r="H92" s="3">
        <f t="shared" si="1"/>
        <v>1.2567324955116588E-2</v>
      </c>
    </row>
    <row r="93" spans="1:8" x14ac:dyDescent="0.3">
      <c r="A93" s="7">
        <v>45520</v>
      </c>
      <c r="B93">
        <v>90.64</v>
      </c>
      <c r="C93">
        <v>90.52</v>
      </c>
      <c r="D93">
        <v>91.12</v>
      </c>
      <c r="E93">
        <v>90.02</v>
      </c>
      <c r="F93" t="s">
        <v>657</v>
      </c>
      <c r="G93" s="8">
        <v>4.4000000000000003E-3</v>
      </c>
      <c r="H93" s="3">
        <f t="shared" si="1"/>
        <v>4.4326241134753364E-3</v>
      </c>
    </row>
    <row r="94" spans="1:8" x14ac:dyDescent="0.3">
      <c r="A94" s="7">
        <v>45523</v>
      </c>
      <c r="B94">
        <v>91.26</v>
      </c>
      <c r="C94">
        <v>90.9</v>
      </c>
      <c r="D94">
        <v>91.6</v>
      </c>
      <c r="E94">
        <v>90.3</v>
      </c>
      <c r="F94" t="s">
        <v>656</v>
      </c>
      <c r="G94" s="8">
        <v>6.7999999999999996E-3</v>
      </c>
      <c r="H94" s="3">
        <f t="shared" si="1"/>
        <v>6.8402471315092139E-3</v>
      </c>
    </row>
    <row r="95" spans="1:8" x14ac:dyDescent="0.3">
      <c r="A95" s="7">
        <v>45524</v>
      </c>
      <c r="B95">
        <v>91</v>
      </c>
      <c r="C95">
        <v>91.34</v>
      </c>
      <c r="D95">
        <v>91.84</v>
      </c>
      <c r="E95">
        <v>90.5</v>
      </c>
      <c r="F95" t="s">
        <v>655</v>
      </c>
      <c r="G95" s="8">
        <v>-2.8E-3</v>
      </c>
      <c r="H95" s="3">
        <f t="shared" si="1"/>
        <v>-2.8490028490029129E-3</v>
      </c>
    </row>
    <row r="96" spans="1:8" x14ac:dyDescent="0.3">
      <c r="A96" s="7">
        <v>45525</v>
      </c>
      <c r="B96">
        <v>91.84</v>
      </c>
      <c r="C96">
        <v>91.06</v>
      </c>
      <c r="D96">
        <v>91.92</v>
      </c>
      <c r="E96">
        <v>90.96</v>
      </c>
      <c r="F96" t="s">
        <v>654</v>
      </c>
      <c r="G96" s="8">
        <v>9.1999999999999998E-3</v>
      </c>
      <c r="H96" s="3">
        <f t="shared" si="1"/>
        <v>9.2307692307693756E-3</v>
      </c>
    </row>
    <row r="97" spans="1:8" x14ac:dyDescent="0.3">
      <c r="A97" s="7">
        <v>45526</v>
      </c>
      <c r="B97">
        <v>92.58</v>
      </c>
      <c r="C97">
        <v>91.66</v>
      </c>
      <c r="D97">
        <v>92.68</v>
      </c>
      <c r="E97">
        <v>91.66</v>
      </c>
      <c r="F97" t="s">
        <v>653</v>
      </c>
      <c r="G97" s="8">
        <v>8.0999999999999996E-3</v>
      </c>
      <c r="H97" s="3">
        <f t="shared" si="1"/>
        <v>8.0574912891986372E-3</v>
      </c>
    </row>
    <row r="98" spans="1:8" x14ac:dyDescent="0.3">
      <c r="A98" s="7">
        <v>45527</v>
      </c>
      <c r="B98">
        <v>94.28</v>
      </c>
      <c r="C98">
        <v>92.96</v>
      </c>
      <c r="D98">
        <v>94.64</v>
      </c>
      <c r="E98">
        <v>92.9</v>
      </c>
      <c r="F98" t="s">
        <v>652</v>
      </c>
      <c r="G98" s="8">
        <v>1.84E-2</v>
      </c>
      <c r="H98" s="3">
        <f t="shared" si="1"/>
        <v>1.8362497299632796E-2</v>
      </c>
    </row>
    <row r="99" spans="1:8" x14ac:dyDescent="0.3">
      <c r="A99" s="7">
        <v>45530</v>
      </c>
      <c r="B99">
        <v>94.12</v>
      </c>
      <c r="C99">
        <v>94.16</v>
      </c>
      <c r="D99">
        <v>94.58</v>
      </c>
      <c r="E99">
        <v>93.44</v>
      </c>
      <c r="F99" t="s">
        <v>651</v>
      </c>
      <c r="G99" s="8">
        <v>-1.6999999999999999E-3</v>
      </c>
      <c r="H99" s="3">
        <f t="shared" si="1"/>
        <v>-1.6970725498515193E-3</v>
      </c>
    </row>
    <row r="100" spans="1:8" x14ac:dyDescent="0.3">
      <c r="A100" s="7">
        <v>45531</v>
      </c>
      <c r="B100">
        <v>94</v>
      </c>
      <c r="C100">
        <v>94.1</v>
      </c>
      <c r="D100">
        <v>94.82</v>
      </c>
      <c r="E100">
        <v>93.7</v>
      </c>
      <c r="F100" t="s">
        <v>650</v>
      </c>
      <c r="G100" s="8">
        <v>-1.2999999999999999E-3</v>
      </c>
      <c r="H100" s="3">
        <f t="shared" si="1"/>
        <v>-1.2749681257968604E-3</v>
      </c>
    </row>
    <row r="101" spans="1:8" x14ac:dyDescent="0.3">
      <c r="A101" s="7">
        <v>45532</v>
      </c>
      <c r="B101">
        <v>94.24</v>
      </c>
      <c r="C101">
        <v>94.44</v>
      </c>
      <c r="D101">
        <v>94.44</v>
      </c>
      <c r="E101">
        <v>93.08</v>
      </c>
      <c r="F101" t="s">
        <v>649</v>
      </c>
      <c r="G101" s="8">
        <v>2.5999999999999999E-3</v>
      </c>
      <c r="H101" s="3">
        <f t="shared" si="1"/>
        <v>2.553191489361728E-3</v>
      </c>
    </row>
    <row r="102" spans="1:8" x14ac:dyDescent="0.3">
      <c r="A102" s="7">
        <v>45533</v>
      </c>
      <c r="B102">
        <v>95.46</v>
      </c>
      <c r="C102">
        <v>94.18</v>
      </c>
      <c r="D102">
        <v>95.46</v>
      </c>
      <c r="E102">
        <v>94.14</v>
      </c>
      <c r="F102" t="s">
        <v>648</v>
      </c>
      <c r="G102" s="8">
        <v>1.29E-2</v>
      </c>
      <c r="H102" s="3">
        <f t="shared" si="1"/>
        <v>1.2945670628183414E-2</v>
      </c>
    </row>
    <row r="103" spans="1:8" x14ac:dyDescent="0.3">
      <c r="A103" s="7">
        <v>45534</v>
      </c>
      <c r="B103">
        <v>95.66</v>
      </c>
      <c r="C103">
        <v>95.32</v>
      </c>
      <c r="D103">
        <v>95.86</v>
      </c>
      <c r="E103">
        <v>94.9</v>
      </c>
      <c r="F103" t="s">
        <v>647</v>
      </c>
      <c r="G103" s="8">
        <v>2.0999999999999999E-3</v>
      </c>
      <c r="H103" s="3">
        <f t="shared" si="1"/>
        <v>2.0951183741881874E-3</v>
      </c>
    </row>
    <row r="104" spans="1:8" x14ac:dyDescent="0.3">
      <c r="A104" s="7">
        <v>45537</v>
      </c>
      <c r="B104">
        <v>96.32</v>
      </c>
      <c r="C104">
        <v>96</v>
      </c>
      <c r="D104">
        <v>96.36</v>
      </c>
      <c r="E104">
        <v>94.96</v>
      </c>
      <c r="F104" t="s">
        <v>646</v>
      </c>
      <c r="G104" s="8">
        <v>6.8999999999999999E-3</v>
      </c>
      <c r="H104" s="3">
        <f t="shared" si="1"/>
        <v>6.8994355007316877E-3</v>
      </c>
    </row>
    <row r="105" spans="1:8" x14ac:dyDescent="0.3">
      <c r="A105" s="7">
        <v>45538</v>
      </c>
      <c r="B105">
        <v>94.5</v>
      </c>
      <c r="C105">
        <v>96.38</v>
      </c>
      <c r="D105">
        <v>96.7</v>
      </c>
      <c r="E105">
        <v>93.68</v>
      </c>
      <c r="F105" t="s">
        <v>645</v>
      </c>
      <c r="G105" s="8">
        <v>-1.89E-2</v>
      </c>
      <c r="H105" s="3">
        <f t="shared" si="1"/>
        <v>-1.8895348837209225E-2</v>
      </c>
    </row>
    <row r="106" spans="1:8" x14ac:dyDescent="0.3">
      <c r="A106" s="7">
        <v>45539</v>
      </c>
      <c r="B106">
        <v>92.66</v>
      </c>
      <c r="C106">
        <v>92.7</v>
      </c>
      <c r="D106">
        <v>93.58</v>
      </c>
      <c r="E106">
        <v>92.16</v>
      </c>
      <c r="F106" t="s">
        <v>644</v>
      </c>
      <c r="G106" s="8">
        <v>-1.95E-2</v>
      </c>
      <c r="H106" s="3">
        <f t="shared" si="1"/>
        <v>-1.9470899470899528E-2</v>
      </c>
    </row>
    <row r="107" spans="1:8" x14ac:dyDescent="0.3">
      <c r="A107" s="7">
        <v>45540</v>
      </c>
      <c r="B107">
        <v>91.82</v>
      </c>
      <c r="C107">
        <v>92.24</v>
      </c>
      <c r="D107">
        <v>93.5</v>
      </c>
      <c r="E107">
        <v>91.82</v>
      </c>
      <c r="F107" t="s">
        <v>643</v>
      </c>
      <c r="G107" s="8">
        <v>-9.1000000000000004E-3</v>
      </c>
      <c r="H107" s="3">
        <f t="shared" si="1"/>
        <v>-9.0654003885172196E-3</v>
      </c>
    </row>
    <row r="108" spans="1:8" x14ac:dyDescent="0.3">
      <c r="A108" s="7">
        <v>45541</v>
      </c>
      <c r="B108">
        <v>90.86</v>
      </c>
      <c r="C108">
        <v>91.38</v>
      </c>
      <c r="D108">
        <v>92.96</v>
      </c>
      <c r="E108">
        <v>90.7</v>
      </c>
      <c r="F108" t="s">
        <v>642</v>
      </c>
      <c r="G108" s="8">
        <v>-1.0500000000000001E-2</v>
      </c>
      <c r="H108" s="3">
        <f t="shared" si="1"/>
        <v>-1.0455238510128417E-2</v>
      </c>
    </row>
    <row r="109" spans="1:8" x14ac:dyDescent="0.3">
      <c r="A109" s="7">
        <v>45544</v>
      </c>
      <c r="B109">
        <v>91.96</v>
      </c>
      <c r="C109">
        <v>91.46</v>
      </c>
      <c r="D109">
        <v>92.76</v>
      </c>
      <c r="E109">
        <v>91.42</v>
      </c>
      <c r="F109" t="s">
        <v>641</v>
      </c>
      <c r="G109" s="8">
        <v>1.21E-2</v>
      </c>
      <c r="H109" s="3">
        <f t="shared" si="1"/>
        <v>1.2106537530266248E-2</v>
      </c>
    </row>
    <row r="110" spans="1:8" x14ac:dyDescent="0.3">
      <c r="A110" s="7">
        <v>45545</v>
      </c>
      <c r="B110">
        <v>90.68</v>
      </c>
      <c r="C110">
        <v>91.1</v>
      </c>
      <c r="D110">
        <v>91.62</v>
      </c>
      <c r="E110">
        <v>90.24</v>
      </c>
      <c r="F110" t="s">
        <v>640</v>
      </c>
      <c r="G110" s="8">
        <v>-1.3899999999999999E-2</v>
      </c>
      <c r="H110" s="3">
        <f t="shared" si="1"/>
        <v>-1.3919095258808079E-2</v>
      </c>
    </row>
    <row r="111" spans="1:8" x14ac:dyDescent="0.3">
      <c r="A111" s="7">
        <v>45546</v>
      </c>
      <c r="B111">
        <v>90.88</v>
      </c>
      <c r="C111">
        <v>91.28</v>
      </c>
      <c r="D111">
        <v>92.28</v>
      </c>
      <c r="E111">
        <v>90.22</v>
      </c>
      <c r="F111" t="s">
        <v>639</v>
      </c>
      <c r="G111" s="8">
        <v>2.2000000000000001E-3</v>
      </c>
      <c r="H111" s="3">
        <f t="shared" si="1"/>
        <v>2.2055580061755009E-3</v>
      </c>
    </row>
    <row r="112" spans="1:8" x14ac:dyDescent="0.3">
      <c r="A112" s="7">
        <v>45547</v>
      </c>
      <c r="B112">
        <v>92.3</v>
      </c>
      <c r="C112">
        <v>91.6</v>
      </c>
      <c r="D112">
        <v>92.84</v>
      </c>
      <c r="E112">
        <v>91.22</v>
      </c>
      <c r="F112" t="s">
        <v>638</v>
      </c>
      <c r="G112" s="8">
        <v>1.5599999999999999E-2</v>
      </c>
      <c r="H112" s="3">
        <f t="shared" si="1"/>
        <v>1.5625E-2</v>
      </c>
    </row>
    <row r="113" spans="1:8" x14ac:dyDescent="0.3">
      <c r="A113" s="7">
        <v>45548</v>
      </c>
      <c r="B113">
        <v>93.08</v>
      </c>
      <c r="C113">
        <v>92.58</v>
      </c>
      <c r="D113">
        <v>93.88</v>
      </c>
      <c r="E113">
        <v>92.22</v>
      </c>
      <c r="F113" t="s">
        <v>637</v>
      </c>
      <c r="G113" s="8">
        <v>8.5000000000000006E-3</v>
      </c>
      <c r="H113" s="3">
        <f t="shared" si="1"/>
        <v>8.4507042253521014E-3</v>
      </c>
    </row>
    <row r="114" spans="1:8" x14ac:dyDescent="0.3">
      <c r="A114" s="7">
        <v>45551</v>
      </c>
      <c r="B114">
        <v>93.76</v>
      </c>
      <c r="C114">
        <v>92.82</v>
      </c>
      <c r="D114">
        <v>93.96</v>
      </c>
      <c r="E114">
        <v>92.48</v>
      </c>
      <c r="F114" t="s">
        <v>636</v>
      </c>
      <c r="G114" s="8">
        <v>7.3000000000000001E-3</v>
      </c>
      <c r="H114" s="3">
        <f t="shared" si="1"/>
        <v>7.3055436183928624E-3</v>
      </c>
    </row>
    <row r="115" spans="1:8" x14ac:dyDescent="0.3">
      <c r="A115" s="7">
        <v>45552</v>
      </c>
      <c r="B115">
        <v>95.26</v>
      </c>
      <c r="C115">
        <v>94.04</v>
      </c>
      <c r="D115">
        <v>95.96</v>
      </c>
      <c r="E115">
        <v>94.02</v>
      </c>
      <c r="F115" t="s">
        <v>635</v>
      </c>
      <c r="G115" s="8">
        <v>1.6E-2</v>
      </c>
      <c r="H115" s="3">
        <f t="shared" si="1"/>
        <v>1.5998293515358419E-2</v>
      </c>
    </row>
    <row r="116" spans="1:8" x14ac:dyDescent="0.3">
      <c r="A116" s="7">
        <v>45553</v>
      </c>
      <c r="B116">
        <v>95.78</v>
      </c>
      <c r="C116">
        <v>95.52</v>
      </c>
      <c r="D116">
        <v>95.94</v>
      </c>
      <c r="E116">
        <v>94.76</v>
      </c>
      <c r="F116" t="s">
        <v>634</v>
      </c>
      <c r="G116" s="8">
        <v>5.4999999999999997E-3</v>
      </c>
      <c r="H116" s="3">
        <f t="shared" si="1"/>
        <v>5.4587444887674863E-3</v>
      </c>
    </row>
    <row r="117" spans="1:8" x14ac:dyDescent="0.3">
      <c r="A117" s="7">
        <v>45554</v>
      </c>
      <c r="B117">
        <v>100</v>
      </c>
      <c r="C117">
        <v>97</v>
      </c>
      <c r="D117">
        <v>100</v>
      </c>
      <c r="E117">
        <v>97</v>
      </c>
      <c r="F117" t="s">
        <v>633</v>
      </c>
      <c r="G117" s="8">
        <v>4.41E-2</v>
      </c>
      <c r="H117" s="3">
        <f t="shared" si="1"/>
        <v>4.4059302568385972E-2</v>
      </c>
    </row>
    <row r="118" spans="1:8" x14ac:dyDescent="0.3">
      <c r="A118" s="7">
        <v>45555</v>
      </c>
      <c r="B118">
        <v>98.78</v>
      </c>
      <c r="C118">
        <v>99.9</v>
      </c>
      <c r="D118">
        <v>100</v>
      </c>
      <c r="E118">
        <v>98.34</v>
      </c>
      <c r="F118" t="s">
        <v>103</v>
      </c>
      <c r="G118" s="8">
        <v>-1.2200000000000001E-2</v>
      </c>
      <c r="H118" s="3">
        <f t="shared" si="1"/>
        <v>-1.2199999999999989E-2</v>
      </c>
    </row>
    <row r="119" spans="1:8" x14ac:dyDescent="0.3">
      <c r="A119" s="7">
        <v>45558</v>
      </c>
      <c r="B119">
        <v>97.94</v>
      </c>
      <c r="C119">
        <v>98.82</v>
      </c>
      <c r="D119">
        <v>99.22</v>
      </c>
      <c r="E119">
        <v>97.66</v>
      </c>
      <c r="F119" t="s">
        <v>632</v>
      </c>
      <c r="G119" s="8">
        <v>-8.5000000000000006E-3</v>
      </c>
      <c r="H119" s="3">
        <f t="shared" si="1"/>
        <v>-8.5037456975096681E-3</v>
      </c>
    </row>
    <row r="120" spans="1:8" x14ac:dyDescent="0.3">
      <c r="A120" s="7">
        <v>45559</v>
      </c>
      <c r="B120">
        <v>96.94</v>
      </c>
      <c r="C120">
        <v>99</v>
      </c>
      <c r="D120">
        <v>99.12</v>
      </c>
      <c r="E120">
        <v>96.74</v>
      </c>
      <c r="F120" t="s">
        <v>631</v>
      </c>
      <c r="G120" s="8">
        <v>-1.0200000000000001E-2</v>
      </c>
      <c r="H120" s="3">
        <f t="shared" si="1"/>
        <v>-1.0210332856851134E-2</v>
      </c>
    </row>
    <row r="121" spans="1:8" x14ac:dyDescent="0.3">
      <c r="A121" s="7">
        <v>45560</v>
      </c>
      <c r="B121">
        <v>98.3</v>
      </c>
      <c r="C121">
        <v>96.6</v>
      </c>
      <c r="D121">
        <v>98.34</v>
      </c>
      <c r="E121">
        <v>96.32</v>
      </c>
      <c r="F121" t="s">
        <v>630</v>
      </c>
      <c r="G121" s="8">
        <v>1.4E-2</v>
      </c>
      <c r="H121" s="3">
        <f t="shared" si="1"/>
        <v>1.4029296472044539E-2</v>
      </c>
    </row>
    <row r="122" spans="1:8" x14ac:dyDescent="0.3">
      <c r="A122" s="7">
        <v>45561</v>
      </c>
      <c r="B122">
        <v>100.55</v>
      </c>
      <c r="C122">
        <v>99.24</v>
      </c>
      <c r="D122">
        <v>100.55</v>
      </c>
      <c r="E122">
        <v>99.06</v>
      </c>
      <c r="F122" t="s">
        <v>629</v>
      </c>
      <c r="G122" s="8">
        <v>2.29E-2</v>
      </c>
      <c r="H122" s="3">
        <f t="shared" si="1"/>
        <v>2.2889114954221856E-2</v>
      </c>
    </row>
    <row r="123" spans="1:8" x14ac:dyDescent="0.3">
      <c r="A123" s="7">
        <v>45562</v>
      </c>
      <c r="B123">
        <v>98.9</v>
      </c>
      <c r="C123">
        <v>100.6</v>
      </c>
      <c r="D123">
        <v>100.85</v>
      </c>
      <c r="E123">
        <v>98.24</v>
      </c>
      <c r="F123" t="s">
        <v>628</v>
      </c>
      <c r="G123" s="8">
        <v>-1.6400000000000001E-2</v>
      </c>
      <c r="H123" s="3">
        <f t="shared" si="1"/>
        <v>-1.6409746394828395E-2</v>
      </c>
    </row>
    <row r="124" spans="1:8" x14ac:dyDescent="0.3">
      <c r="A124" s="7">
        <v>45565</v>
      </c>
      <c r="B124">
        <v>97.6</v>
      </c>
      <c r="C124">
        <v>98.54</v>
      </c>
      <c r="D124">
        <v>99.02</v>
      </c>
      <c r="E124">
        <v>97.6</v>
      </c>
      <c r="F124" t="s">
        <v>627</v>
      </c>
      <c r="G124" s="8">
        <v>-1.3100000000000001E-2</v>
      </c>
      <c r="H124" s="3">
        <f t="shared" si="1"/>
        <v>-1.3144590495450026E-2</v>
      </c>
    </row>
    <row r="125" spans="1:8" x14ac:dyDescent="0.3">
      <c r="A125" s="7">
        <v>45566</v>
      </c>
      <c r="B125">
        <v>97.18</v>
      </c>
      <c r="C125">
        <v>98.04</v>
      </c>
      <c r="D125">
        <v>99.08</v>
      </c>
      <c r="E125">
        <v>96.22</v>
      </c>
      <c r="F125" t="s">
        <v>626</v>
      </c>
      <c r="G125" s="8">
        <v>-4.3E-3</v>
      </c>
      <c r="H125" s="3">
        <f t="shared" si="1"/>
        <v>-4.3032786885244256E-3</v>
      </c>
    </row>
    <row r="126" spans="1:8" x14ac:dyDescent="0.3">
      <c r="A126" s="7">
        <v>45567</v>
      </c>
      <c r="B126">
        <v>97.34</v>
      </c>
      <c r="C126">
        <v>97.38</v>
      </c>
      <c r="D126">
        <v>98.2</v>
      </c>
      <c r="E126">
        <v>96.56</v>
      </c>
      <c r="F126" t="s">
        <v>625</v>
      </c>
      <c r="G126" s="8">
        <v>1.6000000000000001E-3</v>
      </c>
      <c r="H126" s="3">
        <f t="shared" si="1"/>
        <v>1.6464293064415436E-3</v>
      </c>
    </row>
    <row r="127" spans="1:8" x14ac:dyDescent="0.3">
      <c r="A127" s="7">
        <v>45568</v>
      </c>
      <c r="B127">
        <v>96.46</v>
      </c>
      <c r="C127">
        <v>96.88</v>
      </c>
      <c r="D127">
        <v>96.94</v>
      </c>
      <c r="E127">
        <v>95.5</v>
      </c>
      <c r="F127" t="s">
        <v>624</v>
      </c>
      <c r="G127" s="8">
        <v>-8.9999999999999993E-3</v>
      </c>
      <c r="H127" s="3">
        <f t="shared" si="1"/>
        <v>-9.0404766796795544E-3</v>
      </c>
    </row>
    <row r="128" spans="1:8" x14ac:dyDescent="0.3">
      <c r="A128" s="7">
        <v>45569</v>
      </c>
      <c r="B128">
        <v>97.38</v>
      </c>
      <c r="C128">
        <v>96.5</v>
      </c>
      <c r="D128">
        <v>98.48</v>
      </c>
      <c r="E128">
        <v>96.46</v>
      </c>
      <c r="F128" t="s">
        <v>623</v>
      </c>
      <c r="G128" s="8">
        <v>9.4999999999999998E-3</v>
      </c>
      <c r="H128" s="3">
        <f t="shared" si="1"/>
        <v>9.5376321791416085E-3</v>
      </c>
    </row>
    <row r="129" spans="1:8" x14ac:dyDescent="0.3">
      <c r="A129" s="7">
        <v>45572</v>
      </c>
      <c r="B129">
        <v>98.5</v>
      </c>
      <c r="C129">
        <v>100.3</v>
      </c>
      <c r="D129">
        <v>100.75</v>
      </c>
      <c r="E129">
        <v>97.06</v>
      </c>
      <c r="F129" t="s">
        <v>622</v>
      </c>
      <c r="G129" s="8">
        <v>1.15E-2</v>
      </c>
      <c r="H129" s="3">
        <f t="shared" si="1"/>
        <v>1.1501334976381283E-2</v>
      </c>
    </row>
    <row r="130" spans="1:8" x14ac:dyDescent="0.3">
      <c r="A130" s="7">
        <v>45573</v>
      </c>
      <c r="B130">
        <v>96.64</v>
      </c>
      <c r="C130">
        <v>97.9</v>
      </c>
      <c r="D130">
        <v>98.4</v>
      </c>
      <c r="E130">
        <v>96.02</v>
      </c>
      <c r="F130" t="s">
        <v>621</v>
      </c>
      <c r="G130" s="8">
        <v>-1.89E-2</v>
      </c>
      <c r="H130" s="3">
        <f t="shared" si="1"/>
        <v>-1.8883248730964475E-2</v>
      </c>
    </row>
    <row r="131" spans="1:8" x14ac:dyDescent="0.3">
      <c r="A131" s="7">
        <v>45574</v>
      </c>
      <c r="B131">
        <v>99.16</v>
      </c>
      <c r="C131">
        <v>96.68</v>
      </c>
      <c r="D131">
        <v>99.5</v>
      </c>
      <c r="E131">
        <v>95.82</v>
      </c>
      <c r="F131" t="s">
        <v>620</v>
      </c>
      <c r="G131" s="8">
        <v>2.6100000000000002E-2</v>
      </c>
      <c r="H131" s="3">
        <f t="shared" si="1"/>
        <v>2.6076158940397276E-2</v>
      </c>
    </row>
    <row r="132" spans="1:8" x14ac:dyDescent="0.3">
      <c r="A132" s="7">
        <v>45575</v>
      </c>
      <c r="B132">
        <v>98.44</v>
      </c>
      <c r="C132">
        <v>98.98</v>
      </c>
      <c r="D132">
        <v>99.2</v>
      </c>
      <c r="E132">
        <v>97.62</v>
      </c>
      <c r="F132" t="s">
        <v>619</v>
      </c>
      <c r="G132" s="8">
        <v>-7.3000000000000001E-3</v>
      </c>
      <c r="H132" s="3">
        <f t="shared" ref="H132:H195" si="2">(B132/B131)-1</f>
        <v>-7.2609923356191652E-3</v>
      </c>
    </row>
    <row r="133" spans="1:8" x14ac:dyDescent="0.3">
      <c r="A133" s="7">
        <v>45576</v>
      </c>
      <c r="B133">
        <v>98.02</v>
      </c>
      <c r="C133">
        <v>98.5</v>
      </c>
      <c r="D133">
        <v>98.6</v>
      </c>
      <c r="E133">
        <v>97.36</v>
      </c>
      <c r="F133" t="s">
        <v>618</v>
      </c>
      <c r="G133" s="8">
        <v>-4.3E-3</v>
      </c>
      <c r="H133" s="3">
        <f t="shared" si="2"/>
        <v>-4.2665583096302973E-3</v>
      </c>
    </row>
    <row r="134" spans="1:8" x14ac:dyDescent="0.3">
      <c r="A134" s="7">
        <v>45579</v>
      </c>
      <c r="B134">
        <v>98.16</v>
      </c>
      <c r="C134">
        <v>98.02</v>
      </c>
      <c r="D134">
        <v>98.7</v>
      </c>
      <c r="E134">
        <v>97.8</v>
      </c>
      <c r="F134" t="s">
        <v>617</v>
      </c>
      <c r="G134" s="8">
        <v>1.4E-3</v>
      </c>
      <c r="H134" s="3">
        <f t="shared" si="2"/>
        <v>1.4282799428688708E-3</v>
      </c>
    </row>
    <row r="135" spans="1:8" x14ac:dyDescent="0.3">
      <c r="A135" s="7">
        <v>45580</v>
      </c>
      <c r="B135">
        <v>97.02</v>
      </c>
      <c r="C135">
        <v>98.86</v>
      </c>
      <c r="D135">
        <v>99.02</v>
      </c>
      <c r="E135">
        <v>96.74</v>
      </c>
      <c r="F135" t="s">
        <v>616</v>
      </c>
      <c r="G135" s="8">
        <v>-1.1599999999999999E-2</v>
      </c>
      <c r="H135" s="3">
        <f t="shared" si="2"/>
        <v>-1.1613691931540382E-2</v>
      </c>
    </row>
    <row r="136" spans="1:8" x14ac:dyDescent="0.3">
      <c r="A136" s="7">
        <v>45581</v>
      </c>
      <c r="B136">
        <v>96.46</v>
      </c>
      <c r="C136">
        <v>96.16</v>
      </c>
      <c r="D136">
        <v>97.34</v>
      </c>
      <c r="E136">
        <v>96.16</v>
      </c>
      <c r="F136" t="s">
        <v>615</v>
      </c>
      <c r="G136" s="8">
        <v>-5.7999999999999996E-3</v>
      </c>
      <c r="H136" s="3">
        <f t="shared" si="2"/>
        <v>-5.7720057720057616E-3</v>
      </c>
    </row>
    <row r="137" spans="1:8" x14ac:dyDescent="0.3">
      <c r="A137" s="7">
        <v>45582</v>
      </c>
      <c r="B137">
        <v>98.18</v>
      </c>
      <c r="C137">
        <v>96.38</v>
      </c>
      <c r="D137">
        <v>98.96</v>
      </c>
      <c r="E137">
        <v>96.38</v>
      </c>
      <c r="F137" t="s">
        <v>614</v>
      </c>
      <c r="G137" s="8">
        <v>1.78E-2</v>
      </c>
      <c r="H137" s="3">
        <f t="shared" si="2"/>
        <v>1.7831225378395432E-2</v>
      </c>
    </row>
    <row r="138" spans="1:8" x14ac:dyDescent="0.3">
      <c r="A138" s="7">
        <v>45583</v>
      </c>
      <c r="B138">
        <v>98.7</v>
      </c>
      <c r="C138">
        <v>98.3</v>
      </c>
      <c r="D138">
        <v>98.98</v>
      </c>
      <c r="E138">
        <v>97.32</v>
      </c>
      <c r="F138" t="s">
        <v>613</v>
      </c>
      <c r="G138" s="8">
        <v>5.3E-3</v>
      </c>
      <c r="H138" s="3">
        <f t="shared" si="2"/>
        <v>5.2963943776735967E-3</v>
      </c>
    </row>
    <row r="139" spans="1:8" x14ac:dyDescent="0.3">
      <c r="A139" s="7">
        <v>45586</v>
      </c>
      <c r="B139">
        <v>98.26</v>
      </c>
      <c r="C139">
        <v>98.54</v>
      </c>
      <c r="D139">
        <v>99.1</v>
      </c>
      <c r="E139">
        <v>97.92</v>
      </c>
      <c r="F139" t="s">
        <v>612</v>
      </c>
      <c r="G139" s="8">
        <v>-4.4999999999999997E-3</v>
      </c>
      <c r="H139" s="3">
        <f t="shared" si="2"/>
        <v>-4.4579533941235816E-3</v>
      </c>
    </row>
    <row r="140" spans="1:8" x14ac:dyDescent="0.3">
      <c r="A140" s="7">
        <v>45587</v>
      </c>
      <c r="B140">
        <v>98.36</v>
      </c>
      <c r="C140">
        <v>97.66</v>
      </c>
      <c r="D140">
        <v>98.36</v>
      </c>
      <c r="E140">
        <v>97.1</v>
      </c>
      <c r="F140" t="s">
        <v>611</v>
      </c>
      <c r="G140" s="8">
        <v>1E-3</v>
      </c>
      <c r="H140" s="3">
        <f t="shared" si="2"/>
        <v>1.0177081213107453E-3</v>
      </c>
    </row>
    <row r="141" spans="1:8" x14ac:dyDescent="0.3">
      <c r="A141" s="7">
        <v>45588</v>
      </c>
      <c r="B141">
        <v>97.46</v>
      </c>
      <c r="C141">
        <v>97.8</v>
      </c>
      <c r="D141">
        <v>98.4</v>
      </c>
      <c r="E141">
        <v>97.26</v>
      </c>
      <c r="F141" t="s">
        <v>610</v>
      </c>
      <c r="G141" s="8">
        <v>-9.1999999999999998E-3</v>
      </c>
      <c r="H141" s="3">
        <f t="shared" si="2"/>
        <v>-9.1500610004067173E-3</v>
      </c>
    </row>
    <row r="142" spans="1:8" x14ac:dyDescent="0.3">
      <c r="A142" s="7">
        <v>45589</v>
      </c>
      <c r="B142">
        <v>96.88</v>
      </c>
      <c r="C142">
        <v>97.34</v>
      </c>
      <c r="D142">
        <v>97.78</v>
      </c>
      <c r="E142">
        <v>96.86</v>
      </c>
      <c r="F142" t="s">
        <v>609</v>
      </c>
      <c r="G142" s="8">
        <v>-6.0000000000000001E-3</v>
      </c>
      <c r="H142" s="3">
        <f t="shared" si="2"/>
        <v>-5.9511594500307741E-3</v>
      </c>
    </row>
    <row r="143" spans="1:8" x14ac:dyDescent="0.3">
      <c r="A143" s="7">
        <v>45590</v>
      </c>
      <c r="B143">
        <v>99.02</v>
      </c>
      <c r="C143">
        <v>96.82</v>
      </c>
      <c r="D143">
        <v>99.66</v>
      </c>
      <c r="E143">
        <v>96.82</v>
      </c>
      <c r="F143" t="s">
        <v>608</v>
      </c>
      <c r="G143" s="8">
        <v>2.2100000000000002E-2</v>
      </c>
      <c r="H143" s="3">
        <f t="shared" si="2"/>
        <v>2.2089182493806758E-2</v>
      </c>
    </row>
    <row r="144" spans="1:8" x14ac:dyDescent="0.3">
      <c r="A144" s="7">
        <v>45593</v>
      </c>
      <c r="B144">
        <v>100.8</v>
      </c>
      <c r="C144">
        <v>99.8</v>
      </c>
      <c r="D144">
        <v>101.1</v>
      </c>
      <c r="E144">
        <v>99.56</v>
      </c>
      <c r="F144" t="s">
        <v>607</v>
      </c>
      <c r="G144" s="8">
        <v>1.7999999999999999E-2</v>
      </c>
      <c r="H144" s="3">
        <f t="shared" si="2"/>
        <v>1.7976166431024065E-2</v>
      </c>
    </row>
    <row r="145" spans="1:8" x14ac:dyDescent="0.3">
      <c r="A145" s="7">
        <v>45594</v>
      </c>
      <c r="B145">
        <v>100.85</v>
      </c>
      <c r="C145">
        <v>101.4</v>
      </c>
      <c r="D145">
        <v>102.4</v>
      </c>
      <c r="E145">
        <v>100.4</v>
      </c>
      <c r="F145" t="s">
        <v>606</v>
      </c>
      <c r="G145" s="8">
        <v>5.0000000000000001E-4</v>
      </c>
      <c r="H145" s="3">
        <f t="shared" si="2"/>
        <v>4.9603174603163325E-4</v>
      </c>
    </row>
    <row r="146" spans="1:8" x14ac:dyDescent="0.3">
      <c r="A146" s="7">
        <v>45595</v>
      </c>
      <c r="B146">
        <v>101.2</v>
      </c>
      <c r="C146">
        <v>100.55</v>
      </c>
      <c r="D146">
        <v>101.65</v>
      </c>
      <c r="E146">
        <v>99.4</v>
      </c>
      <c r="F146" t="s">
        <v>605</v>
      </c>
      <c r="G146" s="8">
        <v>3.5000000000000001E-3</v>
      </c>
      <c r="H146" s="3">
        <f t="shared" si="2"/>
        <v>3.4705007436788282E-3</v>
      </c>
    </row>
    <row r="147" spans="1:8" x14ac:dyDescent="0.3">
      <c r="A147" s="7">
        <v>45596</v>
      </c>
      <c r="B147">
        <v>101.2</v>
      </c>
      <c r="C147">
        <v>100.55</v>
      </c>
      <c r="D147">
        <v>101.65</v>
      </c>
      <c r="E147">
        <v>100.15</v>
      </c>
      <c r="F147" t="s">
        <v>604</v>
      </c>
      <c r="G147" s="8">
        <v>0</v>
      </c>
      <c r="H147" s="3">
        <f t="shared" si="2"/>
        <v>0</v>
      </c>
    </row>
    <row r="148" spans="1:8" x14ac:dyDescent="0.3">
      <c r="A148" s="7">
        <v>45597</v>
      </c>
      <c r="B148">
        <v>102.3</v>
      </c>
      <c r="C148">
        <v>101.5</v>
      </c>
      <c r="D148">
        <v>102.75</v>
      </c>
      <c r="E148">
        <v>101.35</v>
      </c>
      <c r="F148" t="s">
        <v>603</v>
      </c>
      <c r="G148" s="8">
        <v>1.09E-2</v>
      </c>
      <c r="H148" s="3">
        <f t="shared" si="2"/>
        <v>1.0869565217391353E-2</v>
      </c>
    </row>
    <row r="149" spans="1:8" x14ac:dyDescent="0.3">
      <c r="A149" s="7">
        <v>45600</v>
      </c>
      <c r="B149">
        <v>102.35</v>
      </c>
      <c r="C149">
        <v>102</v>
      </c>
      <c r="D149">
        <v>102.9</v>
      </c>
      <c r="E149">
        <v>102</v>
      </c>
      <c r="F149" t="s">
        <v>602</v>
      </c>
      <c r="G149" s="8">
        <v>5.0000000000000001E-4</v>
      </c>
      <c r="H149" s="3">
        <f t="shared" si="2"/>
        <v>4.8875855327468187E-4</v>
      </c>
    </row>
    <row r="150" spans="1:8" x14ac:dyDescent="0.3">
      <c r="A150" s="7">
        <v>45601</v>
      </c>
      <c r="B150">
        <v>105.15</v>
      </c>
      <c r="C150">
        <v>102.55</v>
      </c>
      <c r="D150">
        <v>105.2</v>
      </c>
      <c r="E150">
        <v>102.05</v>
      </c>
      <c r="F150" t="s">
        <v>601</v>
      </c>
      <c r="G150" s="8">
        <v>2.7400000000000001E-2</v>
      </c>
      <c r="H150" s="3">
        <f t="shared" si="2"/>
        <v>2.7357107962872718E-2</v>
      </c>
    </row>
    <row r="151" spans="1:8" x14ac:dyDescent="0.3">
      <c r="A151" s="7">
        <v>45602</v>
      </c>
      <c r="B151">
        <v>107.75</v>
      </c>
      <c r="C151">
        <v>108.45</v>
      </c>
      <c r="D151">
        <v>110.95</v>
      </c>
      <c r="E151">
        <v>106.95</v>
      </c>
      <c r="F151" t="s">
        <v>600</v>
      </c>
      <c r="G151" s="8">
        <v>2.47E-2</v>
      </c>
      <c r="H151" s="3">
        <f t="shared" si="2"/>
        <v>2.4726581074655307E-2</v>
      </c>
    </row>
    <row r="152" spans="1:8" x14ac:dyDescent="0.3">
      <c r="A152" s="7">
        <v>45603</v>
      </c>
      <c r="B152">
        <v>114.6</v>
      </c>
      <c r="C152">
        <v>112.05</v>
      </c>
      <c r="D152">
        <v>117</v>
      </c>
      <c r="E152">
        <v>111.3</v>
      </c>
      <c r="F152" t="s">
        <v>177</v>
      </c>
      <c r="G152" s="8">
        <v>6.3600000000000004E-2</v>
      </c>
      <c r="H152" s="3">
        <f t="shared" si="2"/>
        <v>6.3573085846867716E-2</v>
      </c>
    </row>
    <row r="153" spans="1:8" x14ac:dyDescent="0.3">
      <c r="A153" s="7">
        <v>45604</v>
      </c>
      <c r="B153">
        <v>116.25</v>
      </c>
      <c r="C153">
        <v>114.6</v>
      </c>
      <c r="D153">
        <v>117.35</v>
      </c>
      <c r="E153">
        <v>113.35</v>
      </c>
      <c r="F153" t="s">
        <v>599</v>
      </c>
      <c r="G153" s="8">
        <v>1.44E-2</v>
      </c>
      <c r="H153" s="3">
        <f t="shared" si="2"/>
        <v>1.4397905759162333E-2</v>
      </c>
    </row>
    <row r="154" spans="1:8" x14ac:dyDescent="0.3">
      <c r="A154" s="7">
        <v>45607</v>
      </c>
      <c r="B154">
        <v>121.1</v>
      </c>
      <c r="C154">
        <v>117.8</v>
      </c>
      <c r="D154">
        <v>122</v>
      </c>
      <c r="E154">
        <v>117.8</v>
      </c>
      <c r="F154" t="s">
        <v>598</v>
      </c>
      <c r="G154" s="8">
        <v>4.1700000000000001E-2</v>
      </c>
      <c r="H154" s="3">
        <f t="shared" si="2"/>
        <v>4.1720430107526907E-2</v>
      </c>
    </row>
    <row r="155" spans="1:8" x14ac:dyDescent="0.3">
      <c r="A155" s="7">
        <v>45608</v>
      </c>
      <c r="B155">
        <v>118.65</v>
      </c>
      <c r="C155">
        <v>120.6</v>
      </c>
      <c r="D155">
        <v>121.35</v>
      </c>
      <c r="E155">
        <v>117.8</v>
      </c>
      <c r="F155" t="s">
        <v>597</v>
      </c>
      <c r="G155" s="8">
        <v>-2.0199999999999999E-2</v>
      </c>
      <c r="H155" s="3">
        <f t="shared" si="2"/>
        <v>-2.0231213872832332E-2</v>
      </c>
    </row>
    <row r="156" spans="1:8" x14ac:dyDescent="0.3">
      <c r="A156" s="7">
        <v>45609</v>
      </c>
      <c r="B156">
        <v>118.55</v>
      </c>
      <c r="C156">
        <v>118.6</v>
      </c>
      <c r="D156">
        <v>120</v>
      </c>
      <c r="E156">
        <v>117.6</v>
      </c>
      <c r="F156" t="s">
        <v>596</v>
      </c>
      <c r="G156" s="8">
        <v>-8.0000000000000004E-4</v>
      </c>
      <c r="H156" s="3">
        <f t="shared" si="2"/>
        <v>-8.4281500210714455E-4</v>
      </c>
    </row>
    <row r="157" spans="1:8" x14ac:dyDescent="0.3">
      <c r="A157" s="7">
        <v>45610</v>
      </c>
      <c r="B157">
        <v>118.8</v>
      </c>
      <c r="C157">
        <v>118.25</v>
      </c>
      <c r="D157">
        <v>119.1</v>
      </c>
      <c r="E157">
        <v>117.25</v>
      </c>
      <c r="F157" t="s">
        <v>595</v>
      </c>
      <c r="G157" s="8">
        <v>2.0999999999999999E-3</v>
      </c>
      <c r="H157" s="3">
        <f t="shared" si="2"/>
        <v>2.108814846056406E-3</v>
      </c>
    </row>
    <row r="158" spans="1:8" x14ac:dyDescent="0.3">
      <c r="A158" s="7">
        <v>45611</v>
      </c>
      <c r="B158">
        <v>118</v>
      </c>
      <c r="C158">
        <v>118.25</v>
      </c>
      <c r="D158">
        <v>119.1</v>
      </c>
      <c r="E158">
        <v>117.1</v>
      </c>
      <c r="F158" t="s">
        <v>594</v>
      </c>
      <c r="G158" s="8">
        <v>-6.7000000000000002E-3</v>
      </c>
      <c r="H158" s="3">
        <f t="shared" si="2"/>
        <v>-6.7340067340067034E-3</v>
      </c>
    </row>
    <row r="159" spans="1:8" x14ac:dyDescent="0.3">
      <c r="A159" s="7">
        <v>45614</v>
      </c>
      <c r="B159">
        <v>118.4</v>
      </c>
      <c r="C159">
        <v>118.2</v>
      </c>
      <c r="D159">
        <v>118.5</v>
      </c>
      <c r="E159">
        <v>117.4</v>
      </c>
      <c r="F159" t="s">
        <v>593</v>
      </c>
      <c r="G159" s="8">
        <v>3.3999999999999998E-3</v>
      </c>
      <c r="H159" s="3">
        <f t="shared" si="2"/>
        <v>3.3898305084745228E-3</v>
      </c>
    </row>
    <row r="160" spans="1:8" x14ac:dyDescent="0.3">
      <c r="A160" s="7">
        <v>45615</v>
      </c>
      <c r="B160">
        <v>118.3</v>
      </c>
      <c r="C160">
        <v>118.2</v>
      </c>
      <c r="D160">
        <v>118.75</v>
      </c>
      <c r="E160">
        <v>115.6</v>
      </c>
      <c r="F160" t="s">
        <v>592</v>
      </c>
      <c r="G160" s="8">
        <v>-8.0000000000000004E-4</v>
      </c>
      <c r="H160" s="3">
        <f t="shared" si="2"/>
        <v>-8.445945945946276E-4</v>
      </c>
    </row>
    <row r="161" spans="1:8" x14ac:dyDescent="0.3">
      <c r="A161" s="7">
        <v>45616</v>
      </c>
      <c r="B161">
        <v>118.15</v>
      </c>
      <c r="C161">
        <v>120.5</v>
      </c>
      <c r="D161">
        <v>121</v>
      </c>
      <c r="E161">
        <v>118.15</v>
      </c>
      <c r="F161" t="s">
        <v>591</v>
      </c>
      <c r="G161" s="8">
        <v>-1.2999999999999999E-3</v>
      </c>
      <c r="H161" s="3">
        <f t="shared" si="2"/>
        <v>-1.2679628064242721E-3</v>
      </c>
    </row>
    <row r="162" spans="1:8" x14ac:dyDescent="0.3">
      <c r="A162" s="7">
        <v>45617</v>
      </c>
      <c r="B162">
        <v>118.3</v>
      </c>
      <c r="C162">
        <v>118.45</v>
      </c>
      <c r="D162">
        <v>118.85</v>
      </c>
      <c r="E162">
        <v>117.2</v>
      </c>
      <c r="F162" t="s">
        <v>590</v>
      </c>
      <c r="G162" s="8">
        <v>1.2999999999999999E-3</v>
      </c>
      <c r="H162" s="3">
        <f t="shared" si="2"/>
        <v>1.2695725772322586E-3</v>
      </c>
    </row>
    <row r="163" spans="1:8" x14ac:dyDescent="0.3">
      <c r="A163" s="7">
        <v>45618</v>
      </c>
      <c r="B163">
        <v>118.8</v>
      </c>
      <c r="C163">
        <v>118.55</v>
      </c>
      <c r="D163">
        <v>119.55</v>
      </c>
      <c r="E163">
        <v>117.1</v>
      </c>
      <c r="F163" t="s">
        <v>589</v>
      </c>
      <c r="G163" s="8">
        <v>4.1999999999999997E-3</v>
      </c>
      <c r="H163" s="3">
        <f t="shared" si="2"/>
        <v>4.2265426880812029E-3</v>
      </c>
    </row>
    <row r="164" spans="1:8" x14ac:dyDescent="0.3">
      <c r="A164" s="7">
        <v>45621</v>
      </c>
      <c r="B164">
        <v>119.6</v>
      </c>
      <c r="C164">
        <v>119.8</v>
      </c>
      <c r="D164">
        <v>120.45</v>
      </c>
      <c r="E164">
        <v>119.05</v>
      </c>
      <c r="F164" t="s">
        <v>588</v>
      </c>
      <c r="G164" s="8">
        <v>6.7000000000000002E-3</v>
      </c>
      <c r="H164" s="3">
        <f t="shared" si="2"/>
        <v>6.7340067340067034E-3</v>
      </c>
    </row>
    <row r="165" spans="1:8" x14ac:dyDescent="0.3">
      <c r="A165" s="7">
        <v>45622</v>
      </c>
      <c r="B165">
        <v>118.45</v>
      </c>
      <c r="C165">
        <v>118.7</v>
      </c>
      <c r="D165">
        <v>119.15</v>
      </c>
      <c r="E165">
        <v>117.75</v>
      </c>
      <c r="F165" t="s">
        <v>587</v>
      </c>
      <c r="G165" s="8">
        <v>-9.5999999999999992E-3</v>
      </c>
      <c r="H165" s="3">
        <f t="shared" si="2"/>
        <v>-9.6153846153845812E-3</v>
      </c>
    </row>
    <row r="166" spans="1:8" x14ac:dyDescent="0.3">
      <c r="A166" s="7">
        <v>45623</v>
      </c>
      <c r="B166">
        <v>117.8</v>
      </c>
      <c r="C166">
        <v>118.5</v>
      </c>
      <c r="D166">
        <v>118.7</v>
      </c>
      <c r="E166">
        <v>117</v>
      </c>
      <c r="F166" t="s">
        <v>586</v>
      </c>
      <c r="G166" s="8">
        <v>-5.4999999999999997E-3</v>
      </c>
      <c r="H166" s="3">
        <f t="shared" si="2"/>
        <v>-5.487547488391753E-3</v>
      </c>
    </row>
    <row r="167" spans="1:8" x14ac:dyDescent="0.3">
      <c r="A167" s="7">
        <v>45624</v>
      </c>
      <c r="B167">
        <v>119.15</v>
      </c>
      <c r="C167">
        <v>118.5</v>
      </c>
      <c r="D167">
        <v>119.4</v>
      </c>
      <c r="E167">
        <v>117.9</v>
      </c>
      <c r="F167" t="s">
        <v>585</v>
      </c>
      <c r="G167" s="8">
        <v>1.15E-2</v>
      </c>
      <c r="H167" s="3">
        <f t="shared" si="2"/>
        <v>1.1460101867572181E-2</v>
      </c>
    </row>
    <row r="168" spans="1:8" x14ac:dyDescent="0.3">
      <c r="A168" s="7">
        <v>45625</v>
      </c>
      <c r="B168">
        <v>119.4</v>
      </c>
      <c r="C168">
        <v>119.1</v>
      </c>
      <c r="D168">
        <v>119.75</v>
      </c>
      <c r="E168">
        <v>118.15</v>
      </c>
      <c r="F168" t="s">
        <v>584</v>
      </c>
      <c r="G168" s="8">
        <v>2.0999999999999999E-3</v>
      </c>
      <c r="H168" s="3">
        <f t="shared" si="2"/>
        <v>2.0981955518253326E-3</v>
      </c>
    </row>
    <row r="169" spans="1:8" x14ac:dyDescent="0.3">
      <c r="A169" s="7">
        <v>45628</v>
      </c>
      <c r="B169">
        <v>120</v>
      </c>
      <c r="C169">
        <v>119.45</v>
      </c>
      <c r="D169">
        <v>120.7</v>
      </c>
      <c r="E169">
        <v>119.2</v>
      </c>
      <c r="F169" t="s">
        <v>583</v>
      </c>
      <c r="G169" s="8">
        <v>5.0000000000000001E-3</v>
      </c>
      <c r="H169" s="3">
        <f t="shared" si="2"/>
        <v>5.0251256281406143E-3</v>
      </c>
    </row>
    <row r="170" spans="1:8" x14ac:dyDescent="0.3">
      <c r="A170" s="7">
        <v>45629</v>
      </c>
      <c r="B170">
        <v>123.85</v>
      </c>
      <c r="C170">
        <v>120.25</v>
      </c>
      <c r="D170">
        <v>124.1</v>
      </c>
      <c r="E170">
        <v>120.25</v>
      </c>
      <c r="F170" t="s">
        <v>582</v>
      </c>
      <c r="G170" s="8">
        <v>3.2099999999999997E-2</v>
      </c>
      <c r="H170" s="3">
        <f t="shared" si="2"/>
        <v>3.2083333333333242E-2</v>
      </c>
    </row>
    <row r="171" spans="1:8" x14ac:dyDescent="0.3">
      <c r="A171" s="7">
        <v>45630</v>
      </c>
      <c r="B171">
        <v>120.8</v>
      </c>
      <c r="C171">
        <v>124.15</v>
      </c>
      <c r="D171">
        <v>124.9</v>
      </c>
      <c r="E171">
        <v>120.6</v>
      </c>
      <c r="F171" t="s">
        <v>581</v>
      </c>
      <c r="G171" s="8">
        <v>-2.46E-2</v>
      </c>
      <c r="H171" s="3">
        <f t="shared" si="2"/>
        <v>-2.4626564392410177E-2</v>
      </c>
    </row>
    <row r="172" spans="1:8" x14ac:dyDescent="0.3">
      <c r="A172" s="7">
        <v>45631</v>
      </c>
      <c r="B172">
        <v>123.55</v>
      </c>
      <c r="C172">
        <v>121.1</v>
      </c>
      <c r="D172">
        <v>123.6</v>
      </c>
      <c r="E172">
        <v>121.05</v>
      </c>
      <c r="F172" t="s">
        <v>580</v>
      </c>
      <c r="G172" s="8">
        <v>2.2800000000000001E-2</v>
      </c>
      <c r="H172" s="3">
        <f t="shared" si="2"/>
        <v>2.2764900662251675E-2</v>
      </c>
    </row>
    <row r="173" spans="1:8" x14ac:dyDescent="0.3">
      <c r="A173" s="7">
        <v>45632</v>
      </c>
      <c r="B173">
        <v>122.55</v>
      </c>
      <c r="C173">
        <v>123.3</v>
      </c>
      <c r="D173">
        <v>123.45</v>
      </c>
      <c r="E173">
        <v>121.9</v>
      </c>
      <c r="F173" t="s">
        <v>579</v>
      </c>
      <c r="G173" s="8">
        <v>-8.0999999999999996E-3</v>
      </c>
      <c r="H173" s="3">
        <f t="shared" si="2"/>
        <v>-8.0938891137191105E-3</v>
      </c>
    </row>
    <row r="174" spans="1:8" x14ac:dyDescent="0.3">
      <c r="A174" s="7">
        <v>45635</v>
      </c>
      <c r="B174">
        <v>122.2</v>
      </c>
      <c r="C174">
        <v>122.9</v>
      </c>
      <c r="D174">
        <v>123.3</v>
      </c>
      <c r="E174">
        <v>121.8</v>
      </c>
      <c r="F174" t="s">
        <v>578</v>
      </c>
      <c r="G174" s="8">
        <v>-2.8999999999999998E-3</v>
      </c>
      <c r="H174" s="3">
        <f t="shared" si="2"/>
        <v>-2.8559771521827759E-3</v>
      </c>
    </row>
    <row r="175" spans="1:8" x14ac:dyDescent="0.3">
      <c r="A175" s="7">
        <v>45636</v>
      </c>
      <c r="B175">
        <v>123.6</v>
      </c>
      <c r="C175">
        <v>121.95</v>
      </c>
      <c r="D175">
        <v>124.65</v>
      </c>
      <c r="E175">
        <v>121.95</v>
      </c>
      <c r="F175" t="s">
        <v>577</v>
      </c>
      <c r="G175" s="8">
        <v>1.15E-2</v>
      </c>
      <c r="H175" s="3">
        <f t="shared" si="2"/>
        <v>1.1456628477904962E-2</v>
      </c>
    </row>
    <row r="176" spans="1:8" x14ac:dyDescent="0.3">
      <c r="A176" s="7">
        <v>45637</v>
      </c>
      <c r="B176">
        <v>126.9</v>
      </c>
      <c r="C176">
        <v>123.3</v>
      </c>
      <c r="D176">
        <v>126.9</v>
      </c>
      <c r="E176">
        <v>122.05</v>
      </c>
      <c r="F176" t="s">
        <v>576</v>
      </c>
      <c r="G176" s="8">
        <v>2.6700000000000002E-2</v>
      </c>
      <c r="H176" s="3">
        <f t="shared" si="2"/>
        <v>2.6699029126213691E-2</v>
      </c>
    </row>
    <row r="177" spans="1:8" x14ac:dyDescent="0.3">
      <c r="A177" s="7">
        <v>45638</v>
      </c>
      <c r="B177">
        <v>125.6</v>
      </c>
      <c r="C177">
        <v>126.5</v>
      </c>
      <c r="D177">
        <v>127.1</v>
      </c>
      <c r="E177">
        <v>125.25</v>
      </c>
      <c r="F177" t="s">
        <v>575</v>
      </c>
      <c r="G177" s="8">
        <v>-1.0200000000000001E-2</v>
      </c>
      <c r="H177" s="3">
        <f t="shared" si="2"/>
        <v>-1.0244286840031647E-2</v>
      </c>
    </row>
    <row r="178" spans="1:8" x14ac:dyDescent="0.3">
      <c r="A178" s="7">
        <v>45639</v>
      </c>
      <c r="B178">
        <v>125.1</v>
      </c>
      <c r="C178">
        <v>125.55</v>
      </c>
      <c r="D178">
        <v>126.45</v>
      </c>
      <c r="E178">
        <v>124.85</v>
      </c>
      <c r="F178" t="s">
        <v>574</v>
      </c>
      <c r="G178" s="8">
        <v>-4.0000000000000001E-3</v>
      </c>
      <c r="H178" s="3">
        <f t="shared" si="2"/>
        <v>-3.9808917197452498E-3</v>
      </c>
    </row>
    <row r="179" spans="1:8" x14ac:dyDescent="0.3">
      <c r="A179" s="7">
        <v>45642</v>
      </c>
      <c r="B179">
        <v>123.55</v>
      </c>
      <c r="C179">
        <v>125</v>
      </c>
      <c r="D179">
        <v>125.4</v>
      </c>
      <c r="E179">
        <v>123.1</v>
      </c>
      <c r="F179" t="s">
        <v>573</v>
      </c>
      <c r="G179" s="8">
        <v>-1.24E-2</v>
      </c>
      <c r="H179" s="3">
        <f t="shared" si="2"/>
        <v>-1.2390087929656235E-2</v>
      </c>
    </row>
    <row r="180" spans="1:8" x14ac:dyDescent="0.3">
      <c r="A180" s="7">
        <v>45643</v>
      </c>
      <c r="B180">
        <v>123.2</v>
      </c>
      <c r="C180">
        <v>123.25</v>
      </c>
      <c r="D180">
        <v>123.55</v>
      </c>
      <c r="E180">
        <v>122.3</v>
      </c>
      <c r="F180" t="s">
        <v>572</v>
      </c>
      <c r="G180" s="8">
        <v>-2.8E-3</v>
      </c>
      <c r="H180" s="3">
        <f t="shared" si="2"/>
        <v>-2.8328611898016387E-3</v>
      </c>
    </row>
    <row r="181" spans="1:8" x14ac:dyDescent="0.3">
      <c r="A181" s="7">
        <v>45644</v>
      </c>
      <c r="B181">
        <v>123.5</v>
      </c>
      <c r="C181">
        <v>122.65</v>
      </c>
      <c r="D181">
        <v>123.8</v>
      </c>
      <c r="E181">
        <v>122.1</v>
      </c>
      <c r="F181" t="s">
        <v>571</v>
      </c>
      <c r="G181" s="8">
        <v>2.3999999999999998E-3</v>
      </c>
      <c r="H181" s="3">
        <f t="shared" si="2"/>
        <v>2.4350649350648457E-3</v>
      </c>
    </row>
    <row r="182" spans="1:8" x14ac:dyDescent="0.3">
      <c r="A182" s="7">
        <v>45645</v>
      </c>
      <c r="B182">
        <v>120.3</v>
      </c>
      <c r="C182">
        <v>121</v>
      </c>
      <c r="D182">
        <v>122.05</v>
      </c>
      <c r="E182">
        <v>119.5</v>
      </c>
      <c r="F182" t="s">
        <v>570</v>
      </c>
      <c r="G182" s="8">
        <v>-2.5899999999999999E-2</v>
      </c>
      <c r="H182" s="3">
        <f t="shared" si="2"/>
        <v>-2.5910931174089047E-2</v>
      </c>
    </row>
    <row r="183" spans="1:8" x14ac:dyDescent="0.3">
      <c r="A183" s="7">
        <v>45646</v>
      </c>
      <c r="B183">
        <v>119.2</v>
      </c>
      <c r="C183">
        <v>119.1</v>
      </c>
      <c r="D183">
        <v>119.7</v>
      </c>
      <c r="E183">
        <v>117.85</v>
      </c>
      <c r="F183" t="s">
        <v>166</v>
      </c>
      <c r="G183" s="8">
        <v>-9.1000000000000004E-3</v>
      </c>
      <c r="H183" s="3">
        <f t="shared" si="2"/>
        <v>-9.1438071487945916E-3</v>
      </c>
    </row>
    <row r="184" spans="1:8" x14ac:dyDescent="0.3">
      <c r="A184" s="7">
        <v>45649</v>
      </c>
      <c r="B184">
        <v>120.35</v>
      </c>
      <c r="C184">
        <v>119.3</v>
      </c>
      <c r="D184">
        <v>120.5</v>
      </c>
      <c r="E184">
        <v>118.75</v>
      </c>
      <c r="F184" t="s">
        <v>569</v>
      </c>
      <c r="G184" s="8">
        <v>9.5999999999999992E-3</v>
      </c>
      <c r="H184" s="3">
        <f t="shared" si="2"/>
        <v>9.6476510067113885E-3</v>
      </c>
    </row>
    <row r="185" spans="1:8" x14ac:dyDescent="0.3">
      <c r="A185" s="7">
        <v>45653</v>
      </c>
      <c r="B185">
        <v>120</v>
      </c>
      <c r="C185">
        <v>120.25</v>
      </c>
      <c r="D185">
        <v>120.85</v>
      </c>
      <c r="E185">
        <v>119.25</v>
      </c>
      <c r="F185" t="s">
        <v>568</v>
      </c>
      <c r="G185" s="8">
        <v>-2.8999999999999998E-3</v>
      </c>
      <c r="H185" s="3">
        <f t="shared" si="2"/>
        <v>-2.9081844619858188E-3</v>
      </c>
    </row>
    <row r="186" spans="1:8" x14ac:dyDescent="0.3">
      <c r="A186" s="7">
        <v>45656</v>
      </c>
      <c r="B186">
        <v>119.3</v>
      </c>
      <c r="C186">
        <v>119.45</v>
      </c>
      <c r="D186">
        <v>119.75</v>
      </c>
      <c r="E186">
        <v>119</v>
      </c>
      <c r="F186" t="s">
        <v>567</v>
      </c>
      <c r="G186" s="8">
        <v>-5.7999999999999996E-3</v>
      </c>
      <c r="H186" s="3">
        <f t="shared" si="2"/>
        <v>-5.833333333333357E-3</v>
      </c>
    </row>
    <row r="187" spans="1:8" x14ac:dyDescent="0.3">
      <c r="A187" s="7">
        <v>45659</v>
      </c>
      <c r="B187">
        <v>120.6</v>
      </c>
      <c r="C187">
        <v>119.85</v>
      </c>
      <c r="D187">
        <v>120.8</v>
      </c>
      <c r="E187">
        <v>118.9</v>
      </c>
      <c r="F187" t="s">
        <v>566</v>
      </c>
      <c r="G187" s="8">
        <v>1.09E-2</v>
      </c>
      <c r="H187" s="3">
        <f t="shared" si="2"/>
        <v>1.0896898575020852E-2</v>
      </c>
    </row>
    <row r="188" spans="1:8" x14ac:dyDescent="0.3">
      <c r="A188" s="7">
        <v>45660</v>
      </c>
      <c r="B188">
        <v>120.1</v>
      </c>
      <c r="C188">
        <v>120.2</v>
      </c>
      <c r="D188">
        <v>120.6</v>
      </c>
      <c r="E188">
        <v>119.55</v>
      </c>
      <c r="F188" t="s">
        <v>565</v>
      </c>
      <c r="G188" s="8">
        <v>-4.1000000000000003E-3</v>
      </c>
      <c r="H188" s="3">
        <f t="shared" si="2"/>
        <v>-4.1459369817579139E-3</v>
      </c>
    </row>
    <row r="189" spans="1:8" x14ac:dyDescent="0.3">
      <c r="A189" s="7">
        <v>45663</v>
      </c>
      <c r="B189">
        <v>122.65</v>
      </c>
      <c r="C189">
        <v>120.9</v>
      </c>
      <c r="D189">
        <v>122.65</v>
      </c>
      <c r="E189">
        <v>119.35</v>
      </c>
      <c r="F189" t="s">
        <v>564</v>
      </c>
      <c r="G189" s="8">
        <v>2.12E-2</v>
      </c>
      <c r="H189" s="3">
        <f t="shared" si="2"/>
        <v>2.1232306411324009E-2</v>
      </c>
    </row>
    <row r="190" spans="1:8" x14ac:dyDescent="0.3">
      <c r="A190" s="7">
        <v>45664</v>
      </c>
      <c r="B190">
        <v>121.7</v>
      </c>
      <c r="C190">
        <v>122.3</v>
      </c>
      <c r="D190">
        <v>124</v>
      </c>
      <c r="E190">
        <v>120.2</v>
      </c>
      <c r="F190" t="s">
        <v>563</v>
      </c>
      <c r="G190" s="8">
        <v>-7.7000000000000002E-3</v>
      </c>
      <c r="H190" s="3">
        <f t="shared" si="2"/>
        <v>-7.7456176110884956E-3</v>
      </c>
    </row>
    <row r="191" spans="1:8" x14ac:dyDescent="0.3">
      <c r="A191" s="7">
        <v>45665</v>
      </c>
      <c r="B191">
        <v>125.1</v>
      </c>
      <c r="C191">
        <v>122.65</v>
      </c>
      <c r="D191">
        <v>126.25</v>
      </c>
      <c r="E191">
        <v>122.65</v>
      </c>
      <c r="F191" t="s">
        <v>562</v>
      </c>
      <c r="G191" s="8">
        <v>2.7900000000000001E-2</v>
      </c>
      <c r="H191" s="3">
        <f t="shared" si="2"/>
        <v>2.79375513557929E-2</v>
      </c>
    </row>
    <row r="192" spans="1:8" x14ac:dyDescent="0.3">
      <c r="A192" s="7">
        <v>45666</v>
      </c>
      <c r="B192">
        <v>127.8</v>
      </c>
      <c r="C192">
        <v>124.3</v>
      </c>
      <c r="D192">
        <v>127.9</v>
      </c>
      <c r="E192">
        <v>123.75</v>
      </c>
      <c r="F192" t="s">
        <v>561</v>
      </c>
      <c r="G192" s="8">
        <v>2.1600000000000001E-2</v>
      </c>
      <c r="H192" s="3">
        <f t="shared" si="2"/>
        <v>2.1582733812949728E-2</v>
      </c>
    </row>
    <row r="193" spans="1:8" x14ac:dyDescent="0.3">
      <c r="A193" s="7">
        <v>45667</v>
      </c>
      <c r="B193">
        <v>125.85</v>
      </c>
      <c r="C193">
        <v>128.05000000000001</v>
      </c>
      <c r="D193">
        <v>128.65</v>
      </c>
      <c r="E193">
        <v>125.15</v>
      </c>
      <c r="F193" t="s">
        <v>560</v>
      </c>
      <c r="G193" s="8">
        <v>-1.5299999999999999E-2</v>
      </c>
      <c r="H193" s="3">
        <f t="shared" si="2"/>
        <v>-1.5258215962441368E-2</v>
      </c>
    </row>
    <row r="194" spans="1:8" x14ac:dyDescent="0.3">
      <c r="A194" s="7">
        <v>45670</v>
      </c>
      <c r="B194">
        <v>123.15</v>
      </c>
      <c r="C194">
        <v>125.1</v>
      </c>
      <c r="D194">
        <v>125.45</v>
      </c>
      <c r="E194">
        <v>122.7</v>
      </c>
      <c r="F194" t="s">
        <v>559</v>
      </c>
      <c r="G194" s="8">
        <v>-2.1499999999999998E-2</v>
      </c>
      <c r="H194" s="3">
        <f t="shared" si="2"/>
        <v>-2.1454112038140516E-2</v>
      </c>
    </row>
    <row r="195" spans="1:8" x14ac:dyDescent="0.3">
      <c r="A195" s="7">
        <v>45671</v>
      </c>
      <c r="B195">
        <v>124.35</v>
      </c>
      <c r="C195">
        <v>124.15</v>
      </c>
      <c r="D195">
        <v>125.1</v>
      </c>
      <c r="E195">
        <v>123.35</v>
      </c>
      <c r="F195" t="s">
        <v>558</v>
      </c>
      <c r="G195" s="8">
        <v>9.7000000000000003E-3</v>
      </c>
      <c r="H195" s="3">
        <f t="shared" si="2"/>
        <v>9.744214372715998E-3</v>
      </c>
    </row>
    <row r="196" spans="1:8" x14ac:dyDescent="0.3">
      <c r="A196" s="7">
        <v>45672</v>
      </c>
      <c r="B196">
        <v>127.55</v>
      </c>
      <c r="C196">
        <v>123.7</v>
      </c>
      <c r="D196">
        <v>127.6</v>
      </c>
      <c r="E196">
        <v>123.1</v>
      </c>
      <c r="F196" t="s">
        <v>557</v>
      </c>
      <c r="G196" s="8">
        <v>2.5700000000000001E-2</v>
      </c>
      <c r="H196" s="3">
        <f t="shared" ref="H196:H250" si="3">(B196/B195)-1</f>
        <v>2.5733815842380325E-2</v>
      </c>
    </row>
    <row r="197" spans="1:8" x14ac:dyDescent="0.3">
      <c r="A197" s="7">
        <v>45673</v>
      </c>
      <c r="B197">
        <v>125.75</v>
      </c>
      <c r="C197">
        <v>127.45</v>
      </c>
      <c r="D197">
        <v>127.45</v>
      </c>
      <c r="E197">
        <v>124.8</v>
      </c>
      <c r="F197" t="s">
        <v>556</v>
      </c>
      <c r="G197" s="8">
        <v>-1.41E-2</v>
      </c>
      <c r="H197" s="3">
        <f t="shared" si="3"/>
        <v>-1.4112112896903173E-2</v>
      </c>
    </row>
    <row r="198" spans="1:8" x14ac:dyDescent="0.3">
      <c r="A198" s="7">
        <v>45674</v>
      </c>
      <c r="B198">
        <v>129.55000000000001</v>
      </c>
      <c r="C198">
        <v>126.5</v>
      </c>
      <c r="D198">
        <v>129.75</v>
      </c>
      <c r="E198">
        <v>126.4</v>
      </c>
      <c r="F198" t="s">
        <v>555</v>
      </c>
      <c r="G198" s="8">
        <v>3.0200000000000001E-2</v>
      </c>
      <c r="H198" s="3">
        <f t="shared" si="3"/>
        <v>3.0218687872763494E-2</v>
      </c>
    </row>
    <row r="199" spans="1:8" x14ac:dyDescent="0.3">
      <c r="A199" s="7">
        <v>45677</v>
      </c>
      <c r="B199">
        <v>130.5</v>
      </c>
      <c r="C199">
        <v>129.6</v>
      </c>
      <c r="D199">
        <v>130.6</v>
      </c>
      <c r="E199">
        <v>128.5</v>
      </c>
      <c r="F199" t="s">
        <v>554</v>
      </c>
      <c r="G199" s="8">
        <v>7.3000000000000001E-3</v>
      </c>
      <c r="H199" s="3">
        <f t="shared" si="3"/>
        <v>7.3330760324197275E-3</v>
      </c>
    </row>
    <row r="200" spans="1:8" x14ac:dyDescent="0.3">
      <c r="A200" s="7">
        <v>45678</v>
      </c>
      <c r="B200">
        <v>131.94999999999999</v>
      </c>
      <c r="C200">
        <v>129.94999999999999</v>
      </c>
      <c r="D200">
        <v>132.55000000000001</v>
      </c>
      <c r="E200">
        <v>128.85</v>
      </c>
      <c r="F200" t="s">
        <v>553</v>
      </c>
      <c r="G200" s="8">
        <v>1.11E-2</v>
      </c>
      <c r="H200" s="3">
        <f t="shared" si="3"/>
        <v>1.1111111111111072E-2</v>
      </c>
    </row>
    <row r="201" spans="1:8" x14ac:dyDescent="0.3">
      <c r="A201" s="7">
        <v>45679</v>
      </c>
      <c r="B201">
        <v>133.85</v>
      </c>
      <c r="C201">
        <v>132.35</v>
      </c>
      <c r="D201">
        <v>133.94999999999999</v>
      </c>
      <c r="E201">
        <v>131.55000000000001</v>
      </c>
      <c r="F201" t="s">
        <v>552</v>
      </c>
      <c r="G201" s="8">
        <v>1.44E-2</v>
      </c>
      <c r="H201" s="3">
        <f t="shared" si="3"/>
        <v>1.4399393709738639E-2</v>
      </c>
    </row>
    <row r="202" spans="1:8" x14ac:dyDescent="0.3">
      <c r="A202" s="7">
        <v>45680</v>
      </c>
      <c r="B202">
        <v>134.44999999999999</v>
      </c>
      <c r="C202">
        <v>132.15</v>
      </c>
      <c r="D202">
        <v>134.69999999999999</v>
      </c>
      <c r="E202">
        <v>131.19999999999999</v>
      </c>
      <c r="F202" t="s">
        <v>551</v>
      </c>
      <c r="G202" s="8">
        <v>4.4999999999999997E-3</v>
      </c>
      <c r="H202" s="3">
        <f t="shared" si="3"/>
        <v>4.4826298094882144E-3</v>
      </c>
    </row>
    <row r="203" spans="1:8" x14ac:dyDescent="0.3">
      <c r="A203" s="7">
        <v>45681</v>
      </c>
      <c r="B203">
        <v>137.25</v>
      </c>
      <c r="C203">
        <v>135.15</v>
      </c>
      <c r="D203">
        <v>137.30000000000001</v>
      </c>
      <c r="E203">
        <v>134.94999999999999</v>
      </c>
      <c r="F203" t="s">
        <v>550</v>
      </c>
      <c r="G203" s="8">
        <v>2.0799999999999999E-2</v>
      </c>
      <c r="H203" s="3">
        <f t="shared" si="3"/>
        <v>2.0825585719598472E-2</v>
      </c>
    </row>
    <row r="204" spans="1:8" x14ac:dyDescent="0.3">
      <c r="A204" s="7">
        <v>45684</v>
      </c>
      <c r="B204">
        <v>134.9</v>
      </c>
      <c r="C204">
        <v>135.85</v>
      </c>
      <c r="D204">
        <v>136.35</v>
      </c>
      <c r="E204">
        <v>134.05000000000001</v>
      </c>
      <c r="F204" t="s">
        <v>549</v>
      </c>
      <c r="G204" s="8">
        <v>-1.7100000000000001E-2</v>
      </c>
      <c r="H204" s="3">
        <f t="shared" si="3"/>
        <v>-1.7122040072859668E-2</v>
      </c>
    </row>
    <row r="205" spans="1:8" x14ac:dyDescent="0.3">
      <c r="A205" s="7">
        <v>45685</v>
      </c>
      <c r="B205">
        <v>134.1</v>
      </c>
      <c r="C205">
        <v>134.5</v>
      </c>
      <c r="D205">
        <v>134.9</v>
      </c>
      <c r="E205">
        <v>132.5</v>
      </c>
      <c r="F205" t="s">
        <v>548</v>
      </c>
      <c r="G205" s="8">
        <v>-5.8999999999999999E-3</v>
      </c>
      <c r="H205" s="3">
        <f t="shared" si="3"/>
        <v>-5.9303187546331237E-3</v>
      </c>
    </row>
    <row r="206" spans="1:8" x14ac:dyDescent="0.3">
      <c r="A206" s="7">
        <v>45686</v>
      </c>
      <c r="B206">
        <v>134.80000000000001</v>
      </c>
      <c r="C206">
        <v>135.4</v>
      </c>
      <c r="D206">
        <v>136.30000000000001</v>
      </c>
      <c r="E206">
        <v>134.55000000000001</v>
      </c>
      <c r="F206" t="s">
        <v>547</v>
      </c>
      <c r="G206" s="8">
        <v>5.1999999999999998E-3</v>
      </c>
      <c r="H206" s="3">
        <f t="shared" si="3"/>
        <v>5.2199850857570507E-3</v>
      </c>
    </row>
    <row r="207" spans="1:8" x14ac:dyDescent="0.3">
      <c r="A207" s="7">
        <v>45687</v>
      </c>
      <c r="B207">
        <v>136.25</v>
      </c>
      <c r="C207">
        <v>136</v>
      </c>
      <c r="D207">
        <v>137.9</v>
      </c>
      <c r="E207">
        <v>135.65</v>
      </c>
      <c r="F207" t="s">
        <v>546</v>
      </c>
      <c r="G207" s="8">
        <v>1.0800000000000001E-2</v>
      </c>
      <c r="H207" s="3">
        <f t="shared" si="3"/>
        <v>1.0756676557863498E-2</v>
      </c>
    </row>
    <row r="208" spans="1:8" x14ac:dyDescent="0.3">
      <c r="A208" s="7">
        <v>45688</v>
      </c>
      <c r="B208">
        <v>136.44999999999999</v>
      </c>
      <c r="C208">
        <v>137</v>
      </c>
      <c r="D208">
        <v>137.69999999999999</v>
      </c>
      <c r="E208">
        <v>135.69999999999999</v>
      </c>
      <c r="F208" t="s">
        <v>545</v>
      </c>
      <c r="G208" s="8">
        <v>1.5E-3</v>
      </c>
      <c r="H208" s="3">
        <f t="shared" si="3"/>
        <v>1.4678899082567476E-3</v>
      </c>
    </row>
    <row r="209" spans="1:8" x14ac:dyDescent="0.3">
      <c r="A209" s="7">
        <v>45691</v>
      </c>
      <c r="B209">
        <v>135.4</v>
      </c>
      <c r="C209">
        <v>133.4</v>
      </c>
      <c r="D209">
        <v>136.25</v>
      </c>
      <c r="E209">
        <v>133.05000000000001</v>
      </c>
      <c r="F209" t="s">
        <v>544</v>
      </c>
      <c r="G209" s="8">
        <v>-7.7000000000000002E-3</v>
      </c>
      <c r="H209" s="3">
        <f t="shared" si="3"/>
        <v>-7.695126419933862E-3</v>
      </c>
    </row>
    <row r="210" spans="1:8" x14ac:dyDescent="0.3">
      <c r="A210" s="7">
        <v>45692</v>
      </c>
      <c r="B210">
        <v>135.15</v>
      </c>
      <c r="C210">
        <v>135.75</v>
      </c>
      <c r="D210">
        <v>136.35</v>
      </c>
      <c r="E210">
        <v>134.1</v>
      </c>
      <c r="F210" t="s">
        <v>543</v>
      </c>
      <c r="G210" s="8">
        <v>-1.8E-3</v>
      </c>
      <c r="H210" s="3">
        <f t="shared" si="3"/>
        <v>-1.8463810930575697E-3</v>
      </c>
    </row>
    <row r="211" spans="1:8" x14ac:dyDescent="0.3">
      <c r="A211" s="7">
        <v>45693</v>
      </c>
      <c r="B211">
        <v>136.6</v>
      </c>
      <c r="C211">
        <v>134.5</v>
      </c>
      <c r="D211">
        <v>136.6</v>
      </c>
      <c r="E211">
        <v>133.6</v>
      </c>
      <c r="F211" t="s">
        <v>542</v>
      </c>
      <c r="G211" s="8">
        <v>1.0699999999999999E-2</v>
      </c>
      <c r="H211" s="3">
        <f t="shared" si="3"/>
        <v>1.0728819829818548E-2</v>
      </c>
    </row>
    <row r="212" spans="1:8" x14ac:dyDescent="0.3">
      <c r="A212" s="7">
        <v>45694</v>
      </c>
      <c r="B212">
        <v>143.5</v>
      </c>
      <c r="C212">
        <v>137.69999999999999</v>
      </c>
      <c r="D212">
        <v>144.19999999999999</v>
      </c>
      <c r="E212">
        <v>137.05000000000001</v>
      </c>
      <c r="F212" t="s">
        <v>541</v>
      </c>
      <c r="G212" s="8">
        <v>5.0500000000000003E-2</v>
      </c>
      <c r="H212" s="3">
        <f t="shared" si="3"/>
        <v>5.051244509516839E-2</v>
      </c>
    </row>
    <row r="213" spans="1:8" x14ac:dyDescent="0.3">
      <c r="A213" s="7">
        <v>45695</v>
      </c>
      <c r="B213">
        <v>145.65</v>
      </c>
      <c r="C213">
        <v>144.75</v>
      </c>
      <c r="D213">
        <v>146.5</v>
      </c>
      <c r="E213">
        <v>143.30000000000001</v>
      </c>
      <c r="F213" t="s">
        <v>540</v>
      </c>
      <c r="G213" s="8">
        <v>1.4999999999999999E-2</v>
      </c>
      <c r="H213" s="3">
        <f t="shared" si="3"/>
        <v>1.498257839721262E-2</v>
      </c>
    </row>
    <row r="214" spans="1:8" x14ac:dyDescent="0.3">
      <c r="A214" s="7">
        <v>45698</v>
      </c>
      <c r="B214">
        <v>145.85</v>
      </c>
      <c r="C214">
        <v>145.44999999999999</v>
      </c>
      <c r="D214">
        <v>146.25</v>
      </c>
      <c r="E214">
        <v>144.75</v>
      </c>
      <c r="F214" t="s">
        <v>539</v>
      </c>
      <c r="G214" s="8">
        <v>1.4E-3</v>
      </c>
      <c r="H214" s="3">
        <f t="shared" si="3"/>
        <v>1.373154823206324E-3</v>
      </c>
    </row>
    <row r="215" spans="1:8" x14ac:dyDescent="0.3">
      <c r="A215" s="7">
        <v>45699</v>
      </c>
      <c r="B215">
        <v>144.94999999999999</v>
      </c>
      <c r="C215">
        <v>145.4</v>
      </c>
      <c r="D215">
        <v>146.85</v>
      </c>
      <c r="E215">
        <v>144.4</v>
      </c>
      <c r="F215" t="s">
        <v>538</v>
      </c>
      <c r="G215" s="8">
        <v>-6.1999999999999998E-3</v>
      </c>
      <c r="H215" s="3">
        <f t="shared" si="3"/>
        <v>-6.1707233459034061E-3</v>
      </c>
    </row>
    <row r="216" spans="1:8" x14ac:dyDescent="0.3">
      <c r="A216" s="7">
        <v>45700</v>
      </c>
      <c r="B216">
        <v>144</v>
      </c>
      <c r="C216">
        <v>144.9</v>
      </c>
      <c r="D216">
        <v>146</v>
      </c>
      <c r="E216">
        <v>141.35</v>
      </c>
      <c r="F216" t="s">
        <v>537</v>
      </c>
      <c r="G216" s="8">
        <v>-6.6E-3</v>
      </c>
      <c r="H216" s="3">
        <f t="shared" si="3"/>
        <v>-6.553984132459445E-3</v>
      </c>
    </row>
    <row r="217" spans="1:8" x14ac:dyDescent="0.3">
      <c r="A217" s="7">
        <v>45701</v>
      </c>
      <c r="B217">
        <v>146.30000000000001</v>
      </c>
      <c r="C217">
        <v>150</v>
      </c>
      <c r="D217">
        <v>150.69999999999999</v>
      </c>
      <c r="E217">
        <v>142.94999999999999</v>
      </c>
      <c r="F217" t="s">
        <v>536</v>
      </c>
      <c r="G217" s="8">
        <v>1.6E-2</v>
      </c>
      <c r="H217" s="3">
        <f t="shared" si="3"/>
        <v>1.5972222222222276E-2</v>
      </c>
    </row>
    <row r="218" spans="1:8" x14ac:dyDescent="0.3">
      <c r="A218" s="7">
        <v>45702</v>
      </c>
      <c r="B218">
        <v>146.30000000000001</v>
      </c>
      <c r="C218">
        <v>145.80000000000001</v>
      </c>
      <c r="D218">
        <v>148.44999999999999</v>
      </c>
      <c r="E218">
        <v>145.35</v>
      </c>
      <c r="F218" t="s">
        <v>535</v>
      </c>
      <c r="G218" s="8">
        <v>0</v>
      </c>
      <c r="H218" s="3">
        <f t="shared" si="3"/>
        <v>0</v>
      </c>
    </row>
    <row r="219" spans="1:8" x14ac:dyDescent="0.3">
      <c r="A219" s="7">
        <v>45705</v>
      </c>
      <c r="B219">
        <v>147.55000000000001</v>
      </c>
      <c r="C219">
        <v>146.94999999999999</v>
      </c>
      <c r="D219">
        <v>147.80000000000001</v>
      </c>
      <c r="E219">
        <v>145.55000000000001</v>
      </c>
      <c r="F219" t="s">
        <v>534</v>
      </c>
      <c r="G219" s="8">
        <v>8.5000000000000006E-3</v>
      </c>
      <c r="H219" s="3">
        <f t="shared" si="3"/>
        <v>8.544087491455965E-3</v>
      </c>
    </row>
    <row r="220" spans="1:8" x14ac:dyDescent="0.3">
      <c r="A220" s="7">
        <v>45706</v>
      </c>
      <c r="B220">
        <v>148.5</v>
      </c>
      <c r="C220">
        <v>147.69999999999999</v>
      </c>
      <c r="D220">
        <v>150.55000000000001</v>
      </c>
      <c r="E220">
        <v>147.05000000000001</v>
      </c>
      <c r="F220" t="s">
        <v>533</v>
      </c>
      <c r="G220" s="8">
        <v>6.4000000000000003E-3</v>
      </c>
      <c r="H220" s="3">
        <f t="shared" si="3"/>
        <v>6.4384954252794113E-3</v>
      </c>
    </row>
    <row r="221" spans="1:8" x14ac:dyDescent="0.3">
      <c r="A221" s="7">
        <v>45707</v>
      </c>
      <c r="B221">
        <v>140.55000000000001</v>
      </c>
      <c r="C221">
        <v>143.85</v>
      </c>
      <c r="D221">
        <v>146.15</v>
      </c>
      <c r="E221">
        <v>139.6</v>
      </c>
      <c r="F221" t="s">
        <v>532</v>
      </c>
      <c r="G221" s="8">
        <v>-5.3499999999999999E-2</v>
      </c>
      <c r="H221" s="3">
        <f t="shared" si="3"/>
        <v>-5.3535353535353436E-2</v>
      </c>
    </row>
    <row r="222" spans="1:8" x14ac:dyDescent="0.3">
      <c r="A222" s="7">
        <v>45708</v>
      </c>
      <c r="B222">
        <v>137.25</v>
      </c>
      <c r="C222">
        <v>141.4</v>
      </c>
      <c r="D222">
        <v>141.75</v>
      </c>
      <c r="E222">
        <v>136.5</v>
      </c>
      <c r="F222" t="s">
        <v>531</v>
      </c>
      <c r="G222" s="8">
        <v>-2.35E-2</v>
      </c>
      <c r="H222" s="3">
        <f t="shared" si="3"/>
        <v>-2.3479188900747183E-2</v>
      </c>
    </row>
    <row r="223" spans="1:8" x14ac:dyDescent="0.3">
      <c r="A223" s="7">
        <v>45709</v>
      </c>
      <c r="B223">
        <v>138.25</v>
      </c>
      <c r="C223">
        <v>138.30000000000001</v>
      </c>
      <c r="D223">
        <v>140.75</v>
      </c>
      <c r="E223">
        <v>137.19999999999999</v>
      </c>
      <c r="F223" t="s">
        <v>530</v>
      </c>
      <c r="G223" s="8">
        <v>7.3000000000000001E-3</v>
      </c>
      <c r="H223" s="3">
        <f t="shared" si="3"/>
        <v>7.2859744990891873E-3</v>
      </c>
    </row>
    <row r="224" spans="1:8" x14ac:dyDescent="0.3">
      <c r="A224" s="7">
        <v>45712</v>
      </c>
      <c r="B224">
        <v>136.85</v>
      </c>
      <c r="C224">
        <v>139</v>
      </c>
      <c r="D224">
        <v>140.15</v>
      </c>
      <c r="E224">
        <v>135.9</v>
      </c>
      <c r="F224" t="s">
        <v>529</v>
      </c>
      <c r="G224" s="8">
        <v>-1.01E-2</v>
      </c>
      <c r="H224" s="3">
        <f t="shared" si="3"/>
        <v>-1.0126582278481067E-2</v>
      </c>
    </row>
    <row r="225" spans="1:8" x14ac:dyDescent="0.3">
      <c r="A225" s="7">
        <v>45713</v>
      </c>
      <c r="B225">
        <v>141.75</v>
      </c>
      <c r="C225">
        <v>132</v>
      </c>
      <c r="D225">
        <v>144.9</v>
      </c>
      <c r="E225">
        <v>130</v>
      </c>
      <c r="F225" t="s">
        <v>528</v>
      </c>
      <c r="G225" s="8">
        <v>3.5799999999999998E-2</v>
      </c>
      <c r="H225" s="3">
        <f t="shared" si="3"/>
        <v>3.5805626598465423E-2</v>
      </c>
    </row>
    <row r="226" spans="1:8" x14ac:dyDescent="0.3">
      <c r="A226" s="7">
        <v>45714</v>
      </c>
      <c r="B226">
        <v>146.75</v>
      </c>
      <c r="C226">
        <v>144.5</v>
      </c>
      <c r="D226">
        <v>148.6</v>
      </c>
      <c r="E226">
        <v>144.4</v>
      </c>
      <c r="F226" t="s">
        <v>821</v>
      </c>
      <c r="G226" s="8">
        <v>3.5299999999999998E-2</v>
      </c>
      <c r="H226" s="3">
        <f t="shared" si="3"/>
        <v>3.5273368606701938E-2</v>
      </c>
    </row>
    <row r="227" spans="1:8" x14ac:dyDescent="0.3">
      <c r="A227" s="7">
        <v>45715</v>
      </c>
      <c r="B227">
        <v>143.19999999999999</v>
      </c>
      <c r="C227">
        <v>145.65</v>
      </c>
      <c r="D227">
        <v>146.80000000000001</v>
      </c>
      <c r="E227">
        <v>141.55000000000001</v>
      </c>
      <c r="F227" t="s">
        <v>820</v>
      </c>
      <c r="G227" s="8">
        <v>-2.4199999999999999E-2</v>
      </c>
      <c r="H227" s="3">
        <f t="shared" si="3"/>
        <v>-2.4190800681431091E-2</v>
      </c>
    </row>
    <row r="228" spans="1:8" x14ac:dyDescent="0.3">
      <c r="A228" s="7">
        <v>45716</v>
      </c>
      <c r="B228">
        <v>145.19999999999999</v>
      </c>
      <c r="C228">
        <v>143</v>
      </c>
      <c r="D228">
        <v>145.5</v>
      </c>
      <c r="E228">
        <v>142.4</v>
      </c>
      <c r="F228" t="s">
        <v>819</v>
      </c>
      <c r="G228" s="8">
        <v>1.4E-2</v>
      </c>
      <c r="H228" s="3">
        <f t="shared" si="3"/>
        <v>1.3966480446927276E-2</v>
      </c>
    </row>
    <row r="229" spans="1:8" x14ac:dyDescent="0.3">
      <c r="A229" s="7">
        <v>45719</v>
      </c>
      <c r="B229">
        <v>149.65</v>
      </c>
      <c r="C229">
        <v>146.5</v>
      </c>
      <c r="D229">
        <v>149.94999999999999</v>
      </c>
      <c r="E229">
        <v>144.75</v>
      </c>
      <c r="F229" t="s">
        <v>809</v>
      </c>
      <c r="G229" s="8">
        <v>3.0599999999999999E-2</v>
      </c>
      <c r="H229" s="3">
        <f t="shared" si="3"/>
        <v>3.0647382920110378E-2</v>
      </c>
    </row>
    <row r="230" spans="1:8" x14ac:dyDescent="0.3">
      <c r="A230" s="7">
        <v>45720</v>
      </c>
      <c r="B230">
        <v>141.80000000000001</v>
      </c>
      <c r="C230">
        <v>147.5</v>
      </c>
      <c r="D230">
        <v>147.55000000000001</v>
      </c>
      <c r="E230">
        <v>140.65</v>
      </c>
      <c r="F230" t="s">
        <v>818</v>
      </c>
      <c r="G230" s="8">
        <v>-5.2499999999999998E-2</v>
      </c>
      <c r="H230" s="3">
        <f t="shared" si="3"/>
        <v>-5.2455730036752413E-2</v>
      </c>
    </row>
    <row r="231" spans="1:8" x14ac:dyDescent="0.3">
      <c r="A231" s="7">
        <v>45721</v>
      </c>
      <c r="B231">
        <v>166.65</v>
      </c>
      <c r="C231">
        <v>155.25</v>
      </c>
      <c r="D231">
        <v>166.65</v>
      </c>
      <c r="E231">
        <v>151.69999999999999</v>
      </c>
      <c r="F231" t="s">
        <v>229</v>
      </c>
      <c r="G231" s="8">
        <v>0.17519999999999999</v>
      </c>
      <c r="H231" s="3">
        <f t="shared" si="3"/>
        <v>0.17524682651621992</v>
      </c>
    </row>
    <row r="232" spans="1:8" x14ac:dyDescent="0.3">
      <c r="A232" s="7">
        <v>45722</v>
      </c>
      <c r="B232">
        <v>169.35</v>
      </c>
      <c r="C232">
        <v>171.95</v>
      </c>
      <c r="D232">
        <v>177.05</v>
      </c>
      <c r="E232">
        <v>168.75</v>
      </c>
      <c r="F232" t="s">
        <v>59</v>
      </c>
      <c r="G232" s="8">
        <v>1.6199999999999999E-2</v>
      </c>
      <c r="H232" s="3">
        <f t="shared" si="3"/>
        <v>1.6201620162016095E-2</v>
      </c>
    </row>
    <row r="233" spans="1:8" x14ac:dyDescent="0.3">
      <c r="A233" s="7">
        <v>45723</v>
      </c>
      <c r="B233">
        <v>166.85</v>
      </c>
      <c r="C233">
        <v>167</v>
      </c>
      <c r="D233">
        <v>169.75</v>
      </c>
      <c r="E233">
        <v>164.25</v>
      </c>
      <c r="F233" t="s">
        <v>817</v>
      </c>
      <c r="G233" s="8">
        <v>-1.4800000000000001E-2</v>
      </c>
      <c r="H233" s="3">
        <f t="shared" si="3"/>
        <v>-1.4762326542663073E-2</v>
      </c>
    </row>
    <row r="234" spans="1:8" x14ac:dyDescent="0.3">
      <c r="A234" s="7">
        <v>45726</v>
      </c>
      <c r="B234">
        <v>159.85</v>
      </c>
      <c r="C234">
        <v>167</v>
      </c>
      <c r="D234">
        <v>167.35</v>
      </c>
      <c r="E234">
        <v>156.05000000000001</v>
      </c>
      <c r="F234" t="s">
        <v>816</v>
      </c>
      <c r="G234" s="8">
        <v>-4.2000000000000003E-2</v>
      </c>
      <c r="H234" s="3">
        <f t="shared" si="3"/>
        <v>-4.1953850764159473E-2</v>
      </c>
    </row>
    <row r="235" spans="1:8" x14ac:dyDescent="0.3">
      <c r="A235" s="7">
        <v>45727</v>
      </c>
      <c r="B235">
        <v>157.15</v>
      </c>
      <c r="C235">
        <v>160.5</v>
      </c>
      <c r="D235">
        <v>163</v>
      </c>
      <c r="E235">
        <v>156.9</v>
      </c>
      <c r="F235" t="s">
        <v>815</v>
      </c>
      <c r="G235" s="8">
        <v>-1.6899999999999998E-2</v>
      </c>
      <c r="H235" s="3">
        <f t="shared" si="3"/>
        <v>-1.6890835157960526E-2</v>
      </c>
    </row>
    <row r="236" spans="1:8" x14ac:dyDescent="0.3">
      <c r="A236" s="7">
        <v>45728</v>
      </c>
      <c r="B236">
        <v>163.30000000000001</v>
      </c>
      <c r="C236">
        <v>159.75</v>
      </c>
      <c r="D236">
        <v>166.25</v>
      </c>
      <c r="E236">
        <v>158.69999999999999</v>
      </c>
      <c r="F236" t="s">
        <v>814</v>
      </c>
      <c r="G236" s="8">
        <v>3.9100000000000003E-2</v>
      </c>
      <c r="H236" s="3">
        <f t="shared" si="3"/>
        <v>3.913458479160048E-2</v>
      </c>
    </row>
    <row r="237" spans="1:8" x14ac:dyDescent="0.3">
      <c r="A237" s="7">
        <v>45729</v>
      </c>
      <c r="B237">
        <v>166.6</v>
      </c>
      <c r="C237">
        <v>161.85</v>
      </c>
      <c r="D237">
        <v>166.65</v>
      </c>
      <c r="E237">
        <v>161.19999999999999</v>
      </c>
      <c r="F237" t="s">
        <v>813</v>
      </c>
      <c r="G237" s="8">
        <v>2.0199999999999999E-2</v>
      </c>
      <c r="H237" s="3">
        <f t="shared" si="3"/>
        <v>2.0208205756276687E-2</v>
      </c>
    </row>
    <row r="238" spans="1:8" x14ac:dyDescent="0.3">
      <c r="A238" s="7">
        <v>45730</v>
      </c>
      <c r="B238">
        <v>172.85</v>
      </c>
      <c r="C238">
        <v>166.2</v>
      </c>
      <c r="D238">
        <v>175.7</v>
      </c>
      <c r="E238">
        <v>164.5</v>
      </c>
      <c r="F238" t="s">
        <v>104</v>
      </c>
      <c r="G238" s="8">
        <v>3.7499999999999999E-2</v>
      </c>
      <c r="H238" s="3">
        <f t="shared" si="3"/>
        <v>3.7515006002400986E-2</v>
      </c>
    </row>
    <row r="239" spans="1:8" x14ac:dyDescent="0.3">
      <c r="A239" s="7">
        <v>45733</v>
      </c>
      <c r="B239">
        <v>176.55</v>
      </c>
      <c r="C239">
        <v>174.45</v>
      </c>
      <c r="D239">
        <v>176.55</v>
      </c>
      <c r="E239">
        <v>172.05</v>
      </c>
      <c r="F239" t="s">
        <v>812</v>
      </c>
      <c r="G239" s="8">
        <v>2.1399999999999999E-2</v>
      </c>
      <c r="H239" s="3">
        <f t="shared" si="3"/>
        <v>2.1405843216661946E-2</v>
      </c>
    </row>
    <row r="240" spans="1:8" x14ac:dyDescent="0.3">
      <c r="A240" s="7">
        <v>45734</v>
      </c>
      <c r="B240">
        <v>173.35</v>
      </c>
      <c r="C240">
        <v>178.1</v>
      </c>
      <c r="D240">
        <v>179.45</v>
      </c>
      <c r="E240">
        <v>172.2</v>
      </c>
      <c r="F240" t="s">
        <v>811</v>
      </c>
      <c r="G240" s="8">
        <v>-1.8100000000000002E-2</v>
      </c>
      <c r="H240" s="3">
        <f t="shared" si="3"/>
        <v>-1.8125177003681769E-2</v>
      </c>
    </row>
    <row r="241" spans="1:8" x14ac:dyDescent="0.3">
      <c r="A241" s="7">
        <v>45735</v>
      </c>
      <c r="B241">
        <v>179.65</v>
      </c>
      <c r="C241">
        <v>172.65</v>
      </c>
      <c r="D241">
        <v>179.7</v>
      </c>
      <c r="E241">
        <v>172.65</v>
      </c>
      <c r="F241" t="s">
        <v>810</v>
      </c>
      <c r="G241" s="8">
        <v>3.6299999999999999E-2</v>
      </c>
      <c r="H241" s="3">
        <f t="shared" si="3"/>
        <v>3.6342659359676954E-2</v>
      </c>
    </row>
    <row r="242" spans="1:8" x14ac:dyDescent="0.3">
      <c r="A242" s="7">
        <v>45736</v>
      </c>
      <c r="B242">
        <v>177.5</v>
      </c>
      <c r="C242">
        <v>180.45</v>
      </c>
      <c r="D242">
        <v>181</v>
      </c>
      <c r="E242">
        <v>174.5</v>
      </c>
      <c r="F242" t="s">
        <v>809</v>
      </c>
      <c r="G242" s="8">
        <v>-1.2E-2</v>
      </c>
      <c r="H242" s="3">
        <f t="shared" si="3"/>
        <v>-1.1967715001391599E-2</v>
      </c>
    </row>
    <row r="243" spans="1:8" x14ac:dyDescent="0.3">
      <c r="A243" s="7">
        <v>45737</v>
      </c>
      <c r="B243">
        <v>175.6</v>
      </c>
      <c r="C243">
        <v>176.8</v>
      </c>
      <c r="D243">
        <v>177</v>
      </c>
      <c r="E243">
        <v>173.55</v>
      </c>
      <c r="F243" t="s">
        <v>273</v>
      </c>
      <c r="G243" s="8">
        <v>-1.0699999999999999E-2</v>
      </c>
      <c r="H243" s="3">
        <f t="shared" si="3"/>
        <v>-1.0704225352112684E-2</v>
      </c>
    </row>
    <row r="244" spans="1:8" x14ac:dyDescent="0.3">
      <c r="A244" s="7">
        <v>45740</v>
      </c>
      <c r="B244">
        <v>176.9</v>
      </c>
      <c r="C244">
        <v>177.7</v>
      </c>
      <c r="D244">
        <v>178.7</v>
      </c>
      <c r="E244">
        <v>175.9</v>
      </c>
      <c r="F244" t="s">
        <v>808</v>
      </c>
      <c r="G244" s="8">
        <v>7.4000000000000003E-3</v>
      </c>
      <c r="H244" s="3">
        <f t="shared" si="3"/>
        <v>7.4031890660593014E-3</v>
      </c>
    </row>
    <row r="245" spans="1:8" x14ac:dyDescent="0.3">
      <c r="A245" s="7">
        <v>45741</v>
      </c>
      <c r="B245">
        <v>180.25</v>
      </c>
      <c r="C245">
        <v>177.55</v>
      </c>
      <c r="D245">
        <v>180.25</v>
      </c>
      <c r="E245">
        <v>176.25</v>
      </c>
      <c r="F245" t="s">
        <v>807</v>
      </c>
      <c r="G245" s="8">
        <v>1.89E-2</v>
      </c>
      <c r="H245" s="3">
        <f t="shared" si="3"/>
        <v>1.8937252685132799E-2</v>
      </c>
    </row>
    <row r="246" spans="1:8" x14ac:dyDescent="0.3">
      <c r="A246" s="7">
        <v>45742</v>
      </c>
      <c r="B246">
        <v>176.85</v>
      </c>
      <c r="C246">
        <v>182</v>
      </c>
      <c r="D246">
        <v>182.2</v>
      </c>
      <c r="E246">
        <v>176.85</v>
      </c>
      <c r="F246" t="s">
        <v>806</v>
      </c>
      <c r="G246" s="8">
        <v>-1.89E-2</v>
      </c>
      <c r="H246" s="3">
        <f t="shared" si="3"/>
        <v>-1.8862690707350915E-2</v>
      </c>
    </row>
    <row r="247" spans="1:8" x14ac:dyDescent="0.3">
      <c r="A247" s="7">
        <v>45743</v>
      </c>
      <c r="B247">
        <v>166.6</v>
      </c>
      <c r="C247">
        <v>172</v>
      </c>
      <c r="D247">
        <v>172.75</v>
      </c>
      <c r="E247">
        <v>165.5</v>
      </c>
      <c r="F247" t="s">
        <v>805</v>
      </c>
      <c r="G247" s="8">
        <v>-5.8000000000000003E-2</v>
      </c>
      <c r="H247" s="3">
        <f t="shared" si="3"/>
        <v>-5.7958722080859504E-2</v>
      </c>
    </row>
    <row r="248" spans="1:8" x14ac:dyDescent="0.3">
      <c r="A248" s="7">
        <v>45744</v>
      </c>
      <c r="B248">
        <v>162.6</v>
      </c>
      <c r="C248">
        <v>165.2</v>
      </c>
      <c r="D248">
        <v>167.35</v>
      </c>
      <c r="E248">
        <v>161.69999999999999</v>
      </c>
      <c r="F248" t="s">
        <v>804</v>
      </c>
      <c r="G248" s="8">
        <v>-2.4E-2</v>
      </c>
      <c r="H248" s="3">
        <f t="shared" si="3"/>
        <v>-2.4009603841536609E-2</v>
      </c>
    </row>
    <row r="249" spans="1:8" x14ac:dyDescent="0.3">
      <c r="A249" s="7">
        <v>45747</v>
      </c>
      <c r="B249">
        <v>157.55000000000001</v>
      </c>
      <c r="C249">
        <v>159.94999999999999</v>
      </c>
      <c r="D249">
        <v>160.65</v>
      </c>
      <c r="E249">
        <v>156.15</v>
      </c>
      <c r="F249" t="s">
        <v>803</v>
      </c>
      <c r="G249" s="8">
        <v>-3.1099999999999999E-2</v>
      </c>
      <c r="H249" s="3">
        <f t="shared" si="3"/>
        <v>-3.1057810578105638E-2</v>
      </c>
    </row>
    <row r="250" spans="1:8" x14ac:dyDescent="0.3">
      <c r="A250" s="7">
        <v>45748</v>
      </c>
      <c r="B250">
        <v>161.1</v>
      </c>
      <c r="C250">
        <v>159</v>
      </c>
      <c r="D250">
        <v>161.85</v>
      </c>
      <c r="E250">
        <v>157.94999999999999</v>
      </c>
      <c r="F250" t="s">
        <v>802</v>
      </c>
      <c r="G250" s="8">
        <v>2.2499999999999999E-2</v>
      </c>
      <c r="H250" s="3">
        <f t="shared" si="3"/>
        <v>2.2532529355759889E-2</v>
      </c>
    </row>
    <row r="251" spans="1:8" x14ac:dyDescent="0.3">
      <c r="A251" s="7">
        <v>45749</v>
      </c>
      <c r="B251">
        <v>164.8</v>
      </c>
      <c r="C251">
        <v>161.80000000000001</v>
      </c>
      <c r="D251">
        <v>165</v>
      </c>
      <c r="E251">
        <v>159.85</v>
      </c>
      <c r="F251" t="s">
        <v>801</v>
      </c>
      <c r="G251" s="8">
        <v>2.3E-2</v>
      </c>
      <c r="H251" s="3">
        <f>(B251/B250)-1</f>
        <v>2.2967101179391713E-2</v>
      </c>
    </row>
    <row r="252" spans="1:8" x14ac:dyDescent="0.3">
      <c r="A252" s="7">
        <v>45750</v>
      </c>
      <c r="B252">
        <v>160.75</v>
      </c>
      <c r="C252">
        <v>157.9</v>
      </c>
      <c r="D252">
        <v>162.30000000000001</v>
      </c>
      <c r="E252">
        <v>157.69999999999999</v>
      </c>
      <c r="F252" t="s">
        <v>800</v>
      </c>
      <c r="G252" s="8">
        <v>-2.46E-2</v>
      </c>
      <c r="H252" s="3">
        <f t="shared" ref="H252:H253" si="4">(B252/B251)-1</f>
        <v>-2.4575242718446688E-2</v>
      </c>
    </row>
    <row r="253" spans="1:8" x14ac:dyDescent="0.3">
      <c r="A253" s="7">
        <v>45751</v>
      </c>
      <c r="B253">
        <v>151.5</v>
      </c>
      <c r="C253">
        <v>158.35</v>
      </c>
      <c r="D253">
        <v>158.9</v>
      </c>
      <c r="E253">
        <v>146.94999999999999</v>
      </c>
      <c r="F253" t="s">
        <v>799</v>
      </c>
      <c r="G253" s="8">
        <v>-5.7500000000000002E-2</v>
      </c>
      <c r="H253" s="3">
        <f t="shared" si="4"/>
        <v>-5.754276827371696E-2</v>
      </c>
    </row>
    <row r="254" spans="1:8" x14ac:dyDescent="0.3">
      <c r="A254" s="7"/>
      <c r="G254" s="8"/>
      <c r="H254" s="3"/>
    </row>
    <row r="255" spans="1:8" x14ac:dyDescent="0.3">
      <c r="A255" s="7"/>
      <c r="G255" s="8"/>
    </row>
    <row r="256" spans="1:8" x14ac:dyDescent="0.3">
      <c r="A256" s="7"/>
      <c r="G256" s="8"/>
    </row>
    <row r="257" spans="1:7" x14ac:dyDescent="0.3">
      <c r="A257" s="7"/>
      <c r="G257" s="8"/>
    </row>
  </sheetData>
  <autoFilter ref="A1:G257" xr:uid="{78D27B7E-52C9-4B8D-AC5D-11F4A55F5419}">
    <sortState xmlns:xlrd2="http://schemas.microsoft.com/office/spreadsheetml/2017/richdata2" ref="A2:G257">
      <sortCondition ref="A1:A257"/>
    </sortState>
  </autoFilter>
  <sortState xmlns:xlrd2="http://schemas.microsoft.com/office/spreadsheetml/2017/richdata2" ref="A2:G254">
    <sortCondition ref="A2:A25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E011-DFEB-4968-9B6B-4814B2114750}">
  <sheetPr codeName="Hoja8">
    <tabColor theme="7" tint="0.39997558519241921"/>
  </sheetPr>
  <dimension ref="A1:L254"/>
  <sheetViews>
    <sheetView workbookViewId="0">
      <selection activeCell="H7" sqref="H7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45387</v>
      </c>
      <c r="B2">
        <v>84.92</v>
      </c>
      <c r="C2">
        <v>85.09</v>
      </c>
      <c r="D2">
        <v>85.43</v>
      </c>
      <c r="E2">
        <v>84.84</v>
      </c>
      <c r="F2" t="s">
        <v>1511</v>
      </c>
      <c r="G2" s="8">
        <v>-8.0000000000000004E-4</v>
      </c>
      <c r="H2" s="3" t="s">
        <v>11</v>
      </c>
      <c r="J2" t="s">
        <v>12</v>
      </c>
      <c r="K2" s="4">
        <f>AVERAGE(H3:H253)</f>
        <v>1.6269002268280853E-3</v>
      </c>
      <c r="L2" s="5">
        <f>_xlfn.STDEV.S(H3:H253)</f>
        <v>1.7553325457653365E-2</v>
      </c>
    </row>
    <row r="3" spans="1:12" x14ac:dyDescent="0.3">
      <c r="A3" s="7">
        <v>45390</v>
      </c>
      <c r="B3">
        <v>84.59</v>
      </c>
      <c r="C3">
        <v>85.03</v>
      </c>
      <c r="D3">
        <v>85.35</v>
      </c>
      <c r="E3">
        <v>84.59</v>
      </c>
      <c r="F3" t="s">
        <v>1510</v>
      </c>
      <c r="G3" s="8">
        <v>-3.8999999999999998E-3</v>
      </c>
      <c r="H3" s="3">
        <f>(B3/B2)-1</f>
        <v>-3.8860103626943143E-3</v>
      </c>
      <c r="J3" t="s">
        <v>14</v>
      </c>
      <c r="K3" s="6">
        <f>K2*252</f>
        <v>0.4099788571606775</v>
      </c>
      <c r="L3" s="6">
        <f>L2*SQRT(252)</f>
        <v>0.27865040305877908</v>
      </c>
    </row>
    <row r="4" spans="1:12" x14ac:dyDescent="0.3">
      <c r="A4" s="7">
        <v>45391</v>
      </c>
      <c r="B4">
        <v>84.3</v>
      </c>
      <c r="C4">
        <v>84.9</v>
      </c>
      <c r="D4">
        <v>85.06</v>
      </c>
      <c r="E4">
        <v>84</v>
      </c>
      <c r="F4" t="s">
        <v>1509</v>
      </c>
      <c r="G4" s="8">
        <v>-3.3999999999999998E-3</v>
      </c>
      <c r="H4" s="3">
        <f t="shared" ref="H4:H67" si="0">(B4/B3)-1</f>
        <v>-3.4283012176380412E-3</v>
      </c>
    </row>
    <row r="5" spans="1:12" x14ac:dyDescent="0.3">
      <c r="A5" s="7">
        <v>45392</v>
      </c>
      <c r="B5">
        <v>82.85</v>
      </c>
      <c r="C5">
        <v>83.99</v>
      </c>
      <c r="D5">
        <v>83.99</v>
      </c>
      <c r="E5">
        <v>82.52</v>
      </c>
      <c r="F5" t="s">
        <v>1508</v>
      </c>
      <c r="G5" s="8">
        <v>-1.72E-2</v>
      </c>
      <c r="H5" s="3">
        <f t="shared" si="0"/>
        <v>-1.7200474495848161E-2</v>
      </c>
    </row>
    <row r="6" spans="1:12" x14ac:dyDescent="0.3">
      <c r="A6" s="7">
        <v>45393</v>
      </c>
      <c r="B6">
        <v>82.71</v>
      </c>
      <c r="C6">
        <v>82.92</v>
      </c>
      <c r="D6">
        <v>83.02</v>
      </c>
      <c r="E6">
        <v>81.92</v>
      </c>
      <c r="F6" t="s">
        <v>1507</v>
      </c>
      <c r="G6" s="8">
        <v>-1.6999999999999999E-3</v>
      </c>
      <c r="H6" s="3">
        <f t="shared" si="0"/>
        <v>-1.6898008449004465E-3</v>
      </c>
    </row>
    <row r="7" spans="1:12" x14ac:dyDescent="0.3">
      <c r="A7" s="7">
        <v>45394</v>
      </c>
      <c r="B7">
        <v>81.98</v>
      </c>
      <c r="C7">
        <v>82.33</v>
      </c>
      <c r="D7">
        <v>82.66</v>
      </c>
      <c r="E7">
        <v>81.650000000000006</v>
      </c>
      <c r="F7" t="s">
        <v>1506</v>
      </c>
      <c r="G7" s="8">
        <v>-8.8000000000000005E-3</v>
      </c>
      <c r="H7" s="3">
        <f t="shared" si="0"/>
        <v>-8.8260186192720136E-3</v>
      </c>
    </row>
    <row r="8" spans="1:12" x14ac:dyDescent="0.3">
      <c r="A8" s="7">
        <v>45397</v>
      </c>
      <c r="B8">
        <v>81.540000000000006</v>
      </c>
      <c r="C8">
        <v>82.32</v>
      </c>
      <c r="D8">
        <v>83.15</v>
      </c>
      <c r="E8">
        <v>81.400000000000006</v>
      </c>
      <c r="F8" t="s">
        <v>1505</v>
      </c>
      <c r="G8" s="8">
        <v>-5.4000000000000003E-3</v>
      </c>
      <c r="H8" s="3">
        <f t="shared" si="0"/>
        <v>-5.3671627226152818E-3</v>
      </c>
    </row>
    <row r="9" spans="1:12" x14ac:dyDescent="0.3">
      <c r="A9" s="7">
        <v>45398</v>
      </c>
      <c r="B9">
        <v>81.290000000000006</v>
      </c>
      <c r="C9">
        <v>81.13</v>
      </c>
      <c r="D9">
        <v>81.81</v>
      </c>
      <c r="E9">
        <v>81</v>
      </c>
      <c r="F9" t="s">
        <v>1504</v>
      </c>
      <c r="G9" s="8">
        <v>-3.0999999999999999E-3</v>
      </c>
      <c r="H9" s="3">
        <f t="shared" si="0"/>
        <v>-3.0659798871719435E-3</v>
      </c>
    </row>
    <row r="10" spans="1:12" x14ac:dyDescent="0.3">
      <c r="A10" s="7">
        <v>45399</v>
      </c>
      <c r="B10">
        <v>81.569999999999993</v>
      </c>
      <c r="C10">
        <v>81.55</v>
      </c>
      <c r="D10">
        <v>82.6</v>
      </c>
      <c r="E10">
        <v>80.95</v>
      </c>
      <c r="F10" t="s">
        <v>1503</v>
      </c>
      <c r="G10" s="8">
        <v>3.3999999999999998E-3</v>
      </c>
      <c r="H10" s="3">
        <f t="shared" si="0"/>
        <v>3.4444581129289276E-3</v>
      </c>
    </row>
    <row r="11" spans="1:12" x14ac:dyDescent="0.3">
      <c r="A11" s="7">
        <v>45400</v>
      </c>
      <c r="B11">
        <v>81.83</v>
      </c>
      <c r="C11">
        <v>81.709999999999994</v>
      </c>
      <c r="D11">
        <v>82.14</v>
      </c>
      <c r="E11">
        <v>81.239999999999995</v>
      </c>
      <c r="F11" t="s">
        <v>1502</v>
      </c>
      <c r="G11" s="8">
        <v>3.2000000000000002E-3</v>
      </c>
      <c r="H11" s="3">
        <f t="shared" si="0"/>
        <v>3.187446365085167E-3</v>
      </c>
    </row>
    <row r="12" spans="1:12" x14ac:dyDescent="0.3">
      <c r="A12" s="7">
        <v>45401</v>
      </c>
      <c r="B12">
        <v>82.28</v>
      </c>
      <c r="C12">
        <v>81.47</v>
      </c>
      <c r="D12">
        <v>82.68</v>
      </c>
      <c r="E12">
        <v>81.47</v>
      </c>
      <c r="F12" t="s">
        <v>1501</v>
      </c>
      <c r="G12" s="8">
        <v>5.4999999999999997E-3</v>
      </c>
      <c r="H12" s="3">
        <f t="shared" si="0"/>
        <v>5.4992056702920511E-3</v>
      </c>
    </row>
    <row r="13" spans="1:12" x14ac:dyDescent="0.3">
      <c r="A13" s="7">
        <v>45404</v>
      </c>
      <c r="B13">
        <v>84.12</v>
      </c>
      <c r="C13">
        <v>82.61</v>
      </c>
      <c r="D13">
        <v>84.44</v>
      </c>
      <c r="E13">
        <v>82.38</v>
      </c>
      <c r="F13" t="s">
        <v>1500</v>
      </c>
      <c r="G13" s="8">
        <v>2.24E-2</v>
      </c>
      <c r="H13" s="3">
        <f t="shared" si="0"/>
        <v>2.236266407389409E-2</v>
      </c>
    </row>
    <row r="14" spans="1:12" x14ac:dyDescent="0.3">
      <c r="A14" s="7">
        <v>45405</v>
      </c>
      <c r="B14">
        <v>84.08</v>
      </c>
      <c r="C14">
        <v>83.99</v>
      </c>
      <c r="D14">
        <v>84.8</v>
      </c>
      <c r="E14">
        <v>83.55</v>
      </c>
      <c r="F14" t="s">
        <v>1499</v>
      </c>
      <c r="G14" s="8">
        <v>-5.0000000000000001E-4</v>
      </c>
      <c r="H14" s="3">
        <f t="shared" si="0"/>
        <v>-4.7551117451272162E-4</v>
      </c>
    </row>
    <row r="15" spans="1:12" x14ac:dyDescent="0.3">
      <c r="A15" s="7">
        <v>45406</v>
      </c>
      <c r="B15">
        <v>83.86</v>
      </c>
      <c r="C15">
        <v>83.92</v>
      </c>
      <c r="D15">
        <v>85.06</v>
      </c>
      <c r="E15">
        <v>83.36</v>
      </c>
      <c r="F15" t="s">
        <v>1498</v>
      </c>
      <c r="G15" s="8">
        <v>-2.5999999999999999E-3</v>
      </c>
      <c r="H15" s="3">
        <f t="shared" si="0"/>
        <v>-2.6165556612749441E-3</v>
      </c>
    </row>
    <row r="16" spans="1:12" x14ac:dyDescent="0.3">
      <c r="A16" s="7">
        <v>45407</v>
      </c>
      <c r="B16">
        <v>83.58</v>
      </c>
      <c r="C16">
        <v>83.27</v>
      </c>
      <c r="D16">
        <v>83.79</v>
      </c>
      <c r="E16">
        <v>82.77</v>
      </c>
      <c r="F16" t="s">
        <v>1497</v>
      </c>
      <c r="G16" s="8">
        <v>-3.3E-3</v>
      </c>
      <c r="H16" s="3">
        <f t="shared" si="0"/>
        <v>-3.3388981636059967E-3</v>
      </c>
    </row>
    <row r="17" spans="1:8" x14ac:dyDescent="0.3">
      <c r="A17" s="7">
        <v>45408</v>
      </c>
      <c r="B17">
        <v>84.76</v>
      </c>
      <c r="C17">
        <v>83.72</v>
      </c>
      <c r="D17">
        <v>85.12</v>
      </c>
      <c r="E17">
        <v>83.65</v>
      </c>
      <c r="F17" t="s">
        <v>1496</v>
      </c>
      <c r="G17" s="8">
        <v>1.41E-2</v>
      </c>
      <c r="H17" s="3">
        <f t="shared" si="0"/>
        <v>1.4118210098109651E-2</v>
      </c>
    </row>
    <row r="18" spans="1:8" x14ac:dyDescent="0.3">
      <c r="A18" s="7">
        <v>45411</v>
      </c>
      <c r="B18">
        <v>85.23</v>
      </c>
      <c r="C18">
        <v>84.93</v>
      </c>
      <c r="D18">
        <v>86.15</v>
      </c>
      <c r="E18">
        <v>84.7</v>
      </c>
      <c r="F18" t="s">
        <v>1495</v>
      </c>
      <c r="G18" s="8">
        <v>5.4999999999999997E-3</v>
      </c>
      <c r="H18" s="3">
        <f t="shared" si="0"/>
        <v>5.5450684285041074E-3</v>
      </c>
    </row>
    <row r="19" spans="1:8" x14ac:dyDescent="0.3">
      <c r="A19" s="7">
        <v>45412</v>
      </c>
      <c r="B19">
        <v>83.46</v>
      </c>
      <c r="C19">
        <v>84.9</v>
      </c>
      <c r="D19">
        <v>85.39</v>
      </c>
      <c r="E19">
        <v>83.2</v>
      </c>
      <c r="F19" t="s">
        <v>1494</v>
      </c>
      <c r="G19" s="8">
        <v>-2.0799999999999999E-2</v>
      </c>
      <c r="H19" s="3">
        <f t="shared" si="0"/>
        <v>-2.0767335445265878E-2</v>
      </c>
    </row>
    <row r="20" spans="1:8" x14ac:dyDescent="0.3">
      <c r="A20" s="7">
        <v>45413</v>
      </c>
      <c r="B20">
        <v>84.45</v>
      </c>
      <c r="C20">
        <v>83.2</v>
      </c>
      <c r="D20">
        <v>85.32</v>
      </c>
      <c r="E20">
        <v>83.19</v>
      </c>
      <c r="F20" t="s">
        <v>1493</v>
      </c>
      <c r="G20" s="8">
        <v>1.1900000000000001E-2</v>
      </c>
      <c r="H20" s="3">
        <f t="shared" si="0"/>
        <v>1.1861969805895045E-2</v>
      </c>
    </row>
    <row r="21" spans="1:8" x14ac:dyDescent="0.3">
      <c r="A21" s="7">
        <v>45414</v>
      </c>
      <c r="B21">
        <v>84.56</v>
      </c>
      <c r="C21">
        <v>84.67</v>
      </c>
      <c r="D21">
        <v>84.95</v>
      </c>
      <c r="E21">
        <v>84.11</v>
      </c>
      <c r="F21" t="s">
        <v>1492</v>
      </c>
      <c r="G21" s="8">
        <v>1.2999999999999999E-3</v>
      </c>
      <c r="H21" s="3">
        <f t="shared" si="0"/>
        <v>1.302545885139228E-3</v>
      </c>
    </row>
    <row r="22" spans="1:8" x14ac:dyDescent="0.3">
      <c r="A22" s="7">
        <v>45415</v>
      </c>
      <c r="B22">
        <v>85.41</v>
      </c>
      <c r="C22">
        <v>84.94</v>
      </c>
      <c r="D22">
        <v>86.01</v>
      </c>
      <c r="E22">
        <v>84.94</v>
      </c>
      <c r="F22" t="s">
        <v>1491</v>
      </c>
      <c r="G22" s="8">
        <v>1.01E-2</v>
      </c>
      <c r="H22" s="3">
        <f t="shared" si="0"/>
        <v>1.0052034058656512E-2</v>
      </c>
    </row>
    <row r="23" spans="1:8" x14ac:dyDescent="0.3">
      <c r="A23" s="7">
        <v>45418</v>
      </c>
      <c r="B23">
        <v>86.82</v>
      </c>
      <c r="C23">
        <v>85.71</v>
      </c>
      <c r="D23">
        <v>87.03</v>
      </c>
      <c r="E23">
        <v>85.46</v>
      </c>
      <c r="F23" t="s">
        <v>1490</v>
      </c>
      <c r="G23" s="8">
        <v>1.6500000000000001E-2</v>
      </c>
      <c r="H23" s="3">
        <f t="shared" si="0"/>
        <v>1.6508605549701461E-2</v>
      </c>
    </row>
    <row r="24" spans="1:8" x14ac:dyDescent="0.3">
      <c r="A24" s="7">
        <v>45419</v>
      </c>
      <c r="B24">
        <v>86.47</v>
      </c>
      <c r="C24">
        <v>86.94</v>
      </c>
      <c r="D24">
        <v>87.6</v>
      </c>
      <c r="E24">
        <v>86.37</v>
      </c>
      <c r="F24" t="s">
        <v>1489</v>
      </c>
      <c r="G24" s="8">
        <v>-4.0000000000000001E-3</v>
      </c>
      <c r="H24" s="3">
        <f t="shared" si="0"/>
        <v>-4.0313291868232515E-3</v>
      </c>
    </row>
    <row r="25" spans="1:8" x14ac:dyDescent="0.3">
      <c r="A25" s="7">
        <v>45420</v>
      </c>
      <c r="B25">
        <v>86.75</v>
      </c>
      <c r="C25">
        <v>85.89</v>
      </c>
      <c r="D25">
        <v>87.42</v>
      </c>
      <c r="E25">
        <v>85.89</v>
      </c>
      <c r="F25" t="s">
        <v>1488</v>
      </c>
      <c r="G25" s="8">
        <v>3.2000000000000002E-3</v>
      </c>
      <c r="H25" s="3">
        <f t="shared" si="0"/>
        <v>3.2381172661037905E-3</v>
      </c>
    </row>
    <row r="26" spans="1:8" x14ac:dyDescent="0.3">
      <c r="A26" s="7">
        <v>45421</v>
      </c>
      <c r="B26">
        <v>90.12</v>
      </c>
      <c r="C26">
        <v>87.72</v>
      </c>
      <c r="D26">
        <v>90.91</v>
      </c>
      <c r="E26">
        <v>85.24</v>
      </c>
      <c r="F26" t="s">
        <v>1487</v>
      </c>
      <c r="G26" s="8">
        <v>3.8800000000000001E-2</v>
      </c>
      <c r="H26" s="3">
        <f t="shared" si="0"/>
        <v>3.8847262247838632E-2</v>
      </c>
    </row>
    <row r="27" spans="1:8" x14ac:dyDescent="0.3">
      <c r="A27" s="7">
        <v>45422</v>
      </c>
      <c r="B27">
        <v>91.36</v>
      </c>
      <c r="C27">
        <v>91.18</v>
      </c>
      <c r="D27">
        <v>92.13</v>
      </c>
      <c r="E27">
        <v>90.97</v>
      </c>
      <c r="F27" t="s">
        <v>1486</v>
      </c>
      <c r="G27" s="8">
        <v>1.38E-2</v>
      </c>
      <c r="H27" s="3">
        <f t="shared" si="0"/>
        <v>1.3759431868619609E-2</v>
      </c>
    </row>
    <row r="28" spans="1:8" x14ac:dyDescent="0.3">
      <c r="A28" s="7">
        <v>45425</v>
      </c>
      <c r="B28">
        <v>91.15</v>
      </c>
      <c r="C28">
        <v>91.36</v>
      </c>
      <c r="D28">
        <v>91.57</v>
      </c>
      <c r="E28">
        <v>90.43</v>
      </c>
      <c r="F28" t="s">
        <v>1485</v>
      </c>
      <c r="G28" s="8">
        <v>-2.3E-3</v>
      </c>
      <c r="H28" s="3">
        <f t="shared" si="0"/>
        <v>-2.2985989492118053E-3</v>
      </c>
    </row>
    <row r="29" spans="1:8" x14ac:dyDescent="0.3">
      <c r="A29" s="7">
        <v>45426</v>
      </c>
      <c r="B29">
        <v>90.99</v>
      </c>
      <c r="C29">
        <v>91.15</v>
      </c>
      <c r="D29">
        <v>92.22</v>
      </c>
      <c r="E29">
        <v>90.82</v>
      </c>
      <c r="F29" t="s">
        <v>1484</v>
      </c>
      <c r="G29" s="8">
        <v>-1.8E-3</v>
      </c>
      <c r="H29" s="3">
        <f t="shared" si="0"/>
        <v>-1.7553483269336922E-3</v>
      </c>
    </row>
    <row r="30" spans="1:8" x14ac:dyDescent="0.3">
      <c r="A30" s="7">
        <v>45427</v>
      </c>
      <c r="B30">
        <v>89.91</v>
      </c>
      <c r="C30">
        <v>91.15</v>
      </c>
      <c r="D30">
        <v>91.36</v>
      </c>
      <c r="E30">
        <v>89.75</v>
      </c>
      <c r="F30" t="s">
        <v>1483</v>
      </c>
      <c r="G30" s="8">
        <v>-1.1900000000000001E-2</v>
      </c>
      <c r="H30" s="3">
        <f t="shared" si="0"/>
        <v>-1.1869436201780381E-2</v>
      </c>
    </row>
    <row r="31" spans="1:8" x14ac:dyDescent="0.3">
      <c r="A31" s="7">
        <v>45428</v>
      </c>
      <c r="B31">
        <v>90.7</v>
      </c>
      <c r="C31">
        <v>89.61</v>
      </c>
      <c r="D31">
        <v>90.97</v>
      </c>
      <c r="E31">
        <v>89.6</v>
      </c>
      <c r="F31" t="s">
        <v>1482</v>
      </c>
      <c r="G31" s="8">
        <v>8.8000000000000005E-3</v>
      </c>
      <c r="H31" s="3">
        <f t="shared" si="0"/>
        <v>8.7865643421198847E-3</v>
      </c>
    </row>
    <row r="32" spans="1:8" x14ac:dyDescent="0.3">
      <c r="A32" s="7">
        <v>45429</v>
      </c>
      <c r="B32">
        <v>92.09</v>
      </c>
      <c r="C32">
        <v>90.54</v>
      </c>
      <c r="D32">
        <v>92.18</v>
      </c>
      <c r="E32">
        <v>90.27</v>
      </c>
      <c r="F32" t="s">
        <v>1481</v>
      </c>
      <c r="G32" s="8">
        <v>1.5299999999999999E-2</v>
      </c>
      <c r="H32" s="3">
        <f t="shared" si="0"/>
        <v>1.5325248070562347E-2</v>
      </c>
    </row>
    <row r="33" spans="1:8" x14ac:dyDescent="0.3">
      <c r="A33" s="7">
        <v>45433</v>
      </c>
      <c r="B33">
        <v>92.45</v>
      </c>
      <c r="C33">
        <v>91.58</v>
      </c>
      <c r="D33">
        <v>92.62</v>
      </c>
      <c r="E33">
        <v>91.15</v>
      </c>
      <c r="F33" t="s">
        <v>1480</v>
      </c>
      <c r="G33" s="8">
        <v>3.8999999999999998E-3</v>
      </c>
      <c r="H33" s="3">
        <f t="shared" si="0"/>
        <v>3.9092192420457916E-3</v>
      </c>
    </row>
    <row r="34" spans="1:8" x14ac:dyDescent="0.3">
      <c r="A34" s="7">
        <v>45434</v>
      </c>
      <c r="B34">
        <v>92.72</v>
      </c>
      <c r="C34">
        <v>92.42</v>
      </c>
      <c r="D34">
        <v>94.25</v>
      </c>
      <c r="E34">
        <v>92.2</v>
      </c>
      <c r="F34" t="s">
        <v>327</v>
      </c>
      <c r="G34" s="8">
        <v>2.8999999999999998E-3</v>
      </c>
      <c r="H34" s="3">
        <f t="shared" si="0"/>
        <v>2.9204975662520116E-3</v>
      </c>
    </row>
    <row r="35" spans="1:8" x14ac:dyDescent="0.3">
      <c r="A35" s="7">
        <v>45435</v>
      </c>
      <c r="B35">
        <v>92.89</v>
      </c>
      <c r="C35">
        <v>92</v>
      </c>
      <c r="D35">
        <v>93.11</v>
      </c>
      <c r="E35">
        <v>91.42</v>
      </c>
      <c r="F35" t="s">
        <v>1479</v>
      </c>
      <c r="G35" s="8">
        <v>1.8E-3</v>
      </c>
      <c r="H35" s="3">
        <f t="shared" si="0"/>
        <v>1.8334771354615587E-3</v>
      </c>
    </row>
    <row r="36" spans="1:8" x14ac:dyDescent="0.3">
      <c r="A36" s="7">
        <v>45436</v>
      </c>
      <c r="B36">
        <v>92.83</v>
      </c>
      <c r="C36">
        <v>92.94</v>
      </c>
      <c r="D36">
        <v>93.39</v>
      </c>
      <c r="E36">
        <v>92.6</v>
      </c>
      <c r="F36" t="s">
        <v>1478</v>
      </c>
      <c r="G36" s="8">
        <v>-5.9999999999999995E-4</v>
      </c>
      <c r="H36" s="3">
        <f t="shared" si="0"/>
        <v>-6.4592528797502435E-4</v>
      </c>
    </row>
    <row r="37" spans="1:8" x14ac:dyDescent="0.3">
      <c r="A37" s="7">
        <v>45439</v>
      </c>
      <c r="B37">
        <v>93.51</v>
      </c>
      <c r="C37">
        <v>92.79</v>
      </c>
      <c r="D37">
        <v>93.88</v>
      </c>
      <c r="E37">
        <v>92.79</v>
      </c>
      <c r="F37" t="s">
        <v>1477</v>
      </c>
      <c r="G37" s="8">
        <v>7.3000000000000001E-3</v>
      </c>
      <c r="H37" s="3">
        <f t="shared" si="0"/>
        <v>7.3252181406873174E-3</v>
      </c>
    </row>
    <row r="38" spans="1:8" x14ac:dyDescent="0.3">
      <c r="A38" s="7">
        <v>45440</v>
      </c>
      <c r="B38">
        <v>90.77</v>
      </c>
      <c r="C38">
        <v>93.1</v>
      </c>
      <c r="D38">
        <v>93.33</v>
      </c>
      <c r="E38">
        <v>90.44</v>
      </c>
      <c r="F38" t="s">
        <v>1476</v>
      </c>
      <c r="G38" s="8">
        <v>-2.93E-2</v>
      </c>
      <c r="H38" s="3">
        <f t="shared" si="0"/>
        <v>-2.9301678964816724E-2</v>
      </c>
    </row>
    <row r="39" spans="1:8" x14ac:dyDescent="0.3">
      <c r="A39" s="7">
        <v>45441</v>
      </c>
      <c r="B39">
        <v>88.99</v>
      </c>
      <c r="C39">
        <v>90.23</v>
      </c>
      <c r="D39">
        <v>91.25</v>
      </c>
      <c r="E39">
        <v>88.68</v>
      </c>
      <c r="F39" t="s">
        <v>131</v>
      </c>
      <c r="G39" s="8">
        <v>-1.9599999999999999E-2</v>
      </c>
      <c r="H39" s="3">
        <f t="shared" si="0"/>
        <v>-1.96100033050568E-2</v>
      </c>
    </row>
    <row r="40" spans="1:8" x14ac:dyDescent="0.3">
      <c r="A40" s="7">
        <v>45442</v>
      </c>
      <c r="B40">
        <v>88.4</v>
      </c>
      <c r="C40">
        <v>88.93</v>
      </c>
      <c r="D40">
        <v>89.69</v>
      </c>
      <c r="E40">
        <v>88.11</v>
      </c>
      <c r="F40" t="s">
        <v>1475</v>
      </c>
      <c r="G40" s="8">
        <v>-6.6E-3</v>
      </c>
      <c r="H40" s="3">
        <f t="shared" si="0"/>
        <v>-6.629958422294524E-3</v>
      </c>
    </row>
    <row r="41" spans="1:8" x14ac:dyDescent="0.3">
      <c r="A41" s="7">
        <v>45443</v>
      </c>
      <c r="B41">
        <v>88.74</v>
      </c>
      <c r="C41">
        <v>88.43</v>
      </c>
      <c r="D41">
        <v>89.12</v>
      </c>
      <c r="E41">
        <v>87.41</v>
      </c>
      <c r="F41" t="s">
        <v>1474</v>
      </c>
      <c r="G41" s="8">
        <v>3.8E-3</v>
      </c>
      <c r="H41" s="3">
        <f t="shared" si="0"/>
        <v>3.8461538461538325E-3</v>
      </c>
    </row>
    <row r="42" spans="1:8" x14ac:dyDescent="0.3">
      <c r="A42" s="7">
        <v>45446</v>
      </c>
      <c r="B42">
        <v>88.46</v>
      </c>
      <c r="C42">
        <v>88.43</v>
      </c>
      <c r="D42">
        <v>89.08</v>
      </c>
      <c r="E42">
        <v>88.16</v>
      </c>
      <c r="F42" t="s">
        <v>1473</v>
      </c>
      <c r="G42" s="8">
        <v>-3.2000000000000002E-3</v>
      </c>
      <c r="H42" s="3">
        <f t="shared" si="0"/>
        <v>-3.155285102546812E-3</v>
      </c>
    </row>
    <row r="43" spans="1:8" x14ac:dyDescent="0.3">
      <c r="A43" s="7">
        <v>45447</v>
      </c>
      <c r="B43">
        <v>88.87</v>
      </c>
      <c r="C43">
        <v>87.89</v>
      </c>
      <c r="D43">
        <v>89.17</v>
      </c>
      <c r="E43">
        <v>87.89</v>
      </c>
      <c r="F43" t="s">
        <v>1472</v>
      </c>
      <c r="G43" s="8">
        <v>4.5999999999999999E-3</v>
      </c>
      <c r="H43" s="3">
        <f t="shared" si="0"/>
        <v>4.6348632150126079E-3</v>
      </c>
    </row>
    <row r="44" spans="1:8" x14ac:dyDescent="0.3">
      <c r="A44" s="7">
        <v>45448</v>
      </c>
      <c r="B44">
        <v>88.28</v>
      </c>
      <c r="C44">
        <v>89.01</v>
      </c>
      <c r="D44">
        <v>89.01</v>
      </c>
      <c r="E44">
        <v>87.97</v>
      </c>
      <c r="F44" t="s">
        <v>1471</v>
      </c>
      <c r="G44" s="8">
        <v>-6.6E-3</v>
      </c>
      <c r="H44" s="3">
        <f t="shared" si="0"/>
        <v>-6.6389107685383975E-3</v>
      </c>
    </row>
    <row r="45" spans="1:8" x14ac:dyDescent="0.3">
      <c r="A45" s="7">
        <v>45449</v>
      </c>
      <c r="B45">
        <v>87.41</v>
      </c>
      <c r="C45">
        <v>88.06</v>
      </c>
      <c r="D45">
        <v>88.28</v>
      </c>
      <c r="E45">
        <v>87.32</v>
      </c>
      <c r="F45" t="s">
        <v>1470</v>
      </c>
      <c r="G45" s="8">
        <v>-9.9000000000000008E-3</v>
      </c>
      <c r="H45" s="3">
        <f t="shared" si="0"/>
        <v>-9.8550067965564869E-3</v>
      </c>
    </row>
    <row r="46" spans="1:8" x14ac:dyDescent="0.3">
      <c r="A46" s="7">
        <v>45450</v>
      </c>
      <c r="B46">
        <v>87.15</v>
      </c>
      <c r="C46">
        <v>87.04</v>
      </c>
      <c r="D46">
        <v>87.76</v>
      </c>
      <c r="E46">
        <v>86.78</v>
      </c>
      <c r="F46" t="s">
        <v>1469</v>
      </c>
      <c r="G46" s="8">
        <v>-3.0000000000000001E-3</v>
      </c>
      <c r="H46" s="3">
        <f t="shared" si="0"/>
        <v>-2.9744880448460131E-3</v>
      </c>
    </row>
    <row r="47" spans="1:8" x14ac:dyDescent="0.3">
      <c r="A47" s="7">
        <v>45453</v>
      </c>
      <c r="B47">
        <v>87.99</v>
      </c>
      <c r="C47">
        <v>86.68</v>
      </c>
      <c r="D47">
        <v>88.06</v>
      </c>
      <c r="E47">
        <v>86.66</v>
      </c>
      <c r="F47" t="s">
        <v>845</v>
      </c>
      <c r="G47" s="8">
        <v>9.5999999999999992E-3</v>
      </c>
      <c r="H47" s="3">
        <f t="shared" si="0"/>
        <v>9.6385542168673233E-3</v>
      </c>
    </row>
    <row r="48" spans="1:8" x14ac:dyDescent="0.3">
      <c r="A48" s="7">
        <v>45454</v>
      </c>
      <c r="B48">
        <v>87.1</v>
      </c>
      <c r="C48">
        <v>87.42</v>
      </c>
      <c r="D48">
        <v>87.67</v>
      </c>
      <c r="E48">
        <v>86.73</v>
      </c>
      <c r="F48" t="s">
        <v>1468</v>
      </c>
      <c r="G48" s="8">
        <v>-1.01E-2</v>
      </c>
      <c r="H48" s="3">
        <f t="shared" si="0"/>
        <v>-1.0114785771110357E-2</v>
      </c>
    </row>
    <row r="49" spans="1:8" x14ac:dyDescent="0.3">
      <c r="A49" s="7">
        <v>45455</v>
      </c>
      <c r="B49">
        <v>87.55</v>
      </c>
      <c r="C49">
        <v>87.47</v>
      </c>
      <c r="D49">
        <v>88.13</v>
      </c>
      <c r="E49">
        <v>87.46</v>
      </c>
      <c r="F49" t="s">
        <v>1467</v>
      </c>
      <c r="G49" s="8">
        <v>5.1999999999999998E-3</v>
      </c>
      <c r="H49" s="3">
        <f t="shared" si="0"/>
        <v>5.1664753157290022E-3</v>
      </c>
    </row>
    <row r="50" spans="1:8" x14ac:dyDescent="0.3">
      <c r="A50" s="7">
        <v>45456</v>
      </c>
      <c r="B50">
        <v>85.86</v>
      </c>
      <c r="C50">
        <v>87.29</v>
      </c>
      <c r="D50">
        <v>87.29</v>
      </c>
      <c r="E50">
        <v>85.77</v>
      </c>
      <c r="F50" t="s">
        <v>1466</v>
      </c>
      <c r="G50" s="8">
        <v>-1.9300000000000001E-2</v>
      </c>
      <c r="H50" s="3">
        <f t="shared" si="0"/>
        <v>-1.9303255282695608E-2</v>
      </c>
    </row>
    <row r="51" spans="1:8" x14ac:dyDescent="0.3">
      <c r="A51" s="7">
        <v>45457</v>
      </c>
      <c r="B51">
        <v>85.18</v>
      </c>
      <c r="C51">
        <v>85.44</v>
      </c>
      <c r="D51">
        <v>85.44</v>
      </c>
      <c r="E51">
        <v>84.53</v>
      </c>
      <c r="F51" t="s">
        <v>1465</v>
      </c>
      <c r="G51" s="8">
        <v>-7.9000000000000008E-3</v>
      </c>
      <c r="H51" s="3">
        <f t="shared" si="0"/>
        <v>-7.9198695550896092E-3</v>
      </c>
    </row>
    <row r="52" spans="1:8" x14ac:dyDescent="0.3">
      <c r="A52" s="7">
        <v>45460</v>
      </c>
      <c r="B52">
        <v>85.53</v>
      </c>
      <c r="C52">
        <v>85.08</v>
      </c>
      <c r="D52">
        <v>85.89</v>
      </c>
      <c r="E52">
        <v>84.29</v>
      </c>
      <c r="F52" t="s">
        <v>1464</v>
      </c>
      <c r="G52" s="8">
        <v>4.1000000000000003E-3</v>
      </c>
      <c r="H52" s="3">
        <f t="shared" si="0"/>
        <v>4.1089457619158942E-3</v>
      </c>
    </row>
    <row r="53" spans="1:8" x14ac:dyDescent="0.3">
      <c r="A53" s="7">
        <v>45461</v>
      </c>
      <c r="B53">
        <v>85.77</v>
      </c>
      <c r="C53">
        <v>86.29</v>
      </c>
      <c r="D53">
        <v>86.35</v>
      </c>
      <c r="E53">
        <v>85.39</v>
      </c>
      <c r="F53" t="s">
        <v>1463</v>
      </c>
      <c r="G53" s="8">
        <v>2.8E-3</v>
      </c>
      <c r="H53" s="3">
        <f t="shared" si="0"/>
        <v>2.8060329708874399E-3</v>
      </c>
    </row>
    <row r="54" spans="1:8" x14ac:dyDescent="0.3">
      <c r="A54" s="7">
        <v>45462</v>
      </c>
      <c r="B54">
        <v>85.89</v>
      </c>
      <c r="C54">
        <v>85.52</v>
      </c>
      <c r="D54">
        <v>86.32</v>
      </c>
      <c r="E54">
        <v>85.3</v>
      </c>
      <c r="F54" t="s">
        <v>1462</v>
      </c>
      <c r="G54" s="8">
        <v>1.4E-3</v>
      </c>
      <c r="H54" s="3">
        <f t="shared" si="0"/>
        <v>1.3990905911158702E-3</v>
      </c>
    </row>
    <row r="55" spans="1:8" x14ac:dyDescent="0.3">
      <c r="A55" s="7">
        <v>45463</v>
      </c>
      <c r="B55">
        <v>85.03</v>
      </c>
      <c r="C55">
        <v>85.72</v>
      </c>
      <c r="D55">
        <v>86.38</v>
      </c>
      <c r="E55">
        <v>84.64</v>
      </c>
      <c r="F55" t="s">
        <v>1461</v>
      </c>
      <c r="G55" s="8">
        <v>-0.01</v>
      </c>
      <c r="H55" s="3">
        <f t="shared" si="0"/>
        <v>-1.0012807078821795E-2</v>
      </c>
    </row>
    <row r="56" spans="1:8" x14ac:dyDescent="0.3">
      <c r="A56" s="7">
        <v>45464</v>
      </c>
      <c r="B56">
        <v>85.19</v>
      </c>
      <c r="C56">
        <v>85.46</v>
      </c>
      <c r="D56">
        <v>85.94</v>
      </c>
      <c r="E56">
        <v>84.81</v>
      </c>
      <c r="F56" t="s">
        <v>1460</v>
      </c>
      <c r="G56" s="8">
        <v>1.9E-3</v>
      </c>
      <c r="H56" s="3">
        <f t="shared" si="0"/>
        <v>1.8816888157120459E-3</v>
      </c>
    </row>
    <row r="57" spans="1:8" x14ac:dyDescent="0.3">
      <c r="A57" s="7">
        <v>45467</v>
      </c>
      <c r="B57">
        <v>86.09</v>
      </c>
      <c r="C57">
        <v>85.4</v>
      </c>
      <c r="D57">
        <v>86.19</v>
      </c>
      <c r="E57">
        <v>85.4</v>
      </c>
      <c r="F57" t="s">
        <v>1459</v>
      </c>
      <c r="G57" s="8">
        <v>1.06E-2</v>
      </c>
      <c r="H57" s="3">
        <f t="shared" si="0"/>
        <v>1.0564620260594015E-2</v>
      </c>
    </row>
    <row r="58" spans="1:8" x14ac:dyDescent="0.3">
      <c r="A58" s="7">
        <v>45468</v>
      </c>
      <c r="B58">
        <v>86.5</v>
      </c>
      <c r="C58">
        <v>86.32</v>
      </c>
      <c r="D58">
        <v>86.92</v>
      </c>
      <c r="E58">
        <v>85.24</v>
      </c>
      <c r="F58" t="s">
        <v>1458</v>
      </c>
      <c r="G58" s="8">
        <v>4.7999999999999996E-3</v>
      </c>
      <c r="H58" s="3">
        <f t="shared" si="0"/>
        <v>4.7624578929026384E-3</v>
      </c>
    </row>
    <row r="59" spans="1:8" x14ac:dyDescent="0.3">
      <c r="A59" s="7">
        <v>45469</v>
      </c>
      <c r="B59">
        <v>85.66</v>
      </c>
      <c r="C59">
        <v>86.11</v>
      </c>
      <c r="D59">
        <v>87.79</v>
      </c>
      <c r="E59">
        <v>84.9</v>
      </c>
      <c r="F59" t="s">
        <v>1457</v>
      </c>
      <c r="G59" s="8">
        <v>-9.7000000000000003E-3</v>
      </c>
      <c r="H59" s="3">
        <f t="shared" si="0"/>
        <v>-9.7109826589595327E-3</v>
      </c>
    </row>
    <row r="60" spans="1:8" x14ac:dyDescent="0.3">
      <c r="A60" s="7">
        <v>45470</v>
      </c>
      <c r="B60">
        <v>85.85</v>
      </c>
      <c r="C60">
        <v>85.31</v>
      </c>
      <c r="D60">
        <v>86.1</v>
      </c>
      <c r="E60">
        <v>84.95</v>
      </c>
      <c r="F60" t="s">
        <v>1456</v>
      </c>
      <c r="G60" s="8">
        <v>2.2000000000000001E-3</v>
      </c>
      <c r="H60" s="3">
        <f t="shared" si="0"/>
        <v>2.2180714452486594E-3</v>
      </c>
    </row>
    <row r="61" spans="1:8" x14ac:dyDescent="0.3">
      <c r="A61" s="7">
        <v>45471</v>
      </c>
      <c r="B61">
        <v>85.91</v>
      </c>
      <c r="C61">
        <v>86.47</v>
      </c>
      <c r="D61">
        <v>86.5</v>
      </c>
      <c r="E61">
        <v>85.52</v>
      </c>
      <c r="F61" t="s">
        <v>1455</v>
      </c>
      <c r="G61" s="8">
        <v>6.9999999999999999E-4</v>
      </c>
      <c r="H61" s="3">
        <f t="shared" si="0"/>
        <v>6.9889341875373212E-4</v>
      </c>
    </row>
    <row r="62" spans="1:8" x14ac:dyDescent="0.3">
      <c r="A62" s="7">
        <v>45475</v>
      </c>
      <c r="B62">
        <v>86</v>
      </c>
      <c r="C62">
        <v>85.91</v>
      </c>
      <c r="D62">
        <v>86.38</v>
      </c>
      <c r="E62">
        <v>85.5</v>
      </c>
      <c r="F62" t="s">
        <v>1454</v>
      </c>
      <c r="G62" s="8">
        <v>1E-3</v>
      </c>
      <c r="H62" s="3">
        <f t="shared" si="0"/>
        <v>1.0476079618204626E-3</v>
      </c>
    </row>
    <row r="63" spans="1:8" x14ac:dyDescent="0.3">
      <c r="A63" s="7">
        <v>45476</v>
      </c>
      <c r="B63">
        <v>85.9</v>
      </c>
      <c r="C63">
        <v>86.25</v>
      </c>
      <c r="D63">
        <v>86.59</v>
      </c>
      <c r="E63">
        <v>85.74</v>
      </c>
      <c r="F63" t="s">
        <v>1453</v>
      </c>
      <c r="G63" s="8">
        <v>-1.1999999999999999E-3</v>
      </c>
      <c r="H63" s="3">
        <f t="shared" si="0"/>
        <v>-1.1627906976743319E-3</v>
      </c>
    </row>
    <row r="64" spans="1:8" x14ac:dyDescent="0.3">
      <c r="A64" s="7">
        <v>45477</v>
      </c>
      <c r="B64">
        <v>85.92</v>
      </c>
      <c r="C64">
        <v>85.92</v>
      </c>
      <c r="D64">
        <v>86.27</v>
      </c>
      <c r="E64">
        <v>85.76</v>
      </c>
      <c r="F64" t="s">
        <v>1452</v>
      </c>
      <c r="G64" s="8">
        <v>2.0000000000000001E-4</v>
      </c>
      <c r="H64" s="3">
        <f t="shared" si="0"/>
        <v>2.328288707800219E-4</v>
      </c>
    </row>
    <row r="65" spans="1:8" x14ac:dyDescent="0.3">
      <c r="A65" s="7">
        <v>45478</v>
      </c>
      <c r="B65">
        <v>84.53</v>
      </c>
      <c r="C65">
        <v>85.77</v>
      </c>
      <c r="D65">
        <v>85.88</v>
      </c>
      <c r="E65">
        <v>84.5</v>
      </c>
      <c r="F65" t="s">
        <v>1451</v>
      </c>
      <c r="G65" s="8">
        <v>-1.6199999999999999E-2</v>
      </c>
      <c r="H65" s="3">
        <f t="shared" si="0"/>
        <v>-1.6177839851024167E-2</v>
      </c>
    </row>
    <row r="66" spans="1:8" x14ac:dyDescent="0.3">
      <c r="A66" s="7">
        <v>45481</v>
      </c>
      <c r="B66">
        <v>84.79</v>
      </c>
      <c r="C66">
        <v>84.83</v>
      </c>
      <c r="D66">
        <v>85.05</v>
      </c>
      <c r="E66">
        <v>84.43</v>
      </c>
      <c r="F66" t="s">
        <v>1450</v>
      </c>
      <c r="G66" s="8">
        <v>3.0999999999999999E-3</v>
      </c>
      <c r="H66" s="3">
        <f t="shared" si="0"/>
        <v>3.0758310658938193E-3</v>
      </c>
    </row>
    <row r="67" spans="1:8" x14ac:dyDescent="0.3">
      <c r="A67" s="7">
        <v>45482</v>
      </c>
      <c r="B67">
        <v>84.74</v>
      </c>
      <c r="C67">
        <v>84.76</v>
      </c>
      <c r="D67">
        <v>85.47</v>
      </c>
      <c r="E67">
        <v>84.54</v>
      </c>
      <c r="F67" t="s">
        <v>1449</v>
      </c>
      <c r="G67" s="8">
        <v>-5.9999999999999995E-4</v>
      </c>
      <c r="H67" s="3">
        <f t="shared" si="0"/>
        <v>-5.8969218068183338E-4</v>
      </c>
    </row>
    <row r="68" spans="1:8" x14ac:dyDescent="0.3">
      <c r="A68" s="7">
        <v>45483</v>
      </c>
      <c r="B68">
        <v>85.85</v>
      </c>
      <c r="C68">
        <v>85.14</v>
      </c>
      <c r="D68">
        <v>85.95</v>
      </c>
      <c r="E68">
        <v>84.76</v>
      </c>
      <c r="F68" t="s">
        <v>1448</v>
      </c>
      <c r="G68" s="8">
        <v>1.3100000000000001E-2</v>
      </c>
      <c r="H68" s="3">
        <f t="shared" ref="H68:H131" si="1">(B68/B67)-1</f>
        <v>1.3098890724569268E-2</v>
      </c>
    </row>
    <row r="69" spans="1:8" x14ac:dyDescent="0.3">
      <c r="A69" s="7">
        <v>45484</v>
      </c>
      <c r="B69">
        <v>86.81</v>
      </c>
      <c r="C69">
        <v>86.43</v>
      </c>
      <c r="D69">
        <v>86.88</v>
      </c>
      <c r="E69">
        <v>85.93</v>
      </c>
      <c r="F69" t="s">
        <v>1447</v>
      </c>
      <c r="G69" s="8">
        <v>1.12E-2</v>
      </c>
      <c r="H69" s="3">
        <f t="shared" si="1"/>
        <v>1.1182294700058382E-2</v>
      </c>
    </row>
    <row r="70" spans="1:8" x14ac:dyDescent="0.3">
      <c r="A70" s="7">
        <v>45485</v>
      </c>
      <c r="B70">
        <v>88.23</v>
      </c>
      <c r="C70">
        <v>86.72</v>
      </c>
      <c r="D70">
        <v>88.42</v>
      </c>
      <c r="E70">
        <v>86.72</v>
      </c>
      <c r="F70" t="s">
        <v>1446</v>
      </c>
      <c r="G70" s="8">
        <v>1.6400000000000001E-2</v>
      </c>
      <c r="H70" s="3">
        <f t="shared" si="1"/>
        <v>1.6357562492800293E-2</v>
      </c>
    </row>
    <row r="71" spans="1:8" x14ac:dyDescent="0.3">
      <c r="A71" s="7">
        <v>45488</v>
      </c>
      <c r="B71">
        <v>89.23</v>
      </c>
      <c r="C71">
        <v>88.18</v>
      </c>
      <c r="D71">
        <v>89.35</v>
      </c>
      <c r="E71">
        <v>88.18</v>
      </c>
      <c r="F71" t="s">
        <v>1445</v>
      </c>
      <c r="G71" s="8">
        <v>1.1299999999999999E-2</v>
      </c>
      <c r="H71" s="3">
        <f t="shared" si="1"/>
        <v>1.1334013374135754E-2</v>
      </c>
    </row>
    <row r="72" spans="1:8" x14ac:dyDescent="0.3">
      <c r="A72" s="7">
        <v>45489</v>
      </c>
      <c r="B72">
        <v>90.76</v>
      </c>
      <c r="C72">
        <v>89.42</v>
      </c>
      <c r="D72">
        <v>91.31</v>
      </c>
      <c r="E72">
        <v>89.29</v>
      </c>
      <c r="F72" t="s">
        <v>1444</v>
      </c>
      <c r="G72" s="8">
        <v>1.7100000000000001E-2</v>
      </c>
      <c r="H72" s="3">
        <f t="shared" si="1"/>
        <v>1.7146699540513399E-2</v>
      </c>
    </row>
    <row r="73" spans="1:8" x14ac:dyDescent="0.3">
      <c r="A73" s="7">
        <v>45490</v>
      </c>
      <c r="B73">
        <v>90.73</v>
      </c>
      <c r="C73">
        <v>90.42</v>
      </c>
      <c r="D73">
        <v>91.31</v>
      </c>
      <c r="E73">
        <v>89.41</v>
      </c>
      <c r="F73" t="s">
        <v>1443</v>
      </c>
      <c r="G73" s="8">
        <v>-2.9999999999999997E-4</v>
      </c>
      <c r="H73" s="3">
        <f t="shared" si="1"/>
        <v>-3.3054208902605353E-4</v>
      </c>
    </row>
    <row r="74" spans="1:8" x14ac:dyDescent="0.3">
      <c r="A74" s="7">
        <v>45491</v>
      </c>
      <c r="B74">
        <v>89.64</v>
      </c>
      <c r="C74">
        <v>90.42</v>
      </c>
      <c r="D74">
        <v>91.21</v>
      </c>
      <c r="E74">
        <v>88.99</v>
      </c>
      <c r="F74" t="s">
        <v>1442</v>
      </c>
      <c r="G74" s="8">
        <v>-1.2E-2</v>
      </c>
      <c r="H74" s="3">
        <f t="shared" si="1"/>
        <v>-1.2013666923839983E-2</v>
      </c>
    </row>
    <row r="75" spans="1:8" x14ac:dyDescent="0.3">
      <c r="A75" s="7">
        <v>45492</v>
      </c>
      <c r="B75">
        <v>89.09</v>
      </c>
      <c r="C75">
        <v>89.63</v>
      </c>
      <c r="D75">
        <v>90.15</v>
      </c>
      <c r="E75">
        <v>89</v>
      </c>
      <c r="F75" t="s">
        <v>1441</v>
      </c>
      <c r="G75" s="8">
        <v>-6.1000000000000004E-3</v>
      </c>
      <c r="H75" s="3">
        <f t="shared" si="1"/>
        <v>-6.1356537260151001E-3</v>
      </c>
    </row>
    <row r="76" spans="1:8" x14ac:dyDescent="0.3">
      <c r="A76" s="7">
        <v>45495</v>
      </c>
      <c r="B76">
        <v>89.48</v>
      </c>
      <c r="C76">
        <v>89.43</v>
      </c>
      <c r="D76">
        <v>89.75</v>
      </c>
      <c r="E76">
        <v>88.26</v>
      </c>
      <c r="F76" t="s">
        <v>1440</v>
      </c>
      <c r="G76" s="8">
        <v>4.4000000000000003E-3</v>
      </c>
      <c r="H76" s="3">
        <f t="shared" si="1"/>
        <v>4.3775956897520452E-3</v>
      </c>
    </row>
    <row r="77" spans="1:8" x14ac:dyDescent="0.3">
      <c r="A77" s="7">
        <v>45496</v>
      </c>
      <c r="B77">
        <v>89.87</v>
      </c>
      <c r="C77">
        <v>89.8</v>
      </c>
      <c r="D77">
        <v>90.06</v>
      </c>
      <c r="E77">
        <v>89.27</v>
      </c>
      <c r="F77" t="s">
        <v>1439</v>
      </c>
      <c r="G77" s="8">
        <v>4.4000000000000003E-3</v>
      </c>
      <c r="H77" s="3">
        <f t="shared" si="1"/>
        <v>4.3585158694681159E-3</v>
      </c>
    </row>
    <row r="78" spans="1:8" x14ac:dyDescent="0.3">
      <c r="A78" s="7">
        <v>45497</v>
      </c>
      <c r="B78">
        <v>89.94</v>
      </c>
      <c r="C78">
        <v>89.9</v>
      </c>
      <c r="D78">
        <v>90.47</v>
      </c>
      <c r="E78">
        <v>89.63</v>
      </c>
      <c r="F78" t="s">
        <v>1438</v>
      </c>
      <c r="G78" s="8">
        <v>8.0000000000000004E-4</v>
      </c>
      <c r="H78" s="3">
        <f t="shared" si="1"/>
        <v>7.7890285968607031E-4</v>
      </c>
    </row>
    <row r="79" spans="1:8" x14ac:dyDescent="0.3">
      <c r="A79" s="7">
        <v>45498</v>
      </c>
      <c r="B79">
        <v>90.6</v>
      </c>
      <c r="C79">
        <v>90.11</v>
      </c>
      <c r="D79">
        <v>91.39</v>
      </c>
      <c r="E79">
        <v>89.84</v>
      </c>
      <c r="F79" t="s">
        <v>1437</v>
      </c>
      <c r="G79" s="8">
        <v>7.3000000000000001E-3</v>
      </c>
      <c r="H79" s="3">
        <f t="shared" si="1"/>
        <v>7.3382254836558136E-3</v>
      </c>
    </row>
    <row r="80" spans="1:8" x14ac:dyDescent="0.3">
      <c r="A80" s="7">
        <v>45499</v>
      </c>
      <c r="B80">
        <v>91.5</v>
      </c>
      <c r="C80">
        <v>90.72</v>
      </c>
      <c r="D80">
        <v>91.77</v>
      </c>
      <c r="E80">
        <v>90.72</v>
      </c>
      <c r="F80" t="s">
        <v>1436</v>
      </c>
      <c r="G80" s="8">
        <v>9.9000000000000008E-3</v>
      </c>
      <c r="H80" s="3">
        <f t="shared" si="1"/>
        <v>9.9337748344372478E-3</v>
      </c>
    </row>
    <row r="81" spans="1:8" x14ac:dyDescent="0.3">
      <c r="A81" s="7">
        <v>45502</v>
      </c>
      <c r="B81">
        <v>90.91</v>
      </c>
      <c r="C81">
        <v>91.48</v>
      </c>
      <c r="D81">
        <v>91.57</v>
      </c>
      <c r="E81">
        <v>90.46</v>
      </c>
      <c r="F81" t="s">
        <v>1435</v>
      </c>
      <c r="G81" s="8">
        <v>-6.4000000000000003E-3</v>
      </c>
      <c r="H81" s="3">
        <f t="shared" si="1"/>
        <v>-6.4480874316940051E-3</v>
      </c>
    </row>
    <row r="82" spans="1:8" x14ac:dyDescent="0.3">
      <c r="A82" s="7">
        <v>45503</v>
      </c>
      <c r="B82">
        <v>92.23</v>
      </c>
      <c r="C82">
        <v>91.13</v>
      </c>
      <c r="D82">
        <v>92.85</v>
      </c>
      <c r="E82">
        <v>90.25</v>
      </c>
      <c r="F82" t="s">
        <v>1434</v>
      </c>
      <c r="G82" s="8">
        <v>1.4500000000000001E-2</v>
      </c>
      <c r="H82" s="3">
        <f t="shared" si="1"/>
        <v>1.4519854801452015E-2</v>
      </c>
    </row>
    <row r="83" spans="1:8" x14ac:dyDescent="0.3">
      <c r="A83" s="7">
        <v>45504</v>
      </c>
      <c r="B83">
        <v>93.36</v>
      </c>
      <c r="C83">
        <v>92.51</v>
      </c>
      <c r="D83">
        <v>93.96</v>
      </c>
      <c r="E83">
        <v>92.14</v>
      </c>
      <c r="F83" t="s">
        <v>1433</v>
      </c>
      <c r="G83" s="8">
        <v>1.23E-2</v>
      </c>
      <c r="H83" s="3">
        <f t="shared" si="1"/>
        <v>1.2251978748780257E-2</v>
      </c>
    </row>
    <row r="84" spans="1:8" x14ac:dyDescent="0.3">
      <c r="A84" s="7">
        <v>45505</v>
      </c>
      <c r="B84">
        <v>90.82</v>
      </c>
      <c r="C84">
        <v>93.59</v>
      </c>
      <c r="D84">
        <v>93.59</v>
      </c>
      <c r="E84">
        <v>90.63</v>
      </c>
      <c r="F84" t="s">
        <v>1432</v>
      </c>
      <c r="G84" s="8">
        <v>-2.7199999999999998E-2</v>
      </c>
      <c r="H84" s="3">
        <f t="shared" si="1"/>
        <v>-2.7206512425021478E-2</v>
      </c>
    </row>
    <row r="85" spans="1:8" x14ac:dyDescent="0.3">
      <c r="A85" s="7">
        <v>45506</v>
      </c>
      <c r="B85">
        <v>89.8</v>
      </c>
      <c r="C85">
        <v>89.6</v>
      </c>
      <c r="D85">
        <v>89.86</v>
      </c>
      <c r="E85">
        <v>88.33</v>
      </c>
      <c r="F85" t="s">
        <v>1431</v>
      </c>
      <c r="G85" s="8">
        <v>-1.12E-2</v>
      </c>
      <c r="H85" s="3">
        <f t="shared" si="1"/>
        <v>-1.1231006386258513E-2</v>
      </c>
    </row>
    <row r="86" spans="1:8" x14ac:dyDescent="0.3">
      <c r="A86" s="7">
        <v>45510</v>
      </c>
      <c r="B86">
        <v>88.8</v>
      </c>
      <c r="C86">
        <v>86.96</v>
      </c>
      <c r="D86">
        <v>88.85</v>
      </c>
      <c r="E86">
        <v>86.92</v>
      </c>
      <c r="F86" t="s">
        <v>1430</v>
      </c>
      <c r="G86" s="8">
        <v>-1.11E-2</v>
      </c>
      <c r="H86" s="3">
        <f t="shared" si="1"/>
        <v>-1.1135857461024523E-2</v>
      </c>
    </row>
    <row r="87" spans="1:8" x14ac:dyDescent="0.3">
      <c r="A87" s="7">
        <v>45511</v>
      </c>
      <c r="B87">
        <v>92.98</v>
      </c>
      <c r="C87">
        <v>90.66</v>
      </c>
      <c r="D87">
        <v>94.32</v>
      </c>
      <c r="E87">
        <v>90.66</v>
      </c>
      <c r="F87" t="s">
        <v>1429</v>
      </c>
      <c r="G87" s="8">
        <v>4.7100000000000003E-2</v>
      </c>
      <c r="H87" s="3">
        <f t="shared" si="1"/>
        <v>4.7072072072072091E-2</v>
      </c>
    </row>
    <row r="88" spans="1:8" x14ac:dyDescent="0.3">
      <c r="A88" s="7">
        <v>45512</v>
      </c>
      <c r="B88">
        <v>96.3</v>
      </c>
      <c r="C88">
        <v>93.14</v>
      </c>
      <c r="D88">
        <v>96.46</v>
      </c>
      <c r="E88">
        <v>92.83</v>
      </c>
      <c r="F88" t="s">
        <v>1428</v>
      </c>
      <c r="G88" s="8">
        <v>3.5700000000000003E-2</v>
      </c>
      <c r="H88" s="3">
        <f t="shared" si="1"/>
        <v>3.5706603570660356E-2</v>
      </c>
    </row>
    <row r="89" spans="1:8" x14ac:dyDescent="0.3">
      <c r="A89" s="7">
        <v>45513</v>
      </c>
      <c r="B89">
        <v>99.23</v>
      </c>
      <c r="C89">
        <v>96.46</v>
      </c>
      <c r="D89">
        <v>99.31</v>
      </c>
      <c r="E89">
        <v>96</v>
      </c>
      <c r="F89" t="s">
        <v>1427</v>
      </c>
      <c r="G89" s="8">
        <v>3.04E-2</v>
      </c>
      <c r="H89" s="3">
        <f t="shared" si="1"/>
        <v>3.0425752855659516E-2</v>
      </c>
    </row>
    <row r="90" spans="1:8" x14ac:dyDescent="0.3">
      <c r="A90" s="7">
        <v>45516</v>
      </c>
      <c r="B90">
        <v>99.01</v>
      </c>
      <c r="C90">
        <v>98.91</v>
      </c>
      <c r="D90">
        <v>99.14</v>
      </c>
      <c r="E90">
        <v>97</v>
      </c>
      <c r="F90" t="s">
        <v>1426</v>
      </c>
      <c r="G90" s="8">
        <v>-2.2000000000000001E-3</v>
      </c>
      <c r="H90" s="3">
        <f t="shared" si="1"/>
        <v>-2.2170714501662525E-3</v>
      </c>
    </row>
    <row r="91" spans="1:8" x14ac:dyDescent="0.3">
      <c r="A91" s="7">
        <v>45517</v>
      </c>
      <c r="B91">
        <v>100.71</v>
      </c>
      <c r="C91">
        <v>99.61</v>
      </c>
      <c r="D91">
        <v>101.06</v>
      </c>
      <c r="E91">
        <v>98.25</v>
      </c>
      <c r="F91" t="s">
        <v>1425</v>
      </c>
      <c r="G91" s="8">
        <v>1.72E-2</v>
      </c>
      <c r="H91" s="3">
        <f t="shared" si="1"/>
        <v>1.7169982830017139E-2</v>
      </c>
    </row>
    <row r="92" spans="1:8" x14ac:dyDescent="0.3">
      <c r="A92" s="7">
        <v>45518</v>
      </c>
      <c r="B92">
        <v>100.75</v>
      </c>
      <c r="C92">
        <v>100.72</v>
      </c>
      <c r="D92">
        <v>102.05</v>
      </c>
      <c r="E92">
        <v>100.71</v>
      </c>
      <c r="F92" t="s">
        <v>1424</v>
      </c>
      <c r="G92" s="8">
        <v>4.0000000000000002E-4</v>
      </c>
      <c r="H92" s="3">
        <f t="shared" si="1"/>
        <v>3.9718002184496726E-4</v>
      </c>
    </row>
    <row r="93" spans="1:8" x14ac:dyDescent="0.3">
      <c r="A93" s="7">
        <v>45519</v>
      </c>
      <c r="B93">
        <v>99.39</v>
      </c>
      <c r="C93">
        <v>101.18</v>
      </c>
      <c r="D93">
        <v>101.23</v>
      </c>
      <c r="E93">
        <v>99.01</v>
      </c>
      <c r="F93" t="s">
        <v>1423</v>
      </c>
      <c r="G93" s="8">
        <v>-1.35E-2</v>
      </c>
      <c r="H93" s="3">
        <f t="shared" si="1"/>
        <v>-1.3498759305210939E-2</v>
      </c>
    </row>
    <row r="94" spans="1:8" x14ac:dyDescent="0.3">
      <c r="A94" s="7">
        <v>45520</v>
      </c>
      <c r="B94">
        <v>99.73</v>
      </c>
      <c r="C94">
        <v>99.63</v>
      </c>
      <c r="D94">
        <v>99.98</v>
      </c>
      <c r="E94">
        <v>98.66</v>
      </c>
      <c r="F94" t="s">
        <v>1422</v>
      </c>
      <c r="G94" s="8">
        <v>3.3999999999999998E-3</v>
      </c>
      <c r="H94" s="3">
        <f t="shared" si="1"/>
        <v>3.4208672904718629E-3</v>
      </c>
    </row>
    <row r="95" spans="1:8" x14ac:dyDescent="0.3">
      <c r="A95" s="7">
        <v>45523</v>
      </c>
      <c r="B95">
        <v>100.68</v>
      </c>
      <c r="C95">
        <v>99.62</v>
      </c>
      <c r="D95">
        <v>101.39</v>
      </c>
      <c r="E95">
        <v>99.4</v>
      </c>
      <c r="F95" t="s">
        <v>768</v>
      </c>
      <c r="G95" s="8">
        <v>9.4999999999999998E-3</v>
      </c>
      <c r="H95" s="3">
        <f t="shared" si="1"/>
        <v>9.5257194424946956E-3</v>
      </c>
    </row>
    <row r="96" spans="1:8" x14ac:dyDescent="0.3">
      <c r="A96" s="7">
        <v>45524</v>
      </c>
      <c r="B96">
        <v>100.44</v>
      </c>
      <c r="C96">
        <v>99.01</v>
      </c>
      <c r="D96">
        <v>101.44</v>
      </c>
      <c r="E96">
        <v>99.01</v>
      </c>
      <c r="F96" t="s">
        <v>1421</v>
      </c>
      <c r="G96" s="8">
        <v>-2.3999999999999998E-3</v>
      </c>
      <c r="H96" s="3">
        <f t="shared" si="1"/>
        <v>-2.3837902264601807E-3</v>
      </c>
    </row>
    <row r="97" spans="1:8" x14ac:dyDescent="0.3">
      <c r="A97" s="7">
        <v>45525</v>
      </c>
      <c r="B97">
        <v>101.85</v>
      </c>
      <c r="C97">
        <v>100.65</v>
      </c>
      <c r="D97">
        <v>102.07</v>
      </c>
      <c r="E97">
        <v>100.03</v>
      </c>
      <c r="F97" t="s">
        <v>1420</v>
      </c>
      <c r="G97" s="8">
        <v>1.4E-2</v>
      </c>
      <c r="H97" s="3">
        <f t="shared" si="1"/>
        <v>1.4038231780167276E-2</v>
      </c>
    </row>
    <row r="98" spans="1:8" x14ac:dyDescent="0.3">
      <c r="A98" s="7">
        <v>45526</v>
      </c>
      <c r="B98">
        <v>101.99</v>
      </c>
      <c r="C98">
        <v>101.85</v>
      </c>
      <c r="D98">
        <v>102.08</v>
      </c>
      <c r="E98">
        <v>101.41</v>
      </c>
      <c r="F98" t="s">
        <v>1419</v>
      </c>
      <c r="G98" s="8">
        <v>1.4E-3</v>
      </c>
      <c r="H98" s="3">
        <f t="shared" si="1"/>
        <v>1.3745704467353903E-3</v>
      </c>
    </row>
    <row r="99" spans="1:8" x14ac:dyDescent="0.3">
      <c r="A99" s="7">
        <v>45527</v>
      </c>
      <c r="B99">
        <v>102</v>
      </c>
      <c r="C99">
        <v>100.75</v>
      </c>
      <c r="D99">
        <v>102.35</v>
      </c>
      <c r="E99">
        <v>100.66</v>
      </c>
      <c r="F99" t="s">
        <v>1418</v>
      </c>
      <c r="G99" s="8">
        <v>1E-4</v>
      </c>
      <c r="H99" s="3">
        <f t="shared" si="1"/>
        <v>9.8048828316654735E-5</v>
      </c>
    </row>
    <row r="100" spans="1:8" x14ac:dyDescent="0.3">
      <c r="A100" s="7">
        <v>45530</v>
      </c>
      <c r="B100">
        <v>101.75</v>
      </c>
      <c r="C100">
        <v>103.35</v>
      </c>
      <c r="D100">
        <v>103.39</v>
      </c>
      <c r="E100">
        <v>101.64</v>
      </c>
      <c r="F100" t="s">
        <v>263</v>
      </c>
      <c r="G100" s="8">
        <v>-2.5000000000000001E-3</v>
      </c>
      <c r="H100" s="3">
        <f t="shared" si="1"/>
        <v>-2.450980392156854E-3</v>
      </c>
    </row>
    <row r="101" spans="1:8" x14ac:dyDescent="0.3">
      <c r="A101" s="7">
        <v>45531</v>
      </c>
      <c r="B101">
        <v>102</v>
      </c>
      <c r="C101">
        <v>102.69</v>
      </c>
      <c r="D101">
        <v>102.69</v>
      </c>
      <c r="E101">
        <v>101.01</v>
      </c>
      <c r="F101" t="s">
        <v>102</v>
      </c>
      <c r="G101" s="8">
        <v>2.5000000000000001E-3</v>
      </c>
      <c r="H101" s="3">
        <f t="shared" si="1"/>
        <v>2.4570024570025328E-3</v>
      </c>
    </row>
    <row r="102" spans="1:8" x14ac:dyDescent="0.3">
      <c r="A102" s="7">
        <v>45532</v>
      </c>
      <c r="B102">
        <v>102.37</v>
      </c>
      <c r="C102">
        <v>103</v>
      </c>
      <c r="D102">
        <v>103.9</v>
      </c>
      <c r="E102">
        <v>102.01</v>
      </c>
      <c r="F102" t="s">
        <v>1417</v>
      </c>
      <c r="G102" s="8">
        <v>3.5999999999999999E-3</v>
      </c>
      <c r="H102" s="3">
        <f t="shared" si="1"/>
        <v>3.6274509803921884E-3</v>
      </c>
    </row>
    <row r="103" spans="1:8" x14ac:dyDescent="0.3">
      <c r="A103" s="7">
        <v>45533</v>
      </c>
      <c r="B103">
        <v>102.97</v>
      </c>
      <c r="C103">
        <v>102.5</v>
      </c>
      <c r="D103">
        <v>103.69</v>
      </c>
      <c r="E103">
        <v>101.7</v>
      </c>
      <c r="F103" t="s">
        <v>1416</v>
      </c>
      <c r="G103" s="8">
        <v>5.8999999999999999E-3</v>
      </c>
      <c r="H103" s="3">
        <f t="shared" si="1"/>
        <v>5.861092116830946E-3</v>
      </c>
    </row>
    <row r="104" spans="1:8" x14ac:dyDescent="0.3">
      <c r="A104" s="7">
        <v>45534</v>
      </c>
      <c r="B104">
        <v>103.58</v>
      </c>
      <c r="C104">
        <v>102.98</v>
      </c>
      <c r="D104">
        <v>103.68</v>
      </c>
      <c r="E104">
        <v>102.83</v>
      </c>
      <c r="F104" t="s">
        <v>1415</v>
      </c>
      <c r="G104" s="8">
        <v>5.8999999999999999E-3</v>
      </c>
      <c r="H104" s="3">
        <f t="shared" si="1"/>
        <v>5.9240555501602898E-3</v>
      </c>
    </row>
    <row r="105" spans="1:8" x14ac:dyDescent="0.3">
      <c r="A105" s="7">
        <v>45538</v>
      </c>
      <c r="B105">
        <v>104.02</v>
      </c>
      <c r="C105">
        <v>103</v>
      </c>
      <c r="D105">
        <v>104.33</v>
      </c>
      <c r="E105">
        <v>102.88</v>
      </c>
      <c r="F105" t="s">
        <v>1414</v>
      </c>
      <c r="G105" s="8">
        <v>4.1999999999999997E-3</v>
      </c>
      <c r="H105" s="3">
        <f t="shared" si="1"/>
        <v>4.2479243097122144E-3</v>
      </c>
    </row>
    <row r="106" spans="1:8" x14ac:dyDescent="0.3">
      <c r="A106" s="7">
        <v>45539</v>
      </c>
      <c r="B106">
        <v>105.43</v>
      </c>
      <c r="C106">
        <v>103.66</v>
      </c>
      <c r="D106">
        <v>106.35</v>
      </c>
      <c r="E106">
        <v>103.66</v>
      </c>
      <c r="F106" t="s">
        <v>1413</v>
      </c>
      <c r="G106" s="8">
        <v>1.3599999999999999E-2</v>
      </c>
      <c r="H106" s="3">
        <f t="shared" si="1"/>
        <v>1.3555085560469138E-2</v>
      </c>
    </row>
    <row r="107" spans="1:8" x14ac:dyDescent="0.3">
      <c r="A107" s="7">
        <v>45540</v>
      </c>
      <c r="B107">
        <v>104.51</v>
      </c>
      <c r="C107">
        <v>105.47</v>
      </c>
      <c r="D107">
        <v>105.92</v>
      </c>
      <c r="E107">
        <v>103.69</v>
      </c>
      <c r="F107" t="s">
        <v>1412</v>
      </c>
      <c r="G107" s="8">
        <v>-8.6999999999999994E-3</v>
      </c>
      <c r="H107" s="3">
        <f t="shared" si="1"/>
        <v>-8.7261690220999943E-3</v>
      </c>
    </row>
    <row r="108" spans="1:8" x14ac:dyDescent="0.3">
      <c r="A108" s="7">
        <v>45541</v>
      </c>
      <c r="B108">
        <v>103.64</v>
      </c>
      <c r="C108">
        <v>104.32</v>
      </c>
      <c r="D108">
        <v>104.95</v>
      </c>
      <c r="E108">
        <v>102.87</v>
      </c>
      <c r="F108" t="s">
        <v>1411</v>
      </c>
      <c r="G108" s="8">
        <v>-8.3000000000000001E-3</v>
      </c>
      <c r="H108" s="3">
        <f t="shared" si="1"/>
        <v>-8.3245622428476107E-3</v>
      </c>
    </row>
    <row r="109" spans="1:8" x14ac:dyDescent="0.3">
      <c r="A109" s="7">
        <v>45544</v>
      </c>
      <c r="B109">
        <v>104.22</v>
      </c>
      <c r="C109">
        <v>103.93</v>
      </c>
      <c r="D109">
        <v>104.56</v>
      </c>
      <c r="E109">
        <v>103.87</v>
      </c>
      <c r="F109" t="s">
        <v>1410</v>
      </c>
      <c r="G109" s="8">
        <v>5.5999999999999999E-3</v>
      </c>
      <c r="H109" s="3">
        <f t="shared" si="1"/>
        <v>5.5962948668466517E-3</v>
      </c>
    </row>
    <row r="110" spans="1:8" x14ac:dyDescent="0.3">
      <c r="A110" s="7">
        <v>45545</v>
      </c>
      <c r="B110">
        <v>105.71</v>
      </c>
      <c r="C110">
        <v>103.88</v>
      </c>
      <c r="D110">
        <v>105.85</v>
      </c>
      <c r="E110">
        <v>103.88</v>
      </c>
      <c r="F110" t="s">
        <v>1409</v>
      </c>
      <c r="G110" s="8">
        <v>1.43E-2</v>
      </c>
      <c r="H110" s="3">
        <f t="shared" si="1"/>
        <v>1.4296680099788794E-2</v>
      </c>
    </row>
    <row r="111" spans="1:8" x14ac:dyDescent="0.3">
      <c r="A111" s="7">
        <v>45546</v>
      </c>
      <c r="B111">
        <v>104.65</v>
      </c>
      <c r="C111">
        <v>104.92</v>
      </c>
      <c r="D111">
        <v>105.06</v>
      </c>
      <c r="E111">
        <v>103.7</v>
      </c>
      <c r="F111" t="s">
        <v>1408</v>
      </c>
      <c r="G111" s="8">
        <v>-0.01</v>
      </c>
      <c r="H111" s="3">
        <f t="shared" si="1"/>
        <v>-1.0027433544603004E-2</v>
      </c>
    </row>
    <row r="112" spans="1:8" x14ac:dyDescent="0.3">
      <c r="A112" s="7">
        <v>45547</v>
      </c>
      <c r="B112">
        <v>105.34</v>
      </c>
      <c r="C112">
        <v>104.49</v>
      </c>
      <c r="D112">
        <v>105.5</v>
      </c>
      <c r="E112">
        <v>103.99</v>
      </c>
      <c r="F112" t="s">
        <v>1407</v>
      </c>
      <c r="G112" s="8">
        <v>6.6E-3</v>
      </c>
      <c r="H112" s="3">
        <f t="shared" si="1"/>
        <v>6.59340659340657E-3</v>
      </c>
    </row>
    <row r="113" spans="1:8" x14ac:dyDescent="0.3">
      <c r="A113" s="7">
        <v>45548</v>
      </c>
      <c r="B113">
        <v>106.04</v>
      </c>
      <c r="C113">
        <v>105.84</v>
      </c>
      <c r="D113">
        <v>106.28</v>
      </c>
      <c r="E113">
        <v>105.4</v>
      </c>
      <c r="F113" t="s">
        <v>1406</v>
      </c>
      <c r="G113" s="8">
        <v>6.6E-3</v>
      </c>
      <c r="H113" s="3">
        <f t="shared" si="1"/>
        <v>6.6451490412000602E-3</v>
      </c>
    </row>
    <row r="114" spans="1:8" x14ac:dyDescent="0.3">
      <c r="A114" s="7">
        <v>45551</v>
      </c>
      <c r="B114">
        <v>105.93</v>
      </c>
      <c r="C114">
        <v>106.05</v>
      </c>
      <c r="D114">
        <v>106.37</v>
      </c>
      <c r="E114">
        <v>105.42</v>
      </c>
      <c r="F114" t="s">
        <v>1405</v>
      </c>
      <c r="G114" s="8">
        <v>-1E-3</v>
      </c>
      <c r="H114" s="3">
        <f t="shared" si="1"/>
        <v>-1.0373443983402453E-3</v>
      </c>
    </row>
    <row r="115" spans="1:8" x14ac:dyDescent="0.3">
      <c r="A115" s="7">
        <v>45552</v>
      </c>
      <c r="B115">
        <v>106.91</v>
      </c>
      <c r="C115">
        <v>106.18</v>
      </c>
      <c r="D115">
        <v>106.93</v>
      </c>
      <c r="E115">
        <v>105.99</v>
      </c>
      <c r="F115" t="s">
        <v>1404</v>
      </c>
      <c r="G115" s="8">
        <v>9.2999999999999992E-3</v>
      </c>
      <c r="H115" s="3">
        <f t="shared" si="1"/>
        <v>9.251392428962335E-3</v>
      </c>
    </row>
    <row r="116" spans="1:8" x14ac:dyDescent="0.3">
      <c r="A116" s="7">
        <v>45553</v>
      </c>
      <c r="B116">
        <v>107.42</v>
      </c>
      <c r="C116">
        <v>106.74</v>
      </c>
      <c r="D116">
        <v>107.66</v>
      </c>
      <c r="E116">
        <v>106.12</v>
      </c>
      <c r="F116" t="s">
        <v>1403</v>
      </c>
      <c r="G116" s="8">
        <v>4.7999999999999996E-3</v>
      </c>
      <c r="H116" s="3">
        <f t="shared" si="1"/>
        <v>4.7703675989150263E-3</v>
      </c>
    </row>
    <row r="117" spans="1:8" x14ac:dyDescent="0.3">
      <c r="A117" s="7">
        <v>45554</v>
      </c>
      <c r="B117">
        <v>109.45</v>
      </c>
      <c r="C117">
        <v>108.29</v>
      </c>
      <c r="D117">
        <v>109.61</v>
      </c>
      <c r="E117">
        <v>107.36</v>
      </c>
      <c r="F117" t="s">
        <v>1402</v>
      </c>
      <c r="G117" s="8">
        <v>1.89E-2</v>
      </c>
      <c r="H117" s="3">
        <f t="shared" si="1"/>
        <v>1.8897784397691408E-2</v>
      </c>
    </row>
    <row r="118" spans="1:8" x14ac:dyDescent="0.3">
      <c r="A118" s="7">
        <v>45555</v>
      </c>
      <c r="B118">
        <v>109.54</v>
      </c>
      <c r="C118">
        <v>109.29</v>
      </c>
      <c r="D118">
        <v>109.96</v>
      </c>
      <c r="E118">
        <v>108.87</v>
      </c>
      <c r="F118" t="s">
        <v>1401</v>
      </c>
      <c r="G118" s="8">
        <v>8.0000000000000004E-4</v>
      </c>
      <c r="H118" s="3">
        <f t="shared" si="1"/>
        <v>8.2229328460492468E-4</v>
      </c>
    </row>
    <row r="119" spans="1:8" x14ac:dyDescent="0.3">
      <c r="A119" s="7">
        <v>45558</v>
      </c>
      <c r="B119">
        <v>108.82</v>
      </c>
      <c r="C119">
        <v>109.36</v>
      </c>
      <c r="D119">
        <v>109.98</v>
      </c>
      <c r="E119">
        <v>108.68</v>
      </c>
      <c r="F119" t="s">
        <v>1400</v>
      </c>
      <c r="G119" s="8">
        <v>-6.6E-3</v>
      </c>
      <c r="H119" s="3">
        <f t="shared" si="1"/>
        <v>-6.5729413912727352E-3</v>
      </c>
    </row>
    <row r="120" spans="1:8" x14ac:dyDescent="0.3">
      <c r="A120" s="7">
        <v>45559</v>
      </c>
      <c r="B120">
        <v>109.94</v>
      </c>
      <c r="C120">
        <v>108.85</v>
      </c>
      <c r="D120">
        <v>110.1</v>
      </c>
      <c r="E120">
        <v>108.85</v>
      </c>
      <c r="F120" t="s">
        <v>1399</v>
      </c>
      <c r="G120" s="8">
        <v>1.03E-2</v>
      </c>
      <c r="H120" s="3">
        <f t="shared" si="1"/>
        <v>1.0292225693806278E-2</v>
      </c>
    </row>
    <row r="121" spans="1:8" x14ac:dyDescent="0.3">
      <c r="A121" s="7">
        <v>45560</v>
      </c>
      <c r="B121">
        <v>110.01</v>
      </c>
      <c r="C121">
        <v>109.87</v>
      </c>
      <c r="D121">
        <v>110.42</v>
      </c>
      <c r="E121">
        <v>109.29</v>
      </c>
      <c r="F121" t="s">
        <v>1398</v>
      </c>
      <c r="G121" s="8">
        <v>5.9999999999999995E-4</v>
      </c>
      <c r="H121" s="3">
        <f t="shared" si="1"/>
        <v>6.3671093323636185E-4</v>
      </c>
    </row>
    <row r="122" spans="1:8" x14ac:dyDescent="0.3">
      <c r="A122" s="7">
        <v>45561</v>
      </c>
      <c r="B122">
        <v>111.3</v>
      </c>
      <c r="C122">
        <v>110.3</v>
      </c>
      <c r="D122">
        <v>111.49</v>
      </c>
      <c r="E122">
        <v>110.3</v>
      </c>
      <c r="F122" t="s">
        <v>1397</v>
      </c>
      <c r="G122" s="8">
        <v>1.17E-2</v>
      </c>
      <c r="H122" s="3">
        <f t="shared" si="1"/>
        <v>1.1726206708480902E-2</v>
      </c>
    </row>
    <row r="123" spans="1:8" x14ac:dyDescent="0.3">
      <c r="A123" s="7">
        <v>45562</v>
      </c>
      <c r="B123">
        <v>111.3</v>
      </c>
      <c r="C123">
        <v>111.29</v>
      </c>
      <c r="D123">
        <v>111.68</v>
      </c>
      <c r="E123">
        <v>110.96</v>
      </c>
      <c r="F123" t="s">
        <v>1396</v>
      </c>
      <c r="G123" s="8">
        <v>0</v>
      </c>
      <c r="H123" s="3">
        <f t="shared" si="1"/>
        <v>0</v>
      </c>
    </row>
    <row r="124" spans="1:8" x14ac:dyDescent="0.3">
      <c r="A124" s="7">
        <v>45565</v>
      </c>
      <c r="B124">
        <v>112.1</v>
      </c>
      <c r="C124">
        <v>111.12</v>
      </c>
      <c r="D124">
        <v>112.72</v>
      </c>
      <c r="E124">
        <v>110.58</v>
      </c>
      <c r="F124" t="s">
        <v>1395</v>
      </c>
      <c r="G124" s="8">
        <v>7.1999999999999998E-3</v>
      </c>
      <c r="H124" s="3">
        <f t="shared" si="1"/>
        <v>7.1877807726863363E-3</v>
      </c>
    </row>
    <row r="125" spans="1:8" x14ac:dyDescent="0.3">
      <c r="A125" s="7">
        <v>45566</v>
      </c>
      <c r="B125">
        <v>112.7</v>
      </c>
      <c r="C125">
        <v>112.14</v>
      </c>
      <c r="D125">
        <v>112.79</v>
      </c>
      <c r="E125">
        <v>111.55</v>
      </c>
      <c r="F125" t="s">
        <v>1394</v>
      </c>
      <c r="G125" s="8">
        <v>5.4000000000000003E-3</v>
      </c>
      <c r="H125" s="3">
        <f t="shared" si="1"/>
        <v>5.3523639607493401E-3</v>
      </c>
    </row>
    <row r="126" spans="1:8" x14ac:dyDescent="0.3">
      <c r="A126" s="7">
        <v>45567</v>
      </c>
      <c r="B126">
        <v>113.09</v>
      </c>
      <c r="C126">
        <v>112.27</v>
      </c>
      <c r="D126">
        <v>113.43</v>
      </c>
      <c r="E126">
        <v>112.15</v>
      </c>
      <c r="F126" t="s">
        <v>1393</v>
      </c>
      <c r="G126" s="8">
        <v>3.5000000000000001E-3</v>
      </c>
      <c r="H126" s="3">
        <f t="shared" si="1"/>
        <v>3.4605146406387899E-3</v>
      </c>
    </row>
    <row r="127" spans="1:8" x14ac:dyDescent="0.3">
      <c r="A127" s="7">
        <v>45568</v>
      </c>
      <c r="B127">
        <v>113.5</v>
      </c>
      <c r="C127">
        <v>112.7</v>
      </c>
      <c r="D127">
        <v>113.59</v>
      </c>
      <c r="E127">
        <v>111.18</v>
      </c>
      <c r="F127" t="s">
        <v>1392</v>
      </c>
      <c r="G127" s="8">
        <v>3.5999999999999999E-3</v>
      </c>
      <c r="H127" s="3">
        <f t="shared" si="1"/>
        <v>3.6254310725969408E-3</v>
      </c>
    </row>
    <row r="128" spans="1:8" x14ac:dyDescent="0.3">
      <c r="A128" s="7">
        <v>45569</v>
      </c>
      <c r="B128">
        <v>114.56</v>
      </c>
      <c r="C128">
        <v>113.53</v>
      </c>
      <c r="D128">
        <v>114.92</v>
      </c>
      <c r="E128">
        <v>113.36</v>
      </c>
      <c r="F128" t="s">
        <v>1391</v>
      </c>
      <c r="G128" s="8">
        <v>9.2999999999999992E-3</v>
      </c>
      <c r="H128" s="3">
        <f t="shared" si="1"/>
        <v>9.3392070484581424E-3</v>
      </c>
    </row>
    <row r="129" spans="1:8" x14ac:dyDescent="0.3">
      <c r="A129" s="7">
        <v>45572</v>
      </c>
      <c r="B129">
        <v>113.98</v>
      </c>
      <c r="C129">
        <v>114.23</v>
      </c>
      <c r="D129">
        <v>114.28</v>
      </c>
      <c r="E129">
        <v>113.24</v>
      </c>
      <c r="F129" t="s">
        <v>1390</v>
      </c>
      <c r="G129" s="8">
        <v>-5.1000000000000004E-3</v>
      </c>
      <c r="H129" s="3">
        <f t="shared" si="1"/>
        <v>-5.0628491620111626E-3</v>
      </c>
    </row>
    <row r="130" spans="1:8" x14ac:dyDescent="0.3">
      <c r="A130" s="7">
        <v>45573</v>
      </c>
      <c r="B130">
        <v>115.14</v>
      </c>
      <c r="C130">
        <v>113.87</v>
      </c>
      <c r="D130">
        <v>115.45</v>
      </c>
      <c r="E130">
        <v>113.87</v>
      </c>
      <c r="F130" t="s">
        <v>1389</v>
      </c>
      <c r="G130" s="8">
        <v>1.0200000000000001E-2</v>
      </c>
      <c r="H130" s="3">
        <f t="shared" si="1"/>
        <v>1.0177224074398916E-2</v>
      </c>
    </row>
    <row r="131" spans="1:8" x14ac:dyDescent="0.3">
      <c r="A131" s="7">
        <v>45574</v>
      </c>
      <c r="B131">
        <v>114.62</v>
      </c>
      <c r="C131">
        <v>114.95</v>
      </c>
      <c r="D131">
        <v>115.39</v>
      </c>
      <c r="E131">
        <v>113.63</v>
      </c>
      <c r="F131" t="s">
        <v>1388</v>
      </c>
      <c r="G131" s="8">
        <v>-4.4999999999999997E-3</v>
      </c>
      <c r="H131" s="3">
        <f t="shared" si="1"/>
        <v>-4.516241097793916E-3</v>
      </c>
    </row>
    <row r="132" spans="1:8" x14ac:dyDescent="0.3">
      <c r="A132" s="7">
        <v>45575</v>
      </c>
      <c r="B132">
        <v>115.78</v>
      </c>
      <c r="C132">
        <v>114.56</v>
      </c>
      <c r="D132">
        <v>116.1</v>
      </c>
      <c r="E132">
        <v>114.56</v>
      </c>
      <c r="F132" t="s">
        <v>1387</v>
      </c>
      <c r="G132" s="8">
        <v>1.01E-2</v>
      </c>
      <c r="H132" s="3">
        <f t="shared" ref="H132:H195" si="2">(B132/B131)-1</f>
        <v>1.0120397836328676E-2</v>
      </c>
    </row>
    <row r="133" spans="1:8" x14ac:dyDescent="0.3">
      <c r="A133" s="7">
        <v>45576</v>
      </c>
      <c r="B133">
        <v>117.37</v>
      </c>
      <c r="C133">
        <v>116.01</v>
      </c>
      <c r="D133">
        <v>117.61</v>
      </c>
      <c r="E133">
        <v>116.01</v>
      </c>
      <c r="F133" t="s">
        <v>1386</v>
      </c>
      <c r="G133" s="8">
        <v>1.37E-2</v>
      </c>
      <c r="H133" s="3">
        <f t="shared" si="2"/>
        <v>1.3732941786146258E-2</v>
      </c>
    </row>
    <row r="134" spans="1:8" x14ac:dyDescent="0.3">
      <c r="A134" s="7">
        <v>45580</v>
      </c>
      <c r="B134">
        <v>117.54</v>
      </c>
      <c r="C134">
        <v>117.93</v>
      </c>
      <c r="D134">
        <v>117.93</v>
      </c>
      <c r="E134">
        <v>117.1</v>
      </c>
      <c r="F134" t="s">
        <v>1385</v>
      </c>
      <c r="G134" s="8">
        <v>1.4E-3</v>
      </c>
      <c r="H134" s="3">
        <f t="shared" si="2"/>
        <v>1.448411007923589E-3</v>
      </c>
    </row>
    <row r="135" spans="1:8" x14ac:dyDescent="0.3">
      <c r="A135" s="7">
        <v>45581</v>
      </c>
      <c r="B135">
        <v>117.45</v>
      </c>
      <c r="C135">
        <v>117.58</v>
      </c>
      <c r="D135">
        <v>118.06</v>
      </c>
      <c r="E135">
        <v>117.29</v>
      </c>
      <c r="F135" t="s">
        <v>1384</v>
      </c>
      <c r="G135" s="8">
        <v>-8.0000000000000004E-4</v>
      </c>
      <c r="H135" s="3">
        <f t="shared" si="2"/>
        <v>-7.6569678407356623E-4</v>
      </c>
    </row>
    <row r="136" spans="1:8" x14ac:dyDescent="0.3">
      <c r="A136" s="7">
        <v>45582</v>
      </c>
      <c r="B136">
        <v>118.55</v>
      </c>
      <c r="C136">
        <v>117.64</v>
      </c>
      <c r="D136">
        <v>119.25</v>
      </c>
      <c r="E136">
        <v>117.32</v>
      </c>
      <c r="F136" t="s">
        <v>1383</v>
      </c>
      <c r="G136" s="8">
        <v>9.4000000000000004E-3</v>
      </c>
      <c r="H136" s="3">
        <f t="shared" si="2"/>
        <v>9.3656875266070472E-3</v>
      </c>
    </row>
    <row r="137" spans="1:8" x14ac:dyDescent="0.3">
      <c r="A137" s="7">
        <v>45583</v>
      </c>
      <c r="B137">
        <v>118.44</v>
      </c>
      <c r="C137">
        <v>118.69</v>
      </c>
      <c r="D137">
        <v>119.08</v>
      </c>
      <c r="E137">
        <v>118.21</v>
      </c>
      <c r="F137" t="s">
        <v>1382</v>
      </c>
      <c r="G137" s="8">
        <v>-8.9999999999999998E-4</v>
      </c>
      <c r="H137" s="3">
        <f t="shared" si="2"/>
        <v>-9.2787853226483641E-4</v>
      </c>
    </row>
    <row r="138" spans="1:8" x14ac:dyDescent="0.3">
      <c r="A138" s="7">
        <v>45586</v>
      </c>
      <c r="B138">
        <v>118.23</v>
      </c>
      <c r="C138">
        <v>118.03</v>
      </c>
      <c r="D138">
        <v>118.46</v>
      </c>
      <c r="E138">
        <v>116.83</v>
      </c>
      <c r="F138" t="s">
        <v>1381</v>
      </c>
      <c r="G138" s="8">
        <v>-1.8E-3</v>
      </c>
      <c r="H138" s="3">
        <f t="shared" si="2"/>
        <v>-1.7730496453900457E-3</v>
      </c>
    </row>
    <row r="139" spans="1:8" x14ac:dyDescent="0.3">
      <c r="A139" s="7">
        <v>45587</v>
      </c>
      <c r="B139">
        <v>117.31</v>
      </c>
      <c r="C139">
        <v>117.99</v>
      </c>
      <c r="D139">
        <v>117.99</v>
      </c>
      <c r="E139">
        <v>116.9</v>
      </c>
      <c r="F139" t="s">
        <v>1380</v>
      </c>
      <c r="G139" s="8">
        <v>-7.7999999999999996E-3</v>
      </c>
      <c r="H139" s="3">
        <f t="shared" si="2"/>
        <v>-7.7814429501819049E-3</v>
      </c>
    </row>
    <row r="140" spans="1:8" x14ac:dyDescent="0.3">
      <c r="A140" s="7">
        <v>45588</v>
      </c>
      <c r="B140">
        <v>116.91</v>
      </c>
      <c r="C140">
        <v>117.12</v>
      </c>
      <c r="D140">
        <v>117.44</v>
      </c>
      <c r="E140">
        <v>116.1</v>
      </c>
      <c r="F140" t="s">
        <v>1379</v>
      </c>
      <c r="G140" s="8">
        <v>-3.3999999999999998E-3</v>
      </c>
      <c r="H140" s="3">
        <f t="shared" si="2"/>
        <v>-3.4097689881511517E-3</v>
      </c>
    </row>
    <row r="141" spans="1:8" x14ac:dyDescent="0.3">
      <c r="A141" s="7">
        <v>45589</v>
      </c>
      <c r="B141">
        <v>115.83</v>
      </c>
      <c r="C141">
        <v>116.01</v>
      </c>
      <c r="D141">
        <v>117.03</v>
      </c>
      <c r="E141">
        <v>115.42</v>
      </c>
      <c r="F141" t="s">
        <v>1378</v>
      </c>
      <c r="G141" s="8">
        <v>-9.1999999999999998E-3</v>
      </c>
      <c r="H141" s="3">
        <f t="shared" si="2"/>
        <v>-9.2378752886835835E-3</v>
      </c>
    </row>
    <row r="142" spans="1:8" x14ac:dyDescent="0.3">
      <c r="A142" s="7">
        <v>45590</v>
      </c>
      <c r="B142">
        <v>112.94</v>
      </c>
      <c r="C142">
        <v>113.12</v>
      </c>
      <c r="D142">
        <v>114.65</v>
      </c>
      <c r="E142">
        <v>112.23</v>
      </c>
      <c r="F142" t="s">
        <v>1377</v>
      </c>
      <c r="G142" s="8">
        <v>-2.5000000000000001E-2</v>
      </c>
      <c r="H142" s="3">
        <f t="shared" si="2"/>
        <v>-2.4950358283691632E-2</v>
      </c>
    </row>
    <row r="143" spans="1:8" x14ac:dyDescent="0.3">
      <c r="A143" s="7">
        <v>45593</v>
      </c>
      <c r="B143">
        <v>114.53</v>
      </c>
      <c r="C143">
        <v>113.52</v>
      </c>
      <c r="D143">
        <v>114.87</v>
      </c>
      <c r="E143">
        <v>112.28</v>
      </c>
      <c r="F143" t="s">
        <v>1376</v>
      </c>
      <c r="G143" s="8">
        <v>1.41E-2</v>
      </c>
      <c r="H143" s="3">
        <f t="shared" si="2"/>
        <v>1.4078271648662932E-2</v>
      </c>
    </row>
    <row r="144" spans="1:8" x14ac:dyDescent="0.3">
      <c r="A144" s="7">
        <v>45594</v>
      </c>
      <c r="B144">
        <v>114.55</v>
      </c>
      <c r="C144">
        <v>114.45</v>
      </c>
      <c r="D144">
        <v>114.69</v>
      </c>
      <c r="E144">
        <v>114.13</v>
      </c>
      <c r="F144" t="s">
        <v>1375</v>
      </c>
      <c r="G144" s="8">
        <v>2.0000000000000001E-4</v>
      </c>
      <c r="H144" s="3">
        <f t="shared" si="2"/>
        <v>1.7462673535306728E-4</v>
      </c>
    </row>
    <row r="145" spans="1:8" x14ac:dyDescent="0.3">
      <c r="A145" s="7">
        <v>45595</v>
      </c>
      <c r="B145">
        <v>115.34</v>
      </c>
      <c r="C145">
        <v>114.33</v>
      </c>
      <c r="D145">
        <v>115.7</v>
      </c>
      <c r="E145">
        <v>114.33</v>
      </c>
      <c r="F145" t="s">
        <v>1374</v>
      </c>
      <c r="G145" s="8">
        <v>6.8999999999999999E-3</v>
      </c>
      <c r="H145" s="3">
        <f t="shared" si="2"/>
        <v>6.8965517241379448E-3</v>
      </c>
    </row>
    <row r="146" spans="1:8" x14ac:dyDescent="0.3">
      <c r="A146" s="7">
        <v>45596</v>
      </c>
      <c r="B146">
        <v>113.44</v>
      </c>
      <c r="C146">
        <v>114.82</v>
      </c>
      <c r="D146">
        <v>115.59</v>
      </c>
      <c r="E146">
        <v>113.28</v>
      </c>
      <c r="F146" t="s">
        <v>1373</v>
      </c>
      <c r="G146" s="8">
        <v>-1.6500000000000001E-2</v>
      </c>
      <c r="H146" s="3">
        <f t="shared" si="2"/>
        <v>-1.647303624067975E-2</v>
      </c>
    </row>
    <row r="147" spans="1:8" x14ac:dyDescent="0.3">
      <c r="A147" s="7">
        <v>45597</v>
      </c>
      <c r="B147">
        <v>114.19</v>
      </c>
      <c r="C147">
        <v>113.36</v>
      </c>
      <c r="D147">
        <v>114.27</v>
      </c>
      <c r="E147">
        <v>112.91</v>
      </c>
      <c r="F147" t="s">
        <v>1372</v>
      </c>
      <c r="G147" s="8">
        <v>6.6E-3</v>
      </c>
      <c r="H147" s="3">
        <f t="shared" si="2"/>
        <v>6.611424541607791E-3</v>
      </c>
    </row>
    <row r="148" spans="1:8" x14ac:dyDescent="0.3">
      <c r="A148" s="7">
        <v>45600</v>
      </c>
      <c r="B148">
        <v>114.58</v>
      </c>
      <c r="C148">
        <v>113.68</v>
      </c>
      <c r="D148">
        <v>116.16</v>
      </c>
      <c r="E148">
        <v>113.03</v>
      </c>
      <c r="F148" t="s">
        <v>1371</v>
      </c>
      <c r="G148" s="8">
        <v>3.3999999999999998E-3</v>
      </c>
      <c r="H148" s="3">
        <f t="shared" si="2"/>
        <v>3.415360364305009E-3</v>
      </c>
    </row>
    <row r="149" spans="1:8" x14ac:dyDescent="0.3">
      <c r="A149" s="7">
        <v>45601</v>
      </c>
      <c r="B149">
        <v>115.01</v>
      </c>
      <c r="C149">
        <v>114.43</v>
      </c>
      <c r="D149">
        <v>115.51</v>
      </c>
      <c r="E149">
        <v>113.81</v>
      </c>
      <c r="F149" t="s">
        <v>1370</v>
      </c>
      <c r="G149" s="8">
        <v>3.8E-3</v>
      </c>
      <c r="H149" s="3">
        <f t="shared" si="2"/>
        <v>3.7528364461512087E-3</v>
      </c>
    </row>
    <row r="150" spans="1:8" x14ac:dyDescent="0.3">
      <c r="A150" s="7">
        <v>45602</v>
      </c>
      <c r="B150">
        <v>133.65</v>
      </c>
      <c r="C150">
        <v>122.22</v>
      </c>
      <c r="D150">
        <v>134.29</v>
      </c>
      <c r="E150">
        <v>122.2</v>
      </c>
      <c r="F150" t="s">
        <v>1369</v>
      </c>
      <c r="G150" s="8">
        <v>0.16209999999999999</v>
      </c>
      <c r="H150" s="3">
        <f t="shared" si="2"/>
        <v>0.16207286322928449</v>
      </c>
    </row>
    <row r="151" spans="1:8" x14ac:dyDescent="0.3">
      <c r="A151" s="7">
        <v>45603</v>
      </c>
      <c r="B151">
        <v>130.38999999999999</v>
      </c>
      <c r="C151">
        <v>132.43</v>
      </c>
      <c r="D151">
        <v>132.94999999999999</v>
      </c>
      <c r="E151">
        <v>128.41999999999999</v>
      </c>
      <c r="F151" t="s">
        <v>1368</v>
      </c>
      <c r="G151" s="8">
        <v>-2.4400000000000002E-2</v>
      </c>
      <c r="H151" s="3">
        <f t="shared" si="2"/>
        <v>-2.4392068836513459E-2</v>
      </c>
    </row>
    <row r="152" spans="1:8" x14ac:dyDescent="0.3">
      <c r="A152" s="7">
        <v>45604</v>
      </c>
      <c r="B152">
        <v>127.99</v>
      </c>
      <c r="C152">
        <v>130.09</v>
      </c>
      <c r="D152">
        <v>130.09</v>
      </c>
      <c r="E152">
        <v>127.67</v>
      </c>
      <c r="F152" t="s">
        <v>1367</v>
      </c>
      <c r="G152" s="8">
        <v>-1.84E-2</v>
      </c>
      <c r="H152" s="3">
        <f t="shared" si="2"/>
        <v>-1.8406319503029289E-2</v>
      </c>
    </row>
    <row r="153" spans="1:8" x14ac:dyDescent="0.3">
      <c r="A153" s="7">
        <v>45607</v>
      </c>
      <c r="B153">
        <v>128.24</v>
      </c>
      <c r="C153">
        <v>128.18</v>
      </c>
      <c r="D153">
        <v>131.53</v>
      </c>
      <c r="E153">
        <v>128.13999999999999</v>
      </c>
      <c r="F153" t="s">
        <v>1366</v>
      </c>
      <c r="G153" s="8">
        <v>2E-3</v>
      </c>
      <c r="H153" s="3">
        <f t="shared" si="2"/>
        <v>1.953277599812564E-3</v>
      </c>
    </row>
    <row r="154" spans="1:8" x14ac:dyDescent="0.3">
      <c r="A154" s="7">
        <v>45608</v>
      </c>
      <c r="B154">
        <v>128.81</v>
      </c>
      <c r="C154">
        <v>127.5</v>
      </c>
      <c r="D154">
        <v>128.91</v>
      </c>
      <c r="E154">
        <v>125.73</v>
      </c>
      <c r="F154" t="s">
        <v>1365</v>
      </c>
      <c r="G154" s="8">
        <v>4.4000000000000003E-3</v>
      </c>
      <c r="H154" s="3">
        <f t="shared" si="2"/>
        <v>4.4447910168434746E-3</v>
      </c>
    </row>
    <row r="155" spans="1:8" x14ac:dyDescent="0.3">
      <c r="A155" s="7">
        <v>45609</v>
      </c>
      <c r="B155">
        <v>129.88999999999999</v>
      </c>
      <c r="C155">
        <v>128.81</v>
      </c>
      <c r="D155">
        <v>130.63</v>
      </c>
      <c r="E155">
        <v>128.81</v>
      </c>
      <c r="F155" t="s">
        <v>1364</v>
      </c>
      <c r="G155" s="8">
        <v>8.3999999999999995E-3</v>
      </c>
      <c r="H155" s="3">
        <f t="shared" si="2"/>
        <v>8.3844422016923215E-3</v>
      </c>
    </row>
    <row r="156" spans="1:8" x14ac:dyDescent="0.3">
      <c r="A156" s="7">
        <v>45610</v>
      </c>
      <c r="B156">
        <v>131.94999999999999</v>
      </c>
      <c r="C156">
        <v>130</v>
      </c>
      <c r="D156">
        <v>132.37</v>
      </c>
      <c r="E156">
        <v>128.32</v>
      </c>
      <c r="F156" t="s">
        <v>1363</v>
      </c>
      <c r="G156" s="8">
        <v>1.5900000000000001E-2</v>
      </c>
      <c r="H156" s="3">
        <f t="shared" si="2"/>
        <v>1.5859573485256684E-2</v>
      </c>
    </row>
    <row r="157" spans="1:8" x14ac:dyDescent="0.3">
      <c r="A157" s="7">
        <v>45611</v>
      </c>
      <c r="B157">
        <v>131.15</v>
      </c>
      <c r="C157">
        <v>131.59</v>
      </c>
      <c r="D157">
        <v>132.07</v>
      </c>
      <c r="E157">
        <v>130.38999999999999</v>
      </c>
      <c r="F157" t="s">
        <v>1362</v>
      </c>
      <c r="G157" s="8">
        <v>-6.1000000000000004E-3</v>
      </c>
      <c r="H157" s="3">
        <f t="shared" si="2"/>
        <v>-6.0629026146266085E-3</v>
      </c>
    </row>
    <row r="158" spans="1:8" x14ac:dyDescent="0.3">
      <c r="A158" s="7">
        <v>45614</v>
      </c>
      <c r="B158">
        <v>131.58000000000001</v>
      </c>
      <c r="C158">
        <v>131.69999999999999</v>
      </c>
      <c r="D158">
        <v>133.57</v>
      </c>
      <c r="E158">
        <v>130.81</v>
      </c>
      <c r="F158" t="s">
        <v>1361</v>
      </c>
      <c r="G158" s="8">
        <v>3.3E-3</v>
      </c>
      <c r="H158" s="3">
        <f t="shared" si="2"/>
        <v>3.2786885245901232E-3</v>
      </c>
    </row>
    <row r="159" spans="1:8" x14ac:dyDescent="0.3">
      <c r="A159" s="7">
        <v>45615</v>
      </c>
      <c r="B159">
        <v>133.09</v>
      </c>
      <c r="C159">
        <v>130.18</v>
      </c>
      <c r="D159">
        <v>133.27000000000001</v>
      </c>
      <c r="E159">
        <v>129.76</v>
      </c>
      <c r="F159" t="s">
        <v>74</v>
      </c>
      <c r="G159" s="8">
        <v>1.15E-2</v>
      </c>
      <c r="H159" s="3">
        <f t="shared" si="2"/>
        <v>1.1475908192734474E-2</v>
      </c>
    </row>
    <row r="160" spans="1:8" x14ac:dyDescent="0.3">
      <c r="A160" s="7">
        <v>45616</v>
      </c>
      <c r="B160">
        <v>133.32</v>
      </c>
      <c r="C160">
        <v>133.88</v>
      </c>
      <c r="D160">
        <v>133.88</v>
      </c>
      <c r="E160">
        <v>131.77000000000001</v>
      </c>
      <c r="F160" t="s">
        <v>1360</v>
      </c>
      <c r="G160" s="8">
        <v>1.6999999999999999E-3</v>
      </c>
      <c r="H160" s="3">
        <f t="shared" si="2"/>
        <v>1.7281538808324726E-3</v>
      </c>
    </row>
    <row r="161" spans="1:8" x14ac:dyDescent="0.3">
      <c r="A161" s="7">
        <v>45617</v>
      </c>
      <c r="B161">
        <v>135.22999999999999</v>
      </c>
      <c r="C161">
        <v>133.5</v>
      </c>
      <c r="D161">
        <v>137.34</v>
      </c>
      <c r="E161">
        <v>133.49</v>
      </c>
      <c r="F161" t="s">
        <v>1359</v>
      </c>
      <c r="G161" s="8">
        <v>1.43E-2</v>
      </c>
      <c r="H161" s="3">
        <f t="shared" si="2"/>
        <v>1.4326432643264386E-2</v>
      </c>
    </row>
    <row r="162" spans="1:8" x14ac:dyDescent="0.3">
      <c r="A162" s="7">
        <v>45618</v>
      </c>
      <c r="B162">
        <v>131.94999999999999</v>
      </c>
      <c r="C162">
        <v>135</v>
      </c>
      <c r="D162">
        <v>135</v>
      </c>
      <c r="E162">
        <v>131.63999999999999</v>
      </c>
      <c r="F162" t="s">
        <v>74</v>
      </c>
      <c r="G162" s="8">
        <v>-2.4299999999999999E-2</v>
      </c>
      <c r="H162" s="3">
        <f t="shared" si="2"/>
        <v>-2.4254973008947744E-2</v>
      </c>
    </row>
    <row r="163" spans="1:8" x14ac:dyDescent="0.3">
      <c r="A163" s="7">
        <v>45621</v>
      </c>
      <c r="B163">
        <v>131.41</v>
      </c>
      <c r="C163">
        <v>131.77000000000001</v>
      </c>
      <c r="D163">
        <v>133.88</v>
      </c>
      <c r="E163">
        <v>131.13999999999999</v>
      </c>
      <c r="F163" t="s">
        <v>83</v>
      </c>
      <c r="G163" s="8">
        <v>-4.1000000000000003E-3</v>
      </c>
      <c r="H163" s="3">
        <f t="shared" si="2"/>
        <v>-4.0924592648730052E-3</v>
      </c>
    </row>
    <row r="164" spans="1:8" x14ac:dyDescent="0.3">
      <c r="A164" s="7">
        <v>45622</v>
      </c>
      <c r="B164">
        <v>132.28</v>
      </c>
      <c r="C164">
        <v>132.05000000000001</v>
      </c>
      <c r="D164">
        <v>132.29</v>
      </c>
      <c r="E164">
        <v>130.58000000000001</v>
      </c>
      <c r="F164" t="s">
        <v>168</v>
      </c>
      <c r="G164" s="8">
        <v>6.6E-3</v>
      </c>
      <c r="H164" s="3">
        <f t="shared" si="2"/>
        <v>6.6205007229283019E-3</v>
      </c>
    </row>
    <row r="165" spans="1:8" x14ac:dyDescent="0.3">
      <c r="A165" s="7">
        <v>45623</v>
      </c>
      <c r="B165">
        <v>133.65</v>
      </c>
      <c r="C165">
        <v>132.13999999999999</v>
      </c>
      <c r="D165">
        <v>134.62</v>
      </c>
      <c r="E165">
        <v>132.1</v>
      </c>
      <c r="F165" t="s">
        <v>1358</v>
      </c>
      <c r="G165" s="8">
        <v>1.04E-2</v>
      </c>
      <c r="H165" s="3">
        <f t="shared" si="2"/>
        <v>1.0356818869065698E-2</v>
      </c>
    </row>
    <row r="166" spans="1:8" x14ac:dyDescent="0.3">
      <c r="A166" s="7">
        <v>45624</v>
      </c>
      <c r="B166">
        <v>133.13</v>
      </c>
      <c r="C166">
        <v>133.51</v>
      </c>
      <c r="D166">
        <v>134.27000000000001</v>
      </c>
      <c r="E166">
        <v>133.03</v>
      </c>
      <c r="F166" t="s">
        <v>1357</v>
      </c>
      <c r="G166" s="8">
        <v>-3.8999999999999998E-3</v>
      </c>
      <c r="H166" s="3">
        <f t="shared" si="2"/>
        <v>-3.8907594463151174E-3</v>
      </c>
    </row>
    <row r="167" spans="1:8" x14ac:dyDescent="0.3">
      <c r="A167" s="7">
        <v>45625</v>
      </c>
      <c r="B167">
        <v>133.83000000000001</v>
      </c>
      <c r="C167">
        <v>132.4</v>
      </c>
      <c r="D167">
        <v>133.97</v>
      </c>
      <c r="E167">
        <v>132.36000000000001</v>
      </c>
      <c r="F167" t="s">
        <v>1356</v>
      </c>
      <c r="G167" s="8">
        <v>5.3E-3</v>
      </c>
      <c r="H167" s="3">
        <f t="shared" si="2"/>
        <v>5.2580184781794159E-3</v>
      </c>
    </row>
    <row r="168" spans="1:8" x14ac:dyDescent="0.3">
      <c r="A168" s="7">
        <v>45628</v>
      </c>
      <c r="B168">
        <v>133.71</v>
      </c>
      <c r="C168">
        <v>133.4</v>
      </c>
      <c r="D168">
        <v>134.47</v>
      </c>
      <c r="E168">
        <v>133.4</v>
      </c>
      <c r="F168" t="s">
        <v>1355</v>
      </c>
      <c r="G168" s="8">
        <v>-8.9999999999999998E-4</v>
      </c>
      <c r="H168" s="3">
        <f t="shared" si="2"/>
        <v>-8.9665994171717056E-4</v>
      </c>
    </row>
    <row r="169" spans="1:8" x14ac:dyDescent="0.3">
      <c r="A169" s="7">
        <v>45629</v>
      </c>
      <c r="B169">
        <v>134.83000000000001</v>
      </c>
      <c r="C169">
        <v>134.02000000000001</v>
      </c>
      <c r="D169">
        <v>135.13</v>
      </c>
      <c r="E169">
        <v>133.28</v>
      </c>
      <c r="F169" t="s">
        <v>690</v>
      </c>
      <c r="G169" s="8">
        <v>8.3999999999999995E-3</v>
      </c>
      <c r="H169" s="3">
        <f t="shared" si="2"/>
        <v>8.3763368484033318E-3</v>
      </c>
    </row>
    <row r="170" spans="1:8" x14ac:dyDescent="0.3">
      <c r="A170" s="7">
        <v>45630</v>
      </c>
      <c r="B170">
        <v>133.29</v>
      </c>
      <c r="C170">
        <v>134.63999999999999</v>
      </c>
      <c r="D170">
        <v>135</v>
      </c>
      <c r="E170">
        <v>133.18</v>
      </c>
      <c r="F170" t="s">
        <v>1354</v>
      </c>
      <c r="G170" s="8">
        <v>-1.14E-2</v>
      </c>
      <c r="H170" s="3">
        <f t="shared" si="2"/>
        <v>-1.1421790402729504E-2</v>
      </c>
    </row>
    <row r="171" spans="1:8" x14ac:dyDescent="0.3">
      <c r="A171" s="7">
        <v>45631</v>
      </c>
      <c r="B171">
        <v>136.16999999999999</v>
      </c>
      <c r="C171">
        <v>134.30000000000001</v>
      </c>
      <c r="D171">
        <v>137.53</v>
      </c>
      <c r="E171">
        <v>131.99</v>
      </c>
      <c r="F171" t="s">
        <v>1353</v>
      </c>
      <c r="G171" s="8">
        <v>2.1600000000000001E-2</v>
      </c>
      <c r="H171" s="3">
        <f t="shared" si="2"/>
        <v>2.1607022282241761E-2</v>
      </c>
    </row>
    <row r="172" spans="1:8" x14ac:dyDescent="0.3">
      <c r="A172" s="7">
        <v>45632</v>
      </c>
      <c r="B172">
        <v>136.13999999999999</v>
      </c>
      <c r="C172">
        <v>136.16</v>
      </c>
      <c r="D172">
        <v>138.01</v>
      </c>
      <c r="E172">
        <v>135.88</v>
      </c>
      <c r="F172" t="s">
        <v>1352</v>
      </c>
      <c r="G172" s="8">
        <v>-2.0000000000000001E-4</v>
      </c>
      <c r="H172" s="3">
        <f t="shared" si="2"/>
        <v>-2.2031284423884578E-4</v>
      </c>
    </row>
    <row r="173" spans="1:8" x14ac:dyDescent="0.3">
      <c r="A173" s="7">
        <v>45635</v>
      </c>
      <c r="B173">
        <v>136.65</v>
      </c>
      <c r="C173">
        <v>136.37</v>
      </c>
      <c r="D173">
        <v>137.35</v>
      </c>
      <c r="E173">
        <v>135.82</v>
      </c>
      <c r="F173" t="s">
        <v>1351</v>
      </c>
      <c r="G173" s="8">
        <v>3.7000000000000002E-3</v>
      </c>
      <c r="H173" s="3">
        <f t="shared" si="2"/>
        <v>3.7461436756280886E-3</v>
      </c>
    </row>
    <row r="174" spans="1:8" x14ac:dyDescent="0.3">
      <c r="A174" s="7">
        <v>45636</v>
      </c>
      <c r="B174">
        <v>135.61000000000001</v>
      </c>
      <c r="C174">
        <v>135.93</v>
      </c>
      <c r="D174">
        <v>136.22</v>
      </c>
      <c r="E174">
        <v>134.44999999999999</v>
      </c>
      <c r="F174" t="s">
        <v>1350</v>
      </c>
      <c r="G174" s="8">
        <v>-7.6E-3</v>
      </c>
      <c r="H174" s="3">
        <f t="shared" si="2"/>
        <v>-7.6106842297840593E-3</v>
      </c>
    </row>
    <row r="175" spans="1:8" x14ac:dyDescent="0.3">
      <c r="A175" s="7">
        <v>45637</v>
      </c>
      <c r="B175">
        <v>136.06</v>
      </c>
      <c r="C175">
        <v>135.80000000000001</v>
      </c>
      <c r="D175">
        <v>137.46</v>
      </c>
      <c r="E175">
        <v>135.56</v>
      </c>
      <c r="F175" t="s">
        <v>1349</v>
      </c>
      <c r="G175" s="8">
        <v>3.3E-3</v>
      </c>
      <c r="H175" s="3">
        <f t="shared" si="2"/>
        <v>3.3183393555047402E-3</v>
      </c>
    </row>
    <row r="176" spans="1:8" x14ac:dyDescent="0.3">
      <c r="A176" s="7">
        <v>45638</v>
      </c>
      <c r="B176">
        <v>134.62</v>
      </c>
      <c r="C176">
        <v>136</v>
      </c>
      <c r="D176">
        <v>136.71</v>
      </c>
      <c r="E176">
        <v>134.55000000000001</v>
      </c>
      <c r="F176" t="s">
        <v>1348</v>
      </c>
      <c r="G176" s="8">
        <v>-1.06E-2</v>
      </c>
      <c r="H176" s="3">
        <f t="shared" si="2"/>
        <v>-1.0583566073790962E-2</v>
      </c>
    </row>
    <row r="177" spans="1:8" x14ac:dyDescent="0.3">
      <c r="A177" s="7">
        <v>45639</v>
      </c>
      <c r="B177">
        <v>133.58000000000001</v>
      </c>
      <c r="C177">
        <v>134.82</v>
      </c>
      <c r="D177">
        <v>135.32</v>
      </c>
      <c r="E177">
        <v>133.5</v>
      </c>
      <c r="F177" t="s">
        <v>1347</v>
      </c>
      <c r="G177" s="8">
        <v>-7.7000000000000002E-3</v>
      </c>
      <c r="H177" s="3">
        <f t="shared" si="2"/>
        <v>-7.7254494131628881E-3</v>
      </c>
    </row>
    <row r="178" spans="1:8" x14ac:dyDescent="0.3">
      <c r="A178" s="7">
        <v>45642</v>
      </c>
      <c r="B178">
        <v>133.74</v>
      </c>
      <c r="C178">
        <v>133.52000000000001</v>
      </c>
      <c r="D178">
        <v>134.88999999999999</v>
      </c>
      <c r="E178">
        <v>132.82</v>
      </c>
      <c r="F178" t="s">
        <v>1346</v>
      </c>
      <c r="G178" s="8">
        <v>1.1999999999999999E-3</v>
      </c>
      <c r="H178" s="3">
        <f t="shared" si="2"/>
        <v>1.197784099415955E-3</v>
      </c>
    </row>
    <row r="179" spans="1:8" x14ac:dyDescent="0.3">
      <c r="A179" s="7">
        <v>45643</v>
      </c>
      <c r="B179">
        <v>132.44999999999999</v>
      </c>
      <c r="C179">
        <v>133.05000000000001</v>
      </c>
      <c r="D179">
        <v>133.78</v>
      </c>
      <c r="E179">
        <v>131.55000000000001</v>
      </c>
      <c r="F179" t="s">
        <v>1345</v>
      </c>
      <c r="G179" s="8">
        <v>-9.5999999999999992E-3</v>
      </c>
      <c r="H179" s="3">
        <f t="shared" si="2"/>
        <v>-9.6455809780171542E-3</v>
      </c>
    </row>
    <row r="180" spans="1:8" x14ac:dyDescent="0.3">
      <c r="A180" s="7">
        <v>45644</v>
      </c>
      <c r="B180">
        <v>130.80000000000001</v>
      </c>
      <c r="C180">
        <v>132.24</v>
      </c>
      <c r="D180">
        <v>133.33000000000001</v>
      </c>
      <c r="E180">
        <v>130.38999999999999</v>
      </c>
      <c r="F180" t="s">
        <v>1344</v>
      </c>
      <c r="G180" s="8">
        <v>-1.2500000000000001E-2</v>
      </c>
      <c r="H180" s="3">
        <f t="shared" si="2"/>
        <v>-1.2457531143827638E-2</v>
      </c>
    </row>
    <row r="181" spans="1:8" x14ac:dyDescent="0.3">
      <c r="A181" s="7">
        <v>45645</v>
      </c>
      <c r="B181">
        <v>130.66</v>
      </c>
      <c r="C181">
        <v>130.30000000000001</v>
      </c>
      <c r="D181">
        <v>131.47</v>
      </c>
      <c r="E181">
        <v>128.43</v>
      </c>
      <c r="F181" t="s">
        <v>1343</v>
      </c>
      <c r="G181" s="8">
        <v>-1.1000000000000001E-3</v>
      </c>
      <c r="H181" s="3">
        <f t="shared" si="2"/>
        <v>-1.0703363914373876E-3</v>
      </c>
    </row>
    <row r="182" spans="1:8" x14ac:dyDescent="0.3">
      <c r="A182" s="7">
        <v>45646</v>
      </c>
      <c r="B182">
        <v>132.33000000000001</v>
      </c>
      <c r="C182">
        <v>130.16999999999999</v>
      </c>
      <c r="D182">
        <v>133.34</v>
      </c>
      <c r="E182">
        <v>129.84</v>
      </c>
      <c r="F182" t="s">
        <v>1342</v>
      </c>
      <c r="G182" s="8">
        <v>1.2800000000000001E-2</v>
      </c>
      <c r="H182" s="3">
        <f t="shared" si="2"/>
        <v>1.2781264350222088E-2</v>
      </c>
    </row>
    <row r="183" spans="1:8" x14ac:dyDescent="0.3">
      <c r="A183" s="7">
        <v>45649</v>
      </c>
      <c r="B183">
        <v>133.38999999999999</v>
      </c>
      <c r="C183">
        <v>131.84</v>
      </c>
      <c r="D183">
        <v>133.71</v>
      </c>
      <c r="E183">
        <v>130.99</v>
      </c>
      <c r="F183" t="s">
        <v>1341</v>
      </c>
      <c r="G183" s="8">
        <v>8.0000000000000002E-3</v>
      </c>
      <c r="H183" s="3">
        <f t="shared" si="2"/>
        <v>8.0102773369603586E-3</v>
      </c>
    </row>
    <row r="184" spans="1:8" x14ac:dyDescent="0.3">
      <c r="A184" s="7">
        <v>45650</v>
      </c>
      <c r="B184">
        <v>132.63999999999999</v>
      </c>
      <c r="C184">
        <v>132.63999999999999</v>
      </c>
      <c r="D184">
        <v>133.96</v>
      </c>
      <c r="E184">
        <v>132.63999999999999</v>
      </c>
      <c r="F184" t="s">
        <v>1340</v>
      </c>
      <c r="G184" s="8">
        <v>-5.5999999999999999E-3</v>
      </c>
      <c r="H184" s="3">
        <f t="shared" si="2"/>
        <v>-5.6226103905839819E-3</v>
      </c>
    </row>
    <row r="185" spans="1:8" x14ac:dyDescent="0.3">
      <c r="A185" s="7">
        <v>45653</v>
      </c>
      <c r="B185">
        <v>133.68</v>
      </c>
      <c r="C185">
        <v>132.41999999999999</v>
      </c>
      <c r="D185">
        <v>134.1</v>
      </c>
      <c r="E185">
        <v>132.24</v>
      </c>
      <c r="F185" t="s">
        <v>1339</v>
      </c>
      <c r="G185" s="8">
        <v>7.7999999999999996E-3</v>
      </c>
      <c r="H185" s="3">
        <f t="shared" si="2"/>
        <v>7.8407720144755277E-3</v>
      </c>
    </row>
    <row r="186" spans="1:8" x14ac:dyDescent="0.3">
      <c r="A186" s="7">
        <v>45656</v>
      </c>
      <c r="B186">
        <v>133.43</v>
      </c>
      <c r="C186">
        <v>132.37</v>
      </c>
      <c r="D186">
        <v>133.93</v>
      </c>
      <c r="E186">
        <v>132.13</v>
      </c>
      <c r="F186" t="s">
        <v>1338</v>
      </c>
      <c r="G186" s="8">
        <v>-1.9E-3</v>
      </c>
      <c r="H186" s="3">
        <f t="shared" si="2"/>
        <v>-1.8701376421305094E-3</v>
      </c>
    </row>
    <row r="187" spans="1:8" x14ac:dyDescent="0.3">
      <c r="A187" s="7">
        <v>45657</v>
      </c>
      <c r="B187">
        <v>133.32</v>
      </c>
      <c r="C187">
        <v>133.57</v>
      </c>
      <c r="D187">
        <v>134.51</v>
      </c>
      <c r="E187">
        <v>133.18</v>
      </c>
      <c r="F187" t="s">
        <v>1337</v>
      </c>
      <c r="G187" s="8">
        <v>-8.0000000000000004E-4</v>
      </c>
      <c r="H187" s="3">
        <f t="shared" si="2"/>
        <v>-8.2440230832658834E-4</v>
      </c>
    </row>
    <row r="188" spans="1:8" x14ac:dyDescent="0.3">
      <c r="A188" s="7">
        <v>45659</v>
      </c>
      <c r="B188">
        <v>131.56</v>
      </c>
      <c r="C188">
        <v>133.59</v>
      </c>
      <c r="D188">
        <v>133.59</v>
      </c>
      <c r="E188">
        <v>131.24</v>
      </c>
      <c r="F188" t="s">
        <v>1336</v>
      </c>
      <c r="G188" s="8">
        <v>-1.32E-2</v>
      </c>
      <c r="H188" s="3">
        <f t="shared" si="2"/>
        <v>-1.3201320132013139E-2</v>
      </c>
    </row>
    <row r="189" spans="1:8" x14ac:dyDescent="0.3">
      <c r="A189" s="7">
        <v>45660</v>
      </c>
      <c r="B189">
        <v>132.55000000000001</v>
      </c>
      <c r="C189">
        <v>131.68</v>
      </c>
      <c r="D189">
        <v>132.87</v>
      </c>
      <c r="E189">
        <v>131.68</v>
      </c>
      <c r="F189" t="s">
        <v>1335</v>
      </c>
      <c r="G189" s="8">
        <v>7.4999999999999997E-3</v>
      </c>
      <c r="H189" s="3">
        <f t="shared" si="2"/>
        <v>7.5250836120401843E-3</v>
      </c>
    </row>
    <row r="190" spans="1:8" x14ac:dyDescent="0.3">
      <c r="A190" s="7">
        <v>45663</v>
      </c>
      <c r="B190">
        <v>132.5</v>
      </c>
      <c r="C190">
        <v>133.30000000000001</v>
      </c>
      <c r="D190">
        <v>134.25</v>
      </c>
      <c r="E190">
        <v>132.28</v>
      </c>
      <c r="F190" t="s">
        <v>1334</v>
      </c>
      <c r="G190" s="8">
        <v>-4.0000000000000002E-4</v>
      </c>
      <c r="H190" s="3">
        <f t="shared" si="2"/>
        <v>-3.7721614485108912E-4</v>
      </c>
    </row>
    <row r="191" spans="1:8" x14ac:dyDescent="0.3">
      <c r="A191" s="7">
        <v>45664</v>
      </c>
      <c r="B191">
        <v>131.19</v>
      </c>
      <c r="C191">
        <v>132.79</v>
      </c>
      <c r="D191">
        <v>133.35</v>
      </c>
      <c r="E191">
        <v>130.97999999999999</v>
      </c>
      <c r="F191" t="s">
        <v>1333</v>
      </c>
      <c r="G191" s="8">
        <v>-9.9000000000000008E-3</v>
      </c>
      <c r="H191" s="3">
        <f t="shared" si="2"/>
        <v>-9.8867924528301954E-3</v>
      </c>
    </row>
    <row r="192" spans="1:8" x14ac:dyDescent="0.3">
      <c r="A192" s="7">
        <v>45665</v>
      </c>
      <c r="B192">
        <v>130.79</v>
      </c>
      <c r="C192">
        <v>131.19</v>
      </c>
      <c r="D192">
        <v>132.44</v>
      </c>
      <c r="E192">
        <v>130.43</v>
      </c>
      <c r="F192" t="s">
        <v>1332</v>
      </c>
      <c r="G192" s="8">
        <v>-3.0000000000000001E-3</v>
      </c>
      <c r="H192" s="3">
        <f t="shared" si="2"/>
        <v>-3.0490128820794826E-3</v>
      </c>
    </row>
    <row r="193" spans="1:8" x14ac:dyDescent="0.3">
      <c r="A193" s="7">
        <v>45666</v>
      </c>
      <c r="B193">
        <v>130.47</v>
      </c>
      <c r="C193">
        <v>130.51</v>
      </c>
      <c r="D193">
        <v>131.27000000000001</v>
      </c>
      <c r="E193">
        <v>130.06</v>
      </c>
      <c r="F193" t="s">
        <v>1331</v>
      </c>
      <c r="G193" s="8">
        <v>-2.3999999999999998E-3</v>
      </c>
      <c r="H193" s="3">
        <f t="shared" si="2"/>
        <v>-2.4466702347273328E-3</v>
      </c>
    </row>
    <row r="194" spans="1:8" x14ac:dyDescent="0.3">
      <c r="A194" s="7">
        <v>45667</v>
      </c>
      <c r="B194">
        <v>130.44999999999999</v>
      </c>
      <c r="C194">
        <v>130</v>
      </c>
      <c r="D194">
        <v>130.57</v>
      </c>
      <c r="E194">
        <v>128.88999999999999</v>
      </c>
      <c r="F194" t="s">
        <v>1330</v>
      </c>
      <c r="G194" s="8">
        <v>-2.0000000000000001E-4</v>
      </c>
      <c r="H194" s="3">
        <f t="shared" si="2"/>
        <v>-1.5329194450841577E-4</v>
      </c>
    </row>
    <row r="195" spans="1:8" x14ac:dyDescent="0.3">
      <c r="A195" s="7">
        <v>45670</v>
      </c>
      <c r="B195">
        <v>128.9</v>
      </c>
      <c r="C195">
        <v>129.56</v>
      </c>
      <c r="D195">
        <v>130.03</v>
      </c>
      <c r="E195">
        <v>128.38</v>
      </c>
      <c r="F195" t="s">
        <v>1329</v>
      </c>
      <c r="G195" s="8">
        <v>-1.1900000000000001E-2</v>
      </c>
      <c r="H195" s="3">
        <f t="shared" si="2"/>
        <v>-1.1881947106170854E-2</v>
      </c>
    </row>
    <row r="196" spans="1:8" x14ac:dyDescent="0.3">
      <c r="A196" s="7">
        <v>45671</v>
      </c>
      <c r="B196">
        <v>128.31</v>
      </c>
      <c r="C196">
        <v>129.46</v>
      </c>
      <c r="D196">
        <v>129.6</v>
      </c>
      <c r="E196">
        <v>128.12</v>
      </c>
      <c r="F196" t="s">
        <v>1328</v>
      </c>
      <c r="G196" s="8">
        <v>-4.5999999999999999E-3</v>
      </c>
      <c r="H196" s="3">
        <f t="shared" ref="H196:H250" si="3">(B196/B195)-1</f>
        <v>-4.5771916214120134E-3</v>
      </c>
    </row>
    <row r="197" spans="1:8" x14ac:dyDescent="0.3">
      <c r="A197" s="7">
        <v>45672</v>
      </c>
      <c r="B197">
        <v>128.13</v>
      </c>
      <c r="C197">
        <v>129.38</v>
      </c>
      <c r="D197">
        <v>131.84</v>
      </c>
      <c r="E197">
        <v>127.72</v>
      </c>
      <c r="F197" t="s">
        <v>1327</v>
      </c>
      <c r="G197" s="8">
        <v>-1.4E-3</v>
      </c>
      <c r="H197" s="3">
        <f t="shared" si="3"/>
        <v>-1.4028524666822584E-3</v>
      </c>
    </row>
    <row r="198" spans="1:8" x14ac:dyDescent="0.3">
      <c r="A198" s="7">
        <v>45673</v>
      </c>
      <c r="B198">
        <v>131.25</v>
      </c>
      <c r="C198">
        <v>128.12</v>
      </c>
      <c r="D198">
        <v>131.25</v>
      </c>
      <c r="E198">
        <v>128.12</v>
      </c>
      <c r="F198" t="s">
        <v>1326</v>
      </c>
      <c r="G198" s="8">
        <v>2.4400000000000002E-2</v>
      </c>
      <c r="H198" s="3">
        <f t="shared" si="3"/>
        <v>2.4350269257785051E-2</v>
      </c>
    </row>
    <row r="199" spans="1:8" x14ac:dyDescent="0.3">
      <c r="A199" s="7">
        <v>45674</v>
      </c>
      <c r="B199">
        <v>131.15</v>
      </c>
      <c r="C199">
        <v>131.80000000000001</v>
      </c>
      <c r="D199">
        <v>132.4</v>
      </c>
      <c r="E199">
        <v>129.88</v>
      </c>
      <c r="F199" t="s">
        <v>1073</v>
      </c>
      <c r="G199" s="8">
        <v>-8.0000000000000004E-4</v>
      </c>
      <c r="H199" s="3">
        <f t="shared" si="3"/>
        <v>-7.6190476190474143E-4</v>
      </c>
    </row>
    <row r="200" spans="1:8" x14ac:dyDescent="0.3">
      <c r="A200" s="7">
        <v>45677</v>
      </c>
      <c r="B200">
        <v>131.06</v>
      </c>
      <c r="C200">
        <v>131.21</v>
      </c>
      <c r="D200">
        <v>131.94999999999999</v>
      </c>
      <c r="E200">
        <v>130.72999999999999</v>
      </c>
      <c r="F200" t="s">
        <v>1325</v>
      </c>
      <c r="G200" s="8">
        <v>-6.9999999999999999E-4</v>
      </c>
      <c r="H200" s="3">
        <f t="shared" si="3"/>
        <v>-6.8623713305382417E-4</v>
      </c>
    </row>
    <row r="201" spans="1:8" x14ac:dyDescent="0.3">
      <c r="A201" s="7">
        <v>45678</v>
      </c>
      <c r="B201">
        <v>130.88999999999999</v>
      </c>
      <c r="C201">
        <v>131.22999999999999</v>
      </c>
      <c r="D201">
        <v>131.36000000000001</v>
      </c>
      <c r="E201">
        <v>130.12</v>
      </c>
      <c r="F201" t="s">
        <v>1063</v>
      </c>
      <c r="G201" s="8">
        <v>-1.2999999999999999E-3</v>
      </c>
      <c r="H201" s="3">
        <f t="shared" si="3"/>
        <v>-1.2971158248131776E-3</v>
      </c>
    </row>
    <row r="202" spans="1:8" x14ac:dyDescent="0.3">
      <c r="A202" s="7">
        <v>45679</v>
      </c>
      <c r="B202">
        <v>131.74</v>
      </c>
      <c r="C202">
        <v>130.58000000000001</v>
      </c>
      <c r="D202">
        <v>131.80000000000001</v>
      </c>
      <c r="E202">
        <v>129.96</v>
      </c>
      <c r="F202" t="s">
        <v>1324</v>
      </c>
      <c r="G202" s="8">
        <v>6.4999999999999997E-3</v>
      </c>
      <c r="H202" s="3">
        <f t="shared" si="3"/>
        <v>6.494002597601245E-3</v>
      </c>
    </row>
    <row r="203" spans="1:8" x14ac:dyDescent="0.3">
      <c r="A203" s="7">
        <v>45680</v>
      </c>
      <c r="B203">
        <v>132.9</v>
      </c>
      <c r="C203">
        <v>131.21</v>
      </c>
      <c r="D203">
        <v>133.65</v>
      </c>
      <c r="E203">
        <v>131.21</v>
      </c>
      <c r="F203" t="s">
        <v>1323</v>
      </c>
      <c r="G203" s="8">
        <v>8.8000000000000005E-3</v>
      </c>
      <c r="H203" s="3">
        <f t="shared" si="3"/>
        <v>8.805222407772817E-3</v>
      </c>
    </row>
    <row r="204" spans="1:8" x14ac:dyDescent="0.3">
      <c r="A204" s="7">
        <v>45681</v>
      </c>
      <c r="B204">
        <v>132.97999999999999</v>
      </c>
      <c r="C204">
        <v>132.77000000000001</v>
      </c>
      <c r="D204">
        <v>133.22999999999999</v>
      </c>
      <c r="E204">
        <v>132.03</v>
      </c>
      <c r="F204" t="s">
        <v>1322</v>
      </c>
      <c r="G204" s="8">
        <v>5.9999999999999995E-4</v>
      </c>
      <c r="H204" s="3">
        <f t="shared" si="3"/>
        <v>6.0195635816384652E-4</v>
      </c>
    </row>
    <row r="205" spans="1:8" x14ac:dyDescent="0.3">
      <c r="A205" s="7">
        <v>45684</v>
      </c>
      <c r="B205">
        <v>132.61000000000001</v>
      </c>
      <c r="C205">
        <v>132</v>
      </c>
      <c r="D205">
        <v>133.15</v>
      </c>
      <c r="E205">
        <v>131.6</v>
      </c>
      <c r="F205" t="s">
        <v>1321</v>
      </c>
      <c r="G205" s="8">
        <v>-2.8E-3</v>
      </c>
      <c r="H205" s="3">
        <f t="shared" si="3"/>
        <v>-2.7823732892162667E-3</v>
      </c>
    </row>
    <row r="206" spans="1:8" x14ac:dyDescent="0.3">
      <c r="A206" s="7">
        <v>45685</v>
      </c>
      <c r="B206">
        <v>133.32</v>
      </c>
      <c r="C206">
        <v>132.54</v>
      </c>
      <c r="D206">
        <v>133.69</v>
      </c>
      <c r="E206">
        <v>132.54</v>
      </c>
      <c r="F206" t="s">
        <v>1320</v>
      </c>
      <c r="G206" s="8">
        <v>5.4000000000000003E-3</v>
      </c>
      <c r="H206" s="3">
        <f t="shared" si="3"/>
        <v>5.3540456979110918E-3</v>
      </c>
    </row>
    <row r="207" spans="1:8" x14ac:dyDescent="0.3">
      <c r="A207" s="7">
        <v>45686</v>
      </c>
      <c r="B207">
        <v>136.1</v>
      </c>
      <c r="C207">
        <v>132.94999999999999</v>
      </c>
      <c r="D207">
        <v>137.08000000000001</v>
      </c>
      <c r="E207">
        <v>132.94999999999999</v>
      </c>
      <c r="F207" t="s">
        <v>1319</v>
      </c>
      <c r="G207" s="8">
        <v>2.0899999999999998E-2</v>
      </c>
      <c r="H207" s="3">
        <f t="shared" si="3"/>
        <v>2.0852085208520776E-2</v>
      </c>
    </row>
    <row r="208" spans="1:8" x14ac:dyDescent="0.3">
      <c r="A208" s="7">
        <v>45687</v>
      </c>
      <c r="B208">
        <v>135.82</v>
      </c>
      <c r="C208">
        <v>136.09</v>
      </c>
      <c r="D208">
        <v>137</v>
      </c>
      <c r="E208">
        <v>134.13</v>
      </c>
      <c r="F208" t="s">
        <v>1318</v>
      </c>
      <c r="G208" s="8">
        <v>-2.0999999999999999E-3</v>
      </c>
      <c r="H208" s="3">
        <f t="shared" si="3"/>
        <v>-2.0573108008816732E-3</v>
      </c>
    </row>
    <row r="209" spans="1:8" x14ac:dyDescent="0.3">
      <c r="A209" s="7">
        <v>45688</v>
      </c>
      <c r="B209">
        <v>134.21</v>
      </c>
      <c r="C209">
        <v>136.77000000000001</v>
      </c>
      <c r="D209">
        <v>137.05000000000001</v>
      </c>
      <c r="E209">
        <v>134.16999999999999</v>
      </c>
      <c r="F209" t="s">
        <v>1317</v>
      </c>
      <c r="G209" s="8">
        <v>-1.1900000000000001E-2</v>
      </c>
      <c r="H209" s="3">
        <f t="shared" si="3"/>
        <v>-1.1853924311588715E-2</v>
      </c>
    </row>
    <row r="210" spans="1:8" x14ac:dyDescent="0.3">
      <c r="A210" s="7">
        <v>45691</v>
      </c>
      <c r="B210">
        <v>130.33000000000001</v>
      </c>
      <c r="C210">
        <v>124.47</v>
      </c>
      <c r="D210">
        <v>131.57</v>
      </c>
      <c r="E210">
        <v>122.04</v>
      </c>
      <c r="F210" t="s">
        <v>1316</v>
      </c>
      <c r="G210" s="8">
        <v>-2.8899999999999999E-2</v>
      </c>
      <c r="H210" s="3">
        <f t="shared" si="3"/>
        <v>-2.8909917293793219E-2</v>
      </c>
    </row>
    <row r="211" spans="1:8" x14ac:dyDescent="0.3">
      <c r="A211" s="7">
        <v>45692</v>
      </c>
      <c r="B211">
        <v>130.62</v>
      </c>
      <c r="C211">
        <v>130.32</v>
      </c>
      <c r="D211">
        <v>132.03</v>
      </c>
      <c r="E211">
        <v>129.88</v>
      </c>
      <c r="F211" t="s">
        <v>1315</v>
      </c>
      <c r="G211" s="8">
        <v>2.2000000000000001E-3</v>
      </c>
      <c r="H211" s="3">
        <f t="shared" si="3"/>
        <v>2.2251208470804862E-3</v>
      </c>
    </row>
    <row r="212" spans="1:8" x14ac:dyDescent="0.3">
      <c r="A212" s="7">
        <v>45693</v>
      </c>
      <c r="B212">
        <v>130.53</v>
      </c>
      <c r="C212">
        <v>131.29</v>
      </c>
      <c r="D212">
        <v>131.29</v>
      </c>
      <c r="E212">
        <v>129.83000000000001</v>
      </c>
      <c r="F212" t="s">
        <v>1314</v>
      </c>
      <c r="G212" s="8">
        <v>-6.9999999999999999E-4</v>
      </c>
      <c r="H212" s="3">
        <f t="shared" si="3"/>
        <v>-6.8902158934314173E-4</v>
      </c>
    </row>
    <row r="213" spans="1:8" x14ac:dyDescent="0.3">
      <c r="A213" s="7">
        <v>45694</v>
      </c>
      <c r="B213">
        <v>132.52000000000001</v>
      </c>
      <c r="C213">
        <v>131.44999999999999</v>
      </c>
      <c r="D213">
        <v>133.26</v>
      </c>
      <c r="E213">
        <v>130.77000000000001</v>
      </c>
      <c r="F213" t="s">
        <v>1313</v>
      </c>
      <c r="G213" s="8">
        <v>1.52E-2</v>
      </c>
      <c r="H213" s="3">
        <f t="shared" si="3"/>
        <v>1.5245537424346978E-2</v>
      </c>
    </row>
    <row r="214" spans="1:8" x14ac:dyDescent="0.3">
      <c r="A214" s="7">
        <v>45695</v>
      </c>
      <c r="B214">
        <v>131.87</v>
      </c>
      <c r="C214">
        <v>132.91</v>
      </c>
      <c r="D214">
        <v>132.91</v>
      </c>
      <c r="E214">
        <v>131.38</v>
      </c>
      <c r="F214" t="s">
        <v>1312</v>
      </c>
      <c r="G214" s="8">
        <v>-4.8999999999999998E-3</v>
      </c>
      <c r="H214" s="3">
        <f t="shared" si="3"/>
        <v>-4.9049200120736547E-3</v>
      </c>
    </row>
    <row r="215" spans="1:8" x14ac:dyDescent="0.3">
      <c r="A215" s="7">
        <v>45698</v>
      </c>
      <c r="B215">
        <v>129.33000000000001</v>
      </c>
      <c r="C215">
        <v>131.29</v>
      </c>
      <c r="D215">
        <v>132.66999999999999</v>
      </c>
      <c r="E215">
        <v>129.25</v>
      </c>
      <c r="F215" t="s">
        <v>1311</v>
      </c>
      <c r="G215" s="8">
        <v>-1.9300000000000001E-2</v>
      </c>
      <c r="H215" s="3">
        <f t="shared" si="3"/>
        <v>-1.9261393796921156E-2</v>
      </c>
    </row>
    <row r="216" spans="1:8" x14ac:dyDescent="0.3">
      <c r="A216" s="7">
        <v>45699</v>
      </c>
      <c r="B216">
        <v>128.78</v>
      </c>
      <c r="C216">
        <v>129.04</v>
      </c>
      <c r="D216">
        <v>129.18</v>
      </c>
      <c r="E216">
        <v>127.6</v>
      </c>
      <c r="F216" t="s">
        <v>1310</v>
      </c>
      <c r="G216" s="8">
        <v>-4.3E-3</v>
      </c>
      <c r="H216" s="3">
        <f t="shared" si="3"/>
        <v>-4.2526869249208676E-3</v>
      </c>
    </row>
    <row r="217" spans="1:8" x14ac:dyDescent="0.3">
      <c r="A217" s="7">
        <v>45700</v>
      </c>
      <c r="B217">
        <v>130.80000000000001</v>
      </c>
      <c r="C217">
        <v>128.24</v>
      </c>
      <c r="D217">
        <v>130.87</v>
      </c>
      <c r="E217">
        <v>128.19</v>
      </c>
      <c r="F217" t="s">
        <v>1309</v>
      </c>
      <c r="G217" s="8">
        <v>1.5699999999999999E-2</v>
      </c>
      <c r="H217" s="3">
        <f t="shared" si="3"/>
        <v>1.5685665476005584E-2</v>
      </c>
    </row>
    <row r="218" spans="1:8" x14ac:dyDescent="0.3">
      <c r="A218" s="7">
        <v>45701</v>
      </c>
      <c r="B218">
        <v>128.82</v>
      </c>
      <c r="C218">
        <v>130.75</v>
      </c>
      <c r="D218">
        <v>130.75</v>
      </c>
      <c r="E218">
        <v>126.06</v>
      </c>
      <c r="F218" t="s">
        <v>1308</v>
      </c>
      <c r="G218" s="8">
        <v>-1.5100000000000001E-2</v>
      </c>
      <c r="H218" s="3">
        <f t="shared" si="3"/>
        <v>-1.5137614678899181E-2</v>
      </c>
    </row>
    <row r="219" spans="1:8" x14ac:dyDescent="0.3">
      <c r="A219" s="7">
        <v>45702</v>
      </c>
      <c r="B219">
        <v>130.32</v>
      </c>
      <c r="C219">
        <v>130.05000000000001</v>
      </c>
      <c r="D219">
        <v>130.47999999999999</v>
      </c>
      <c r="E219">
        <v>129.06</v>
      </c>
      <c r="F219" t="s">
        <v>1307</v>
      </c>
      <c r="G219" s="8">
        <v>1.1599999999999999E-2</v>
      </c>
      <c r="H219" s="3">
        <f t="shared" si="3"/>
        <v>1.1644154634373516E-2</v>
      </c>
    </row>
    <row r="220" spans="1:8" x14ac:dyDescent="0.3">
      <c r="A220" s="7">
        <v>45706</v>
      </c>
      <c r="B220">
        <v>132.87</v>
      </c>
      <c r="C220">
        <v>130.35</v>
      </c>
      <c r="D220">
        <v>132.88999999999999</v>
      </c>
      <c r="E220">
        <v>130.32</v>
      </c>
      <c r="F220" t="s">
        <v>1306</v>
      </c>
      <c r="G220" s="8">
        <v>1.9599999999999999E-2</v>
      </c>
      <c r="H220" s="3">
        <f t="shared" si="3"/>
        <v>1.9567219152854642E-2</v>
      </c>
    </row>
    <row r="221" spans="1:8" x14ac:dyDescent="0.3">
      <c r="A221" s="7">
        <v>45707</v>
      </c>
      <c r="B221">
        <v>133.69999999999999</v>
      </c>
      <c r="C221">
        <v>138</v>
      </c>
      <c r="D221">
        <v>141.88</v>
      </c>
      <c r="E221">
        <v>133.25</v>
      </c>
      <c r="F221" t="s">
        <v>1305</v>
      </c>
      <c r="G221" s="8">
        <v>6.1999999999999998E-3</v>
      </c>
      <c r="H221" s="3">
        <f t="shared" si="3"/>
        <v>6.2467073078948943E-3</v>
      </c>
    </row>
    <row r="222" spans="1:8" x14ac:dyDescent="0.3">
      <c r="A222" s="7">
        <v>45708</v>
      </c>
      <c r="B222">
        <v>129.25</v>
      </c>
      <c r="C222">
        <v>133.21</v>
      </c>
      <c r="D222">
        <v>134.27000000000001</v>
      </c>
      <c r="E222">
        <v>129.01</v>
      </c>
      <c r="F222" t="s">
        <v>1304</v>
      </c>
      <c r="G222" s="8">
        <v>-3.3300000000000003E-2</v>
      </c>
      <c r="H222" s="3">
        <f t="shared" si="3"/>
        <v>-3.3283470456245245E-2</v>
      </c>
    </row>
    <row r="223" spans="1:8" x14ac:dyDescent="0.3">
      <c r="A223" s="7">
        <v>45709</v>
      </c>
      <c r="B223">
        <v>127.12</v>
      </c>
      <c r="C223">
        <v>130.38999999999999</v>
      </c>
      <c r="D223">
        <v>130.84</v>
      </c>
      <c r="E223">
        <v>127.11</v>
      </c>
      <c r="F223" t="s">
        <v>1303</v>
      </c>
      <c r="G223" s="8">
        <v>-1.6500000000000001E-2</v>
      </c>
      <c r="H223" s="3">
        <f t="shared" si="3"/>
        <v>-1.6479690522243629E-2</v>
      </c>
    </row>
    <row r="224" spans="1:8" x14ac:dyDescent="0.3">
      <c r="A224" s="7">
        <v>45712</v>
      </c>
      <c r="B224">
        <v>132.91</v>
      </c>
      <c r="C224">
        <v>128</v>
      </c>
      <c r="D224">
        <v>134.38</v>
      </c>
      <c r="E224">
        <v>127.24</v>
      </c>
      <c r="F224" t="s">
        <v>1302</v>
      </c>
      <c r="G224" s="8">
        <v>4.5499999999999999E-2</v>
      </c>
      <c r="H224" s="3">
        <f t="shared" si="3"/>
        <v>4.5547514159848923E-2</v>
      </c>
    </row>
    <row r="225" spans="1:8" x14ac:dyDescent="0.3">
      <c r="A225" s="7">
        <v>45713</v>
      </c>
      <c r="B225">
        <v>129.62</v>
      </c>
      <c r="C225">
        <v>133.96</v>
      </c>
      <c r="D225">
        <v>135.11000000000001</v>
      </c>
      <c r="E225">
        <v>128.66</v>
      </c>
      <c r="F225" t="s">
        <v>1301</v>
      </c>
      <c r="G225" s="8">
        <v>-2.4799999999999999E-2</v>
      </c>
      <c r="H225" s="3">
        <f t="shared" si="3"/>
        <v>-2.4753592656684864E-2</v>
      </c>
    </row>
    <row r="226" spans="1:8" x14ac:dyDescent="0.3">
      <c r="A226" s="7">
        <v>45714</v>
      </c>
      <c r="B226">
        <v>131.99</v>
      </c>
      <c r="C226">
        <v>129.94</v>
      </c>
      <c r="D226">
        <v>134.06</v>
      </c>
      <c r="E226">
        <v>129.94</v>
      </c>
      <c r="F226" t="s">
        <v>1300</v>
      </c>
      <c r="G226" s="8">
        <v>1.83E-2</v>
      </c>
      <c r="H226" s="3">
        <f t="shared" si="3"/>
        <v>1.8284215398858272E-2</v>
      </c>
    </row>
    <row r="227" spans="1:8" x14ac:dyDescent="0.3">
      <c r="A227" s="7">
        <v>45715</v>
      </c>
      <c r="B227">
        <v>136.5</v>
      </c>
      <c r="C227">
        <v>132.55000000000001</v>
      </c>
      <c r="D227">
        <v>136.55000000000001</v>
      </c>
      <c r="E227">
        <v>132.43</v>
      </c>
      <c r="F227" t="s">
        <v>1299</v>
      </c>
      <c r="G227" s="8">
        <v>3.4200000000000001E-2</v>
      </c>
      <c r="H227" s="3">
        <f t="shared" si="3"/>
        <v>3.416925524660952E-2</v>
      </c>
    </row>
    <row r="228" spans="1:8" x14ac:dyDescent="0.3">
      <c r="A228" s="7">
        <v>45716</v>
      </c>
      <c r="B228">
        <v>135.71</v>
      </c>
      <c r="C228">
        <v>136.56</v>
      </c>
      <c r="D228">
        <v>136.63</v>
      </c>
      <c r="E228">
        <v>133.01</v>
      </c>
      <c r="F228" t="s">
        <v>1298</v>
      </c>
      <c r="G228" s="8">
        <v>-5.7999999999999996E-3</v>
      </c>
      <c r="H228" s="3">
        <f t="shared" si="3"/>
        <v>-5.7875457875457004E-3</v>
      </c>
    </row>
    <row r="229" spans="1:8" x14ac:dyDescent="0.3">
      <c r="A229" s="7">
        <v>45719</v>
      </c>
      <c r="B229">
        <v>134.81</v>
      </c>
      <c r="C229">
        <v>136.18</v>
      </c>
      <c r="D229">
        <v>137.4</v>
      </c>
      <c r="E229">
        <v>133.80000000000001</v>
      </c>
      <c r="F229" t="s">
        <v>1297</v>
      </c>
      <c r="G229" s="8">
        <v>-6.6E-3</v>
      </c>
      <c r="H229" s="3">
        <f t="shared" si="3"/>
        <v>-6.6317883722644133E-3</v>
      </c>
    </row>
    <row r="230" spans="1:8" x14ac:dyDescent="0.3">
      <c r="A230" s="7">
        <v>45720</v>
      </c>
      <c r="B230">
        <v>126.62</v>
      </c>
      <c r="C230">
        <v>133.12</v>
      </c>
      <c r="D230">
        <v>133.72</v>
      </c>
      <c r="E230">
        <v>126.25</v>
      </c>
      <c r="F230" t="s">
        <v>1296</v>
      </c>
      <c r="G230" s="8">
        <v>-6.08E-2</v>
      </c>
      <c r="H230" s="3">
        <f t="shared" si="3"/>
        <v>-6.0752169720347138E-2</v>
      </c>
    </row>
    <row r="231" spans="1:8" x14ac:dyDescent="0.3">
      <c r="A231" s="7">
        <v>45721</v>
      </c>
      <c r="B231">
        <v>129.37</v>
      </c>
      <c r="C231">
        <v>127.08</v>
      </c>
      <c r="D231">
        <v>129.58000000000001</v>
      </c>
      <c r="E231">
        <v>127.08</v>
      </c>
      <c r="F231" t="s">
        <v>1295</v>
      </c>
      <c r="G231" s="8">
        <v>2.1700000000000001E-2</v>
      </c>
      <c r="H231" s="3">
        <f t="shared" si="3"/>
        <v>2.1718527878692218E-2</v>
      </c>
    </row>
    <row r="232" spans="1:8" x14ac:dyDescent="0.3">
      <c r="A232" s="7">
        <v>45722</v>
      </c>
      <c r="B232">
        <v>127.48</v>
      </c>
      <c r="C232">
        <v>129.52000000000001</v>
      </c>
      <c r="D232">
        <v>129.82</v>
      </c>
      <c r="E232">
        <v>126.33</v>
      </c>
      <c r="F232" t="s">
        <v>1294</v>
      </c>
      <c r="G232" s="8">
        <v>-1.46E-2</v>
      </c>
      <c r="H232" s="3">
        <f t="shared" si="3"/>
        <v>-1.4609260261266188E-2</v>
      </c>
    </row>
    <row r="233" spans="1:8" x14ac:dyDescent="0.3">
      <c r="A233" s="7">
        <v>45723</v>
      </c>
      <c r="B233">
        <v>127.63</v>
      </c>
      <c r="C233">
        <v>126.19</v>
      </c>
      <c r="D233">
        <v>128.65</v>
      </c>
      <c r="E233">
        <v>126.19</v>
      </c>
      <c r="F233" t="s">
        <v>1293</v>
      </c>
      <c r="G233" s="8">
        <v>1.1999999999999999E-3</v>
      </c>
      <c r="H233" s="3">
        <f t="shared" si="3"/>
        <v>1.1766551615939314E-3</v>
      </c>
    </row>
    <row r="234" spans="1:8" x14ac:dyDescent="0.3">
      <c r="A234" s="7">
        <v>45726</v>
      </c>
      <c r="B234">
        <v>122.02</v>
      </c>
      <c r="C234">
        <v>125.01</v>
      </c>
      <c r="D234">
        <v>125.61</v>
      </c>
      <c r="E234">
        <v>121.12</v>
      </c>
      <c r="F234" t="s">
        <v>1292</v>
      </c>
      <c r="G234" s="8">
        <v>-4.3999999999999997E-2</v>
      </c>
      <c r="H234" s="3">
        <f t="shared" si="3"/>
        <v>-4.3955182950716876E-2</v>
      </c>
    </row>
    <row r="235" spans="1:8" x14ac:dyDescent="0.3">
      <c r="A235" s="7">
        <v>45727</v>
      </c>
      <c r="B235">
        <v>123.85</v>
      </c>
      <c r="C235">
        <v>121.6</v>
      </c>
      <c r="D235">
        <v>123.87</v>
      </c>
      <c r="E235">
        <v>121.5</v>
      </c>
      <c r="F235" t="s">
        <v>1291</v>
      </c>
      <c r="G235" s="8">
        <v>1.4999999999999999E-2</v>
      </c>
      <c r="H235" s="3">
        <f t="shared" si="3"/>
        <v>1.4997541386657876E-2</v>
      </c>
    </row>
    <row r="236" spans="1:8" x14ac:dyDescent="0.3">
      <c r="A236" s="7">
        <v>45728</v>
      </c>
      <c r="B236">
        <v>126.36</v>
      </c>
      <c r="C236">
        <v>124.18</v>
      </c>
      <c r="D236">
        <v>126.5</v>
      </c>
      <c r="E236">
        <v>123.95</v>
      </c>
      <c r="F236" t="s">
        <v>1290</v>
      </c>
      <c r="G236" s="8">
        <v>2.0299999999999999E-2</v>
      </c>
      <c r="H236" s="3">
        <f t="shared" si="3"/>
        <v>2.0266451352442427E-2</v>
      </c>
    </row>
    <row r="237" spans="1:8" x14ac:dyDescent="0.3">
      <c r="A237" s="7">
        <v>45729</v>
      </c>
      <c r="B237">
        <v>124.25</v>
      </c>
      <c r="C237">
        <v>126.48</v>
      </c>
      <c r="D237">
        <v>127.87</v>
      </c>
      <c r="E237">
        <v>123.41</v>
      </c>
      <c r="F237" t="s">
        <v>1289</v>
      </c>
      <c r="G237" s="8">
        <v>-1.67E-2</v>
      </c>
      <c r="H237" s="3">
        <f t="shared" si="3"/>
        <v>-1.6698322253877795E-2</v>
      </c>
    </row>
    <row r="238" spans="1:8" x14ac:dyDescent="0.3">
      <c r="A238" s="7">
        <v>45730</v>
      </c>
      <c r="B238">
        <v>128.32</v>
      </c>
      <c r="C238">
        <v>125.8</v>
      </c>
      <c r="D238">
        <v>128.91</v>
      </c>
      <c r="E238">
        <v>125.69</v>
      </c>
      <c r="F238" t="s">
        <v>1288</v>
      </c>
      <c r="G238" s="8">
        <v>3.2800000000000003E-2</v>
      </c>
      <c r="H238" s="3">
        <f t="shared" si="3"/>
        <v>3.275653923541233E-2</v>
      </c>
    </row>
    <row r="239" spans="1:8" x14ac:dyDescent="0.3">
      <c r="A239" s="7">
        <v>45733</v>
      </c>
      <c r="B239">
        <v>129.91999999999999</v>
      </c>
      <c r="C239">
        <v>127.74</v>
      </c>
      <c r="D239">
        <v>130.25</v>
      </c>
      <c r="E239">
        <v>127.57</v>
      </c>
      <c r="F239" t="s">
        <v>1287</v>
      </c>
      <c r="G239" s="8">
        <v>1.2500000000000001E-2</v>
      </c>
      <c r="H239" s="3">
        <f t="shared" si="3"/>
        <v>1.2468827930174564E-2</v>
      </c>
    </row>
    <row r="240" spans="1:8" x14ac:dyDescent="0.3">
      <c r="A240" s="7">
        <v>45734</v>
      </c>
      <c r="B240">
        <v>129.19999999999999</v>
      </c>
      <c r="C240">
        <v>129.91999999999999</v>
      </c>
      <c r="D240">
        <v>130.56</v>
      </c>
      <c r="E240">
        <v>128.08000000000001</v>
      </c>
      <c r="F240" t="s">
        <v>1286</v>
      </c>
      <c r="G240" s="8">
        <v>-5.4999999999999997E-3</v>
      </c>
      <c r="H240" s="3">
        <f t="shared" si="3"/>
        <v>-5.5418719211822731E-3</v>
      </c>
    </row>
    <row r="241" spans="1:8" x14ac:dyDescent="0.3">
      <c r="A241" s="7">
        <v>45735</v>
      </c>
      <c r="B241">
        <v>130.97999999999999</v>
      </c>
      <c r="C241">
        <v>129</v>
      </c>
      <c r="D241">
        <v>131.49</v>
      </c>
      <c r="E241">
        <v>128.99</v>
      </c>
      <c r="F241" t="s">
        <v>1285</v>
      </c>
      <c r="G241" s="8">
        <v>1.38E-2</v>
      </c>
      <c r="H241" s="3">
        <f t="shared" si="3"/>
        <v>1.3777089783281848E-2</v>
      </c>
    </row>
    <row r="242" spans="1:8" x14ac:dyDescent="0.3">
      <c r="A242" s="7">
        <v>45736</v>
      </c>
      <c r="B242">
        <v>132.81</v>
      </c>
      <c r="C242">
        <v>129.82</v>
      </c>
      <c r="D242">
        <v>133.1</v>
      </c>
      <c r="E242">
        <v>129.82</v>
      </c>
      <c r="F242" t="s">
        <v>1284</v>
      </c>
      <c r="G242" s="8">
        <v>1.4E-2</v>
      </c>
      <c r="H242" s="3">
        <f t="shared" si="3"/>
        <v>1.3971598717361422E-2</v>
      </c>
    </row>
    <row r="243" spans="1:8" x14ac:dyDescent="0.3">
      <c r="A243" s="7">
        <v>45737</v>
      </c>
      <c r="B243">
        <v>134.32</v>
      </c>
      <c r="C243">
        <v>131.88</v>
      </c>
      <c r="D243">
        <v>134.62</v>
      </c>
      <c r="E243">
        <v>130.94999999999999</v>
      </c>
      <c r="F243" t="s">
        <v>1283</v>
      </c>
      <c r="G243" s="8">
        <v>1.14E-2</v>
      </c>
      <c r="H243" s="3">
        <f t="shared" si="3"/>
        <v>1.1369625781191051E-2</v>
      </c>
    </row>
    <row r="244" spans="1:8" x14ac:dyDescent="0.3">
      <c r="A244" s="7">
        <v>45740</v>
      </c>
      <c r="B244">
        <v>136.44999999999999</v>
      </c>
      <c r="C244">
        <v>135</v>
      </c>
      <c r="D244">
        <v>136.57</v>
      </c>
      <c r="E244">
        <v>134.34</v>
      </c>
      <c r="F244" t="s">
        <v>1282</v>
      </c>
      <c r="G244" s="8">
        <v>1.5900000000000001E-2</v>
      </c>
      <c r="H244" s="3">
        <f t="shared" si="3"/>
        <v>1.5857653365098257E-2</v>
      </c>
    </row>
    <row r="245" spans="1:8" x14ac:dyDescent="0.3">
      <c r="A245" s="7">
        <v>45741</v>
      </c>
      <c r="B245">
        <v>137.54</v>
      </c>
      <c r="C245">
        <v>136.66</v>
      </c>
      <c r="D245">
        <v>138.34</v>
      </c>
      <c r="E245">
        <v>136.55000000000001</v>
      </c>
      <c r="F245" t="s">
        <v>1281</v>
      </c>
      <c r="G245" s="8">
        <v>8.0000000000000002E-3</v>
      </c>
      <c r="H245" s="3">
        <f t="shared" si="3"/>
        <v>7.9882740930743434E-3</v>
      </c>
    </row>
    <row r="246" spans="1:8" x14ac:dyDescent="0.3">
      <c r="A246" s="7">
        <v>45742</v>
      </c>
      <c r="B246">
        <v>136.87</v>
      </c>
      <c r="C246">
        <v>138.02000000000001</v>
      </c>
      <c r="D246">
        <v>140</v>
      </c>
      <c r="E246">
        <v>136.41</v>
      </c>
      <c r="F246" t="s">
        <v>1280</v>
      </c>
      <c r="G246" s="8">
        <v>-4.8999999999999998E-3</v>
      </c>
      <c r="H246" s="3">
        <f t="shared" si="3"/>
        <v>-4.8713101643157453E-3</v>
      </c>
    </row>
    <row r="247" spans="1:8" x14ac:dyDescent="0.3">
      <c r="A247" s="7">
        <v>45743</v>
      </c>
      <c r="B247">
        <v>137</v>
      </c>
      <c r="C247">
        <v>136.68</v>
      </c>
      <c r="D247">
        <v>137.38</v>
      </c>
      <c r="E247">
        <v>135.63</v>
      </c>
      <c r="F247" t="s">
        <v>1279</v>
      </c>
      <c r="G247" s="8">
        <v>8.9999999999999998E-4</v>
      </c>
      <c r="H247" s="3">
        <f t="shared" si="3"/>
        <v>9.4980638562125463E-4</v>
      </c>
    </row>
    <row r="248" spans="1:8" x14ac:dyDescent="0.3">
      <c r="A248" s="7">
        <v>45744</v>
      </c>
      <c r="B248">
        <v>136.99</v>
      </c>
      <c r="C248">
        <v>136.31</v>
      </c>
      <c r="D248">
        <v>139.21</v>
      </c>
      <c r="E248">
        <v>136.15</v>
      </c>
      <c r="F248" t="s">
        <v>1278</v>
      </c>
      <c r="G248" s="8">
        <v>-1E-4</v>
      </c>
      <c r="H248" s="3">
        <f t="shared" si="3"/>
        <v>-7.2992700729912485E-5</v>
      </c>
    </row>
    <row r="249" spans="1:8" x14ac:dyDescent="0.3">
      <c r="A249" s="7">
        <v>45747</v>
      </c>
      <c r="B249">
        <v>136.66</v>
      </c>
      <c r="C249">
        <v>135.56</v>
      </c>
      <c r="D249">
        <v>137.66999999999999</v>
      </c>
      <c r="E249">
        <v>134.69</v>
      </c>
      <c r="F249" t="s">
        <v>1277</v>
      </c>
      <c r="G249" s="8">
        <v>-2.3999999999999998E-3</v>
      </c>
      <c r="H249" s="3">
        <f t="shared" si="3"/>
        <v>-2.4089349587561593E-3</v>
      </c>
    </row>
    <row r="250" spans="1:8" x14ac:dyDescent="0.3">
      <c r="A250" s="7">
        <v>45748</v>
      </c>
      <c r="B250">
        <v>137.59</v>
      </c>
      <c r="C250">
        <v>136.61000000000001</v>
      </c>
      <c r="D250">
        <v>139.6</v>
      </c>
      <c r="E250">
        <v>135.06</v>
      </c>
      <c r="F250" t="s">
        <v>1276</v>
      </c>
      <c r="G250" s="8">
        <v>6.7999999999999996E-3</v>
      </c>
      <c r="H250" s="3">
        <f t="shared" si="3"/>
        <v>6.8052100102444779E-3</v>
      </c>
    </row>
    <row r="251" spans="1:8" x14ac:dyDescent="0.3">
      <c r="A251" s="7">
        <v>45749</v>
      </c>
      <c r="B251">
        <v>140.54</v>
      </c>
      <c r="C251">
        <v>136.32</v>
      </c>
      <c r="D251">
        <v>140.6</v>
      </c>
      <c r="E251">
        <v>135.91999999999999</v>
      </c>
      <c r="F251" t="s">
        <v>1275</v>
      </c>
      <c r="G251" s="8">
        <v>2.1399999999999999E-2</v>
      </c>
      <c r="H251" s="3">
        <f>(B251/B250)-1</f>
        <v>2.1440511665091755E-2</v>
      </c>
    </row>
    <row r="252" spans="1:8" x14ac:dyDescent="0.3">
      <c r="A252" s="7">
        <v>45750</v>
      </c>
      <c r="B252">
        <v>133.54</v>
      </c>
      <c r="C252">
        <v>135.88999999999999</v>
      </c>
      <c r="D252">
        <v>138.72</v>
      </c>
      <c r="E252">
        <v>133.35</v>
      </c>
      <c r="F252" t="s">
        <v>1274</v>
      </c>
      <c r="G252" s="8">
        <v>-4.9799999999999997E-2</v>
      </c>
      <c r="H252" s="3">
        <f t="shared" ref="H252:H253" si="4">(B252/B251)-1</f>
        <v>-4.98078838764765E-2</v>
      </c>
    </row>
    <row r="253" spans="1:8" x14ac:dyDescent="0.3">
      <c r="A253" s="7">
        <v>45751</v>
      </c>
      <c r="B253">
        <v>123.01</v>
      </c>
      <c r="C253">
        <v>130</v>
      </c>
      <c r="D253">
        <v>133.38999999999999</v>
      </c>
      <c r="E253">
        <v>122.18</v>
      </c>
      <c r="F253" t="s">
        <v>1273</v>
      </c>
      <c r="G253" s="8">
        <v>-7.8899999999999998E-2</v>
      </c>
      <c r="H253" s="3">
        <f t="shared" si="4"/>
        <v>-7.8852778193799544E-2</v>
      </c>
    </row>
    <row r="254" spans="1:8" x14ac:dyDescent="0.3">
      <c r="A254" s="7"/>
      <c r="G254" s="8"/>
      <c r="H254" s="3"/>
    </row>
  </sheetData>
  <autoFilter ref="A1:G254" xr:uid="{80ABE011-DFEB-4968-9B6B-4814B2114750}">
    <sortState xmlns:xlrd2="http://schemas.microsoft.com/office/spreadsheetml/2017/richdata2" ref="A2:G254">
      <sortCondition ref="A1:A254"/>
    </sortState>
  </autoFilter>
  <sortState xmlns:xlrd2="http://schemas.microsoft.com/office/spreadsheetml/2017/richdata2" ref="A2:G252">
    <sortCondition ref="A2:A25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16D48-4459-45B3-9BD2-D95803AD9264}">
  <sheetPr codeName="Hoja9">
    <tabColor theme="6" tint="0.79998168889431442"/>
  </sheetPr>
  <dimension ref="A1:L257"/>
  <sheetViews>
    <sheetView topLeftCell="A2" workbookViewId="0">
      <selection activeCell="F2" sqref="F2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45392</v>
      </c>
      <c r="B2">
        <v>215</v>
      </c>
      <c r="C2">
        <v>218.9</v>
      </c>
      <c r="D2">
        <v>219.1</v>
      </c>
      <c r="E2">
        <v>211.7</v>
      </c>
      <c r="F2" t="s">
        <v>1065</v>
      </c>
      <c r="G2" s="8">
        <v>-1.6899999999999998E-2</v>
      </c>
      <c r="H2" s="3" t="s">
        <v>11</v>
      </c>
      <c r="J2" t="s">
        <v>12</v>
      </c>
      <c r="K2" s="4">
        <f>AVERAGE(H3:H253)</f>
        <v>1.2997948232918808E-3</v>
      </c>
      <c r="L2" s="5">
        <f>_xlfn.STDEV.S(H3:H253)</f>
        <v>1.7582415381123644E-2</v>
      </c>
    </row>
    <row r="3" spans="1:12" x14ac:dyDescent="0.3">
      <c r="A3" s="7">
        <v>45393</v>
      </c>
      <c r="B3">
        <v>213.7</v>
      </c>
      <c r="C3">
        <v>215.9</v>
      </c>
      <c r="D3">
        <v>217</v>
      </c>
      <c r="E3">
        <v>212.2</v>
      </c>
      <c r="F3" t="s">
        <v>1064</v>
      </c>
      <c r="G3" s="8">
        <v>-6.0000000000000001E-3</v>
      </c>
      <c r="H3" s="3">
        <f>(B3/B2)-1</f>
        <v>-6.0465116279070363E-3</v>
      </c>
      <c r="J3" t="s">
        <v>14</v>
      </c>
      <c r="K3" s="6">
        <f>K2*252</f>
        <v>0.32754829546955394</v>
      </c>
      <c r="L3" s="6">
        <f>L2*SQRT(252)</f>
        <v>0.27911219127774062</v>
      </c>
    </row>
    <row r="4" spans="1:12" x14ac:dyDescent="0.3">
      <c r="A4" s="7">
        <v>45394</v>
      </c>
      <c r="B4">
        <v>217.2</v>
      </c>
      <c r="C4">
        <v>215.6</v>
      </c>
      <c r="D4">
        <v>219</v>
      </c>
      <c r="E4">
        <v>215.3</v>
      </c>
      <c r="F4" t="s">
        <v>1063</v>
      </c>
      <c r="G4" s="8">
        <v>1.6400000000000001E-2</v>
      </c>
      <c r="H4" s="3">
        <f t="shared" ref="H4:H67" si="0">(B4/B3)-1</f>
        <v>1.6378100140383767E-2</v>
      </c>
    </row>
    <row r="5" spans="1:12" x14ac:dyDescent="0.3">
      <c r="A5" s="7">
        <v>45397</v>
      </c>
      <c r="B5">
        <v>216.6</v>
      </c>
      <c r="C5">
        <v>217</v>
      </c>
      <c r="D5">
        <v>219.7</v>
      </c>
      <c r="E5">
        <v>215.5</v>
      </c>
      <c r="F5" t="s">
        <v>1062</v>
      </c>
      <c r="G5" s="8">
        <v>-2.8E-3</v>
      </c>
      <c r="H5" s="3">
        <f t="shared" si="0"/>
        <v>-2.7624309392264568E-3</v>
      </c>
    </row>
    <row r="6" spans="1:12" x14ac:dyDescent="0.3">
      <c r="A6" s="7">
        <v>45398</v>
      </c>
      <c r="B6">
        <v>212.6</v>
      </c>
      <c r="C6">
        <v>213.8</v>
      </c>
      <c r="D6">
        <v>214</v>
      </c>
      <c r="E6">
        <v>211.1</v>
      </c>
      <c r="F6" t="s">
        <v>1061</v>
      </c>
      <c r="G6" s="8">
        <v>-1.8499999999999999E-2</v>
      </c>
      <c r="H6" s="3">
        <f t="shared" si="0"/>
        <v>-1.8467220683287211E-2</v>
      </c>
    </row>
    <row r="7" spans="1:12" x14ac:dyDescent="0.3">
      <c r="A7" s="7">
        <v>45399</v>
      </c>
      <c r="B7">
        <v>212</v>
      </c>
      <c r="C7">
        <v>212.1</v>
      </c>
      <c r="D7">
        <v>212.6</v>
      </c>
      <c r="E7">
        <v>210.3</v>
      </c>
      <c r="F7" t="s">
        <v>1060</v>
      </c>
      <c r="G7" s="8">
        <v>-2.8E-3</v>
      </c>
      <c r="H7" s="3">
        <f t="shared" si="0"/>
        <v>-2.822201317027262E-3</v>
      </c>
    </row>
    <row r="8" spans="1:12" x14ac:dyDescent="0.3">
      <c r="A8" s="7">
        <v>45400</v>
      </c>
      <c r="B8">
        <v>213.4</v>
      </c>
      <c r="C8">
        <v>212.7</v>
      </c>
      <c r="D8">
        <v>213.9</v>
      </c>
      <c r="E8">
        <v>210.1</v>
      </c>
      <c r="F8" t="s">
        <v>1059</v>
      </c>
      <c r="G8" s="8">
        <v>6.6E-3</v>
      </c>
      <c r="H8" s="3">
        <f t="shared" si="0"/>
        <v>6.6037735849056034E-3</v>
      </c>
    </row>
    <row r="9" spans="1:12" x14ac:dyDescent="0.3">
      <c r="A9" s="7">
        <v>45401</v>
      </c>
      <c r="B9">
        <v>211.9</v>
      </c>
      <c r="C9">
        <v>212.1</v>
      </c>
      <c r="D9">
        <v>213.1</v>
      </c>
      <c r="E9">
        <v>208.7</v>
      </c>
      <c r="F9" t="s">
        <v>1058</v>
      </c>
      <c r="G9" s="8">
        <v>-7.0000000000000001E-3</v>
      </c>
      <c r="H9" s="3">
        <f t="shared" si="0"/>
        <v>-7.029053420805953E-3</v>
      </c>
    </row>
    <row r="10" spans="1:12" x14ac:dyDescent="0.3">
      <c r="A10" s="7">
        <v>45404</v>
      </c>
      <c r="B10">
        <v>217.4</v>
      </c>
      <c r="C10">
        <v>213</v>
      </c>
      <c r="D10">
        <v>217.4</v>
      </c>
      <c r="E10">
        <v>212.7</v>
      </c>
      <c r="F10" t="s">
        <v>1057</v>
      </c>
      <c r="G10" s="8">
        <v>2.5999999999999999E-2</v>
      </c>
      <c r="H10" s="3">
        <f t="shared" si="0"/>
        <v>2.5955639452571955E-2</v>
      </c>
    </row>
    <row r="11" spans="1:12" x14ac:dyDescent="0.3">
      <c r="A11" s="7">
        <v>45405</v>
      </c>
      <c r="B11">
        <v>224.1</v>
      </c>
      <c r="C11">
        <v>217.7</v>
      </c>
      <c r="D11">
        <v>224.1</v>
      </c>
      <c r="E11">
        <v>215</v>
      </c>
      <c r="F11" t="s">
        <v>1056</v>
      </c>
      <c r="G11" s="8">
        <v>3.0800000000000001E-2</v>
      </c>
      <c r="H11" s="3">
        <f t="shared" si="0"/>
        <v>3.0818767249309875E-2</v>
      </c>
    </row>
    <row r="12" spans="1:12" x14ac:dyDescent="0.3">
      <c r="A12" s="7">
        <v>45406</v>
      </c>
      <c r="B12">
        <v>223.5</v>
      </c>
      <c r="C12">
        <v>222.3</v>
      </c>
      <c r="D12">
        <v>224.9</v>
      </c>
      <c r="E12">
        <v>222.3</v>
      </c>
      <c r="F12" t="s">
        <v>1055</v>
      </c>
      <c r="G12" s="8">
        <v>-2.7000000000000001E-3</v>
      </c>
      <c r="H12" s="3">
        <f t="shared" si="0"/>
        <v>-2.6773761713519972E-3</v>
      </c>
    </row>
    <row r="13" spans="1:12" x14ac:dyDescent="0.3">
      <c r="A13" s="7">
        <v>45407</v>
      </c>
      <c r="B13">
        <v>220.1</v>
      </c>
      <c r="C13">
        <v>222.8</v>
      </c>
      <c r="D13">
        <v>223.1</v>
      </c>
      <c r="E13">
        <v>217</v>
      </c>
      <c r="F13" t="s">
        <v>1054</v>
      </c>
      <c r="G13" s="8">
        <v>-1.52E-2</v>
      </c>
      <c r="H13" s="3">
        <f t="shared" si="0"/>
        <v>-1.5212527964205802E-2</v>
      </c>
    </row>
    <row r="14" spans="1:12" x14ac:dyDescent="0.3">
      <c r="A14" s="7">
        <v>45408</v>
      </c>
      <c r="B14">
        <v>223.4</v>
      </c>
      <c r="C14">
        <v>219.7</v>
      </c>
      <c r="D14">
        <v>224</v>
      </c>
      <c r="E14">
        <v>217.9</v>
      </c>
      <c r="F14" t="s">
        <v>1053</v>
      </c>
      <c r="G14" s="8">
        <v>1.4999999999999999E-2</v>
      </c>
      <c r="H14" s="3">
        <f t="shared" si="0"/>
        <v>1.4993184915947255E-2</v>
      </c>
    </row>
    <row r="15" spans="1:12" x14ac:dyDescent="0.3">
      <c r="A15" s="7">
        <v>45411</v>
      </c>
      <c r="B15">
        <v>225.1</v>
      </c>
      <c r="C15">
        <v>224.8</v>
      </c>
      <c r="D15">
        <v>226.2</v>
      </c>
      <c r="E15">
        <v>222.8</v>
      </c>
      <c r="F15" t="s">
        <v>1052</v>
      </c>
      <c r="G15" s="8">
        <v>7.6E-3</v>
      </c>
      <c r="H15" s="3">
        <f t="shared" si="0"/>
        <v>7.6096687555953224E-3</v>
      </c>
    </row>
    <row r="16" spans="1:12" x14ac:dyDescent="0.3">
      <c r="A16" s="7">
        <v>45412</v>
      </c>
      <c r="B16">
        <v>226.6</v>
      </c>
      <c r="C16">
        <v>227.8</v>
      </c>
      <c r="D16">
        <v>229.4</v>
      </c>
      <c r="E16">
        <v>225.7</v>
      </c>
      <c r="F16" t="s">
        <v>1051</v>
      </c>
      <c r="G16" s="8">
        <v>6.7000000000000002E-3</v>
      </c>
      <c r="H16" s="3">
        <f t="shared" si="0"/>
        <v>6.6637050199911396E-3</v>
      </c>
    </row>
    <row r="17" spans="1:8" x14ac:dyDescent="0.3">
      <c r="A17" s="7">
        <v>45414</v>
      </c>
      <c r="B17">
        <v>220.3</v>
      </c>
      <c r="C17">
        <v>224.5</v>
      </c>
      <c r="D17">
        <v>226</v>
      </c>
      <c r="E17">
        <v>216.5</v>
      </c>
      <c r="F17" t="s">
        <v>1050</v>
      </c>
      <c r="G17" s="8">
        <v>-2.7799999999999998E-2</v>
      </c>
      <c r="H17" s="3">
        <f t="shared" si="0"/>
        <v>-2.7802294792586002E-2</v>
      </c>
    </row>
    <row r="18" spans="1:8" x14ac:dyDescent="0.3">
      <c r="A18" s="7">
        <v>45415</v>
      </c>
      <c r="B18">
        <v>226.3</v>
      </c>
      <c r="C18">
        <v>221.8</v>
      </c>
      <c r="D18">
        <v>228.9</v>
      </c>
      <c r="E18">
        <v>221.3</v>
      </c>
      <c r="F18" t="s">
        <v>1049</v>
      </c>
      <c r="G18" s="8">
        <v>2.7199999999999998E-2</v>
      </c>
      <c r="H18" s="3">
        <f t="shared" si="0"/>
        <v>2.7235587834770758E-2</v>
      </c>
    </row>
    <row r="19" spans="1:8" x14ac:dyDescent="0.3">
      <c r="A19" s="7">
        <v>45418</v>
      </c>
      <c r="B19">
        <v>226.2</v>
      </c>
      <c r="C19">
        <v>226</v>
      </c>
      <c r="D19">
        <v>228.8</v>
      </c>
      <c r="E19">
        <v>225.9</v>
      </c>
      <c r="F19" t="s">
        <v>1048</v>
      </c>
      <c r="G19" s="8">
        <v>-4.0000000000000002E-4</v>
      </c>
      <c r="H19" s="3">
        <f t="shared" si="0"/>
        <v>-4.4189129474159206E-4</v>
      </c>
    </row>
    <row r="20" spans="1:8" x14ac:dyDescent="0.3">
      <c r="A20" s="7">
        <v>45419</v>
      </c>
      <c r="B20">
        <v>229.2</v>
      </c>
      <c r="C20">
        <v>228</v>
      </c>
      <c r="D20">
        <v>231.6</v>
      </c>
      <c r="E20">
        <v>226.9</v>
      </c>
      <c r="F20" t="s">
        <v>1047</v>
      </c>
      <c r="G20" s="8">
        <v>1.3299999999999999E-2</v>
      </c>
      <c r="H20" s="3">
        <f t="shared" si="0"/>
        <v>1.3262599469495928E-2</v>
      </c>
    </row>
    <row r="21" spans="1:8" x14ac:dyDescent="0.3">
      <c r="A21" s="7">
        <v>45420</v>
      </c>
      <c r="B21">
        <v>232.2</v>
      </c>
      <c r="C21">
        <v>229.5</v>
      </c>
      <c r="D21">
        <v>235.1</v>
      </c>
      <c r="E21">
        <v>229.5</v>
      </c>
      <c r="F21" t="s">
        <v>1046</v>
      </c>
      <c r="G21" s="8">
        <v>1.3100000000000001E-2</v>
      </c>
      <c r="H21" s="3">
        <f t="shared" si="0"/>
        <v>1.308900523560208E-2</v>
      </c>
    </row>
    <row r="22" spans="1:8" x14ac:dyDescent="0.3">
      <c r="A22" s="7">
        <v>45421</v>
      </c>
      <c r="B22">
        <v>234.6</v>
      </c>
      <c r="C22">
        <v>229.5</v>
      </c>
      <c r="D22">
        <v>235.4</v>
      </c>
      <c r="E22">
        <v>229.5</v>
      </c>
      <c r="F22" t="s">
        <v>1045</v>
      </c>
      <c r="G22" s="8">
        <v>1.03E-2</v>
      </c>
      <c r="H22" s="3">
        <f t="shared" si="0"/>
        <v>1.0335917312661591E-2</v>
      </c>
    </row>
    <row r="23" spans="1:8" x14ac:dyDescent="0.3">
      <c r="A23" s="7">
        <v>45422</v>
      </c>
      <c r="B23">
        <v>233.4</v>
      </c>
      <c r="C23">
        <v>235.6</v>
      </c>
      <c r="D23">
        <v>236</v>
      </c>
      <c r="E23">
        <v>233.4</v>
      </c>
      <c r="F23" t="s">
        <v>1044</v>
      </c>
      <c r="G23" s="8">
        <v>-5.1000000000000004E-3</v>
      </c>
      <c r="H23" s="3">
        <f t="shared" si="0"/>
        <v>-5.1150895140664732E-3</v>
      </c>
    </row>
    <row r="24" spans="1:8" x14ac:dyDescent="0.3">
      <c r="A24" s="7">
        <v>45425</v>
      </c>
      <c r="B24">
        <v>234.3</v>
      </c>
      <c r="C24">
        <v>233.4</v>
      </c>
      <c r="D24">
        <v>235</v>
      </c>
      <c r="E24">
        <v>232.5</v>
      </c>
      <c r="F24" t="s">
        <v>1043</v>
      </c>
      <c r="G24" s="8">
        <v>3.8999999999999998E-3</v>
      </c>
      <c r="H24" s="3">
        <f t="shared" si="0"/>
        <v>3.8560411311054921E-3</v>
      </c>
    </row>
    <row r="25" spans="1:8" x14ac:dyDescent="0.3">
      <c r="A25" s="7">
        <v>45426</v>
      </c>
      <c r="B25">
        <v>235</v>
      </c>
      <c r="C25">
        <v>234.2</v>
      </c>
      <c r="D25">
        <v>236.4</v>
      </c>
      <c r="E25">
        <v>233.5</v>
      </c>
      <c r="F25" t="s">
        <v>1042</v>
      </c>
      <c r="G25" s="8">
        <v>3.0000000000000001E-3</v>
      </c>
      <c r="H25" s="3">
        <f t="shared" si="0"/>
        <v>2.9876227059324467E-3</v>
      </c>
    </row>
    <row r="26" spans="1:8" x14ac:dyDescent="0.3">
      <c r="A26" s="7">
        <v>45427</v>
      </c>
      <c r="B26">
        <v>237.5</v>
      </c>
      <c r="C26">
        <v>235.3</v>
      </c>
      <c r="D26">
        <v>238.3</v>
      </c>
      <c r="E26">
        <v>235.3</v>
      </c>
      <c r="F26" t="s">
        <v>1041</v>
      </c>
      <c r="G26" s="8">
        <v>1.06E-2</v>
      </c>
      <c r="H26" s="3">
        <f t="shared" si="0"/>
        <v>1.0638297872340496E-2</v>
      </c>
    </row>
    <row r="27" spans="1:8" x14ac:dyDescent="0.3">
      <c r="A27" s="7">
        <v>45428</v>
      </c>
      <c r="B27">
        <v>234.8</v>
      </c>
      <c r="C27">
        <v>238.2</v>
      </c>
      <c r="D27">
        <v>240.7</v>
      </c>
      <c r="E27">
        <v>234.8</v>
      </c>
      <c r="F27" t="s">
        <v>1040</v>
      </c>
      <c r="G27" s="8">
        <v>-1.14E-2</v>
      </c>
      <c r="H27" s="3">
        <f t="shared" si="0"/>
        <v>-1.1368421052631583E-2</v>
      </c>
    </row>
    <row r="28" spans="1:8" x14ac:dyDescent="0.3">
      <c r="A28" s="7">
        <v>45429</v>
      </c>
      <c r="B28">
        <v>228.7</v>
      </c>
      <c r="C28">
        <v>234</v>
      </c>
      <c r="D28">
        <v>234.8</v>
      </c>
      <c r="E28">
        <v>228</v>
      </c>
      <c r="F28" t="s">
        <v>1039</v>
      </c>
      <c r="G28" s="8">
        <v>-2.5999999999999999E-2</v>
      </c>
      <c r="H28" s="3">
        <f t="shared" si="0"/>
        <v>-2.5979557069846781E-2</v>
      </c>
    </row>
    <row r="29" spans="1:8" x14ac:dyDescent="0.3">
      <c r="A29" s="7">
        <v>45432</v>
      </c>
      <c r="B29">
        <v>232.1</v>
      </c>
      <c r="C29">
        <v>229.5</v>
      </c>
      <c r="D29">
        <v>233.5</v>
      </c>
      <c r="E29">
        <v>229.2</v>
      </c>
      <c r="F29" t="s">
        <v>1038</v>
      </c>
      <c r="G29" s="8">
        <v>1.49E-2</v>
      </c>
      <c r="H29" s="3">
        <f t="shared" si="0"/>
        <v>1.4866637516397052E-2</v>
      </c>
    </row>
    <row r="30" spans="1:8" x14ac:dyDescent="0.3">
      <c r="A30" s="7">
        <v>45433</v>
      </c>
      <c r="B30">
        <v>229.7</v>
      </c>
      <c r="C30">
        <v>231.1</v>
      </c>
      <c r="D30">
        <v>232.1</v>
      </c>
      <c r="E30">
        <v>227.3</v>
      </c>
      <c r="F30" t="s">
        <v>1037</v>
      </c>
      <c r="G30" s="8">
        <v>-1.03E-2</v>
      </c>
      <c r="H30" s="3">
        <f t="shared" si="0"/>
        <v>-1.0340370529943965E-2</v>
      </c>
    </row>
    <row r="31" spans="1:8" x14ac:dyDescent="0.3">
      <c r="A31" s="7">
        <v>45434</v>
      </c>
      <c r="B31">
        <v>227.1</v>
      </c>
      <c r="C31">
        <v>229.7</v>
      </c>
      <c r="D31">
        <v>231</v>
      </c>
      <c r="E31">
        <v>227.1</v>
      </c>
      <c r="F31" t="s">
        <v>1036</v>
      </c>
      <c r="G31" s="8">
        <v>-1.1299999999999999E-2</v>
      </c>
      <c r="H31" s="3">
        <f t="shared" si="0"/>
        <v>-1.1319111885067401E-2</v>
      </c>
    </row>
    <row r="32" spans="1:8" x14ac:dyDescent="0.3">
      <c r="A32" s="7">
        <v>45435</v>
      </c>
      <c r="B32">
        <v>234.3</v>
      </c>
      <c r="C32">
        <v>227.3</v>
      </c>
      <c r="D32">
        <v>234.3</v>
      </c>
      <c r="E32">
        <v>226.1</v>
      </c>
      <c r="F32" t="s">
        <v>1035</v>
      </c>
      <c r="G32" s="8">
        <v>3.1699999999999999E-2</v>
      </c>
      <c r="H32" s="3">
        <f t="shared" si="0"/>
        <v>3.1704095112285335E-2</v>
      </c>
    </row>
    <row r="33" spans="1:8" x14ac:dyDescent="0.3">
      <c r="A33" s="7">
        <v>45436</v>
      </c>
      <c r="B33">
        <v>234.3</v>
      </c>
      <c r="C33">
        <v>232.5</v>
      </c>
      <c r="D33">
        <v>234.6</v>
      </c>
      <c r="E33">
        <v>231.2</v>
      </c>
      <c r="F33" t="s">
        <v>1034</v>
      </c>
      <c r="G33" s="8">
        <v>0</v>
      </c>
      <c r="H33" s="3">
        <f t="shared" si="0"/>
        <v>0</v>
      </c>
    </row>
    <row r="34" spans="1:8" x14ac:dyDescent="0.3">
      <c r="A34" s="7">
        <v>45439</v>
      </c>
      <c r="B34">
        <v>234.1</v>
      </c>
      <c r="C34">
        <v>233.6</v>
      </c>
      <c r="D34">
        <v>234.6</v>
      </c>
      <c r="E34">
        <v>232.8</v>
      </c>
      <c r="F34" t="s">
        <v>1033</v>
      </c>
      <c r="G34" s="8">
        <v>-8.9999999999999998E-4</v>
      </c>
      <c r="H34" s="3">
        <f t="shared" si="0"/>
        <v>-8.5360648740939737E-4</v>
      </c>
    </row>
    <row r="35" spans="1:8" x14ac:dyDescent="0.3">
      <c r="A35" s="7">
        <v>45440</v>
      </c>
      <c r="B35">
        <v>229.8</v>
      </c>
      <c r="C35">
        <v>234.3</v>
      </c>
      <c r="D35">
        <v>234.7</v>
      </c>
      <c r="E35">
        <v>228.1</v>
      </c>
      <c r="F35" t="s">
        <v>1032</v>
      </c>
      <c r="G35" s="8">
        <v>-1.84E-2</v>
      </c>
      <c r="H35" s="3">
        <f t="shared" si="0"/>
        <v>-1.8368218709952977E-2</v>
      </c>
    </row>
    <row r="36" spans="1:8" x14ac:dyDescent="0.3">
      <c r="A36" s="7">
        <v>45441</v>
      </c>
      <c r="B36">
        <v>230.6</v>
      </c>
      <c r="C36">
        <v>229.2</v>
      </c>
      <c r="D36">
        <v>231.7</v>
      </c>
      <c r="E36">
        <v>229.1</v>
      </c>
      <c r="F36" t="s">
        <v>1031</v>
      </c>
      <c r="G36" s="8">
        <v>3.5000000000000001E-3</v>
      </c>
      <c r="H36" s="3">
        <f t="shared" si="0"/>
        <v>3.481288076588207E-3</v>
      </c>
    </row>
    <row r="37" spans="1:8" x14ac:dyDescent="0.3">
      <c r="A37" s="7">
        <v>45442</v>
      </c>
      <c r="B37">
        <v>230.9</v>
      </c>
      <c r="C37">
        <v>230.5</v>
      </c>
      <c r="D37">
        <v>232.1</v>
      </c>
      <c r="E37">
        <v>229.3</v>
      </c>
      <c r="F37" t="s">
        <v>1030</v>
      </c>
      <c r="G37" s="8">
        <v>1.2999999999999999E-3</v>
      </c>
      <c r="H37" s="3">
        <f t="shared" si="0"/>
        <v>1.3009540329576019E-3</v>
      </c>
    </row>
    <row r="38" spans="1:8" x14ac:dyDescent="0.3">
      <c r="A38" s="7">
        <v>45443</v>
      </c>
      <c r="B38">
        <v>228.5</v>
      </c>
      <c r="C38">
        <v>229.7</v>
      </c>
      <c r="D38">
        <v>235.5</v>
      </c>
      <c r="E38">
        <v>226.8</v>
      </c>
      <c r="F38" t="s">
        <v>1029</v>
      </c>
      <c r="G38" s="8">
        <v>-1.04E-2</v>
      </c>
      <c r="H38" s="3">
        <f t="shared" si="0"/>
        <v>-1.0394110004330881E-2</v>
      </c>
    </row>
    <row r="39" spans="1:8" x14ac:dyDescent="0.3">
      <c r="A39" s="7">
        <v>45446</v>
      </c>
      <c r="B39">
        <v>228</v>
      </c>
      <c r="C39">
        <v>229.7</v>
      </c>
      <c r="D39">
        <v>231.1</v>
      </c>
      <c r="E39">
        <v>227.2</v>
      </c>
      <c r="F39" t="s">
        <v>1028</v>
      </c>
      <c r="G39" s="8">
        <v>-2.2000000000000001E-3</v>
      </c>
      <c r="H39" s="3">
        <f t="shared" si="0"/>
        <v>-2.1881838074397919E-3</v>
      </c>
    </row>
    <row r="40" spans="1:8" x14ac:dyDescent="0.3">
      <c r="A40" s="7">
        <v>45447</v>
      </c>
      <c r="B40">
        <v>228</v>
      </c>
      <c r="C40">
        <v>227.4</v>
      </c>
      <c r="D40">
        <v>228.8</v>
      </c>
      <c r="E40">
        <v>226.1</v>
      </c>
      <c r="F40" t="s">
        <v>1027</v>
      </c>
      <c r="G40" s="8">
        <v>0</v>
      </c>
      <c r="H40" s="3">
        <f t="shared" si="0"/>
        <v>0</v>
      </c>
    </row>
    <row r="41" spans="1:8" x14ac:dyDescent="0.3">
      <c r="A41" s="7">
        <v>45448</v>
      </c>
      <c r="B41">
        <v>229.3</v>
      </c>
      <c r="C41">
        <v>228.6</v>
      </c>
      <c r="D41">
        <v>229.5</v>
      </c>
      <c r="E41">
        <v>227.5</v>
      </c>
      <c r="F41" t="s">
        <v>1026</v>
      </c>
      <c r="G41" s="8">
        <v>5.7000000000000002E-3</v>
      </c>
      <c r="H41" s="3">
        <f t="shared" si="0"/>
        <v>5.7017543859649855E-3</v>
      </c>
    </row>
    <row r="42" spans="1:8" x14ac:dyDescent="0.3">
      <c r="A42" s="7">
        <v>45449</v>
      </c>
      <c r="B42">
        <v>228.7</v>
      </c>
      <c r="C42">
        <v>230</v>
      </c>
      <c r="D42">
        <v>232.1</v>
      </c>
      <c r="E42">
        <v>227.2</v>
      </c>
      <c r="F42" t="s">
        <v>1025</v>
      </c>
      <c r="G42" s="8">
        <v>-2.5999999999999999E-3</v>
      </c>
      <c r="H42" s="3">
        <f t="shared" si="0"/>
        <v>-2.6166593981684638E-3</v>
      </c>
    </row>
    <row r="43" spans="1:8" x14ac:dyDescent="0.3">
      <c r="A43" s="7">
        <v>45450</v>
      </c>
      <c r="B43">
        <v>228.7</v>
      </c>
      <c r="C43">
        <v>229.1</v>
      </c>
      <c r="D43">
        <v>231</v>
      </c>
      <c r="E43">
        <v>228.4</v>
      </c>
      <c r="F43" t="s">
        <v>1024</v>
      </c>
      <c r="G43" s="8">
        <v>0</v>
      </c>
      <c r="H43" s="3">
        <f t="shared" si="0"/>
        <v>0</v>
      </c>
    </row>
    <row r="44" spans="1:8" x14ac:dyDescent="0.3">
      <c r="A44" s="7">
        <v>45453</v>
      </c>
      <c r="B44">
        <v>233.4</v>
      </c>
      <c r="C44">
        <v>227.1</v>
      </c>
      <c r="D44">
        <v>233.4</v>
      </c>
      <c r="E44">
        <v>226.6</v>
      </c>
      <c r="F44" t="s">
        <v>1023</v>
      </c>
      <c r="G44" s="8">
        <v>2.06E-2</v>
      </c>
      <c r="H44" s="3">
        <f t="shared" si="0"/>
        <v>2.0550940096196069E-2</v>
      </c>
    </row>
    <row r="45" spans="1:8" x14ac:dyDescent="0.3">
      <c r="A45" s="7">
        <v>45454</v>
      </c>
      <c r="B45">
        <v>230</v>
      </c>
      <c r="C45">
        <v>233.8</v>
      </c>
      <c r="D45">
        <v>235.9</v>
      </c>
      <c r="E45">
        <v>229.3</v>
      </c>
      <c r="F45" t="s">
        <v>1022</v>
      </c>
      <c r="G45" s="8">
        <v>-1.46E-2</v>
      </c>
      <c r="H45" s="3">
        <f t="shared" si="0"/>
        <v>-1.4567266495287057E-2</v>
      </c>
    </row>
    <row r="46" spans="1:8" x14ac:dyDescent="0.3">
      <c r="A46" s="7">
        <v>45455</v>
      </c>
      <c r="B46">
        <v>235.5</v>
      </c>
      <c r="C46">
        <v>231.2</v>
      </c>
      <c r="D46">
        <v>236</v>
      </c>
      <c r="E46">
        <v>230.3</v>
      </c>
      <c r="F46" t="s">
        <v>1021</v>
      </c>
      <c r="G46" s="8">
        <v>2.3900000000000001E-2</v>
      </c>
      <c r="H46" s="3">
        <f t="shared" si="0"/>
        <v>2.3913043478260843E-2</v>
      </c>
    </row>
    <row r="47" spans="1:8" x14ac:dyDescent="0.3">
      <c r="A47" s="7">
        <v>45456</v>
      </c>
      <c r="B47">
        <v>229.6</v>
      </c>
      <c r="C47">
        <v>234.5</v>
      </c>
      <c r="D47">
        <v>235.4</v>
      </c>
      <c r="E47">
        <v>229.2</v>
      </c>
      <c r="F47" t="s">
        <v>1020</v>
      </c>
      <c r="G47" s="8">
        <v>-2.5100000000000001E-2</v>
      </c>
      <c r="H47" s="3">
        <f t="shared" si="0"/>
        <v>-2.5053078556263264E-2</v>
      </c>
    </row>
    <row r="48" spans="1:8" x14ac:dyDescent="0.3">
      <c r="A48" s="7">
        <v>45457</v>
      </c>
      <c r="B48">
        <v>224.4</v>
      </c>
      <c r="C48">
        <v>230</v>
      </c>
      <c r="D48">
        <v>231.6</v>
      </c>
      <c r="E48">
        <v>223.3</v>
      </c>
      <c r="F48" t="s">
        <v>1019</v>
      </c>
      <c r="G48" s="8">
        <v>-2.2599999999999999E-2</v>
      </c>
      <c r="H48" s="3">
        <f t="shared" si="0"/>
        <v>-2.2648083623693305E-2</v>
      </c>
    </row>
    <row r="49" spans="1:8" x14ac:dyDescent="0.3">
      <c r="A49" s="7">
        <v>45460</v>
      </c>
      <c r="B49">
        <v>225</v>
      </c>
      <c r="C49">
        <v>225</v>
      </c>
      <c r="D49">
        <v>227.5</v>
      </c>
      <c r="E49">
        <v>222.9</v>
      </c>
      <c r="F49" t="s">
        <v>1018</v>
      </c>
      <c r="G49" s="8">
        <v>2.7000000000000001E-3</v>
      </c>
      <c r="H49" s="3">
        <f t="shared" si="0"/>
        <v>2.673796791443861E-3</v>
      </c>
    </row>
    <row r="50" spans="1:8" x14ac:dyDescent="0.3">
      <c r="A50" s="7">
        <v>45461</v>
      </c>
      <c r="B50">
        <v>225</v>
      </c>
      <c r="C50">
        <v>227</v>
      </c>
      <c r="D50">
        <v>230.3</v>
      </c>
      <c r="E50">
        <v>223.6</v>
      </c>
      <c r="F50" t="s">
        <v>1017</v>
      </c>
      <c r="G50" s="8">
        <v>0</v>
      </c>
      <c r="H50" s="3">
        <f t="shared" si="0"/>
        <v>0</v>
      </c>
    </row>
    <row r="51" spans="1:8" x14ac:dyDescent="0.3">
      <c r="A51" s="7">
        <v>45462</v>
      </c>
      <c r="B51">
        <v>223.6</v>
      </c>
      <c r="C51">
        <v>225.7</v>
      </c>
      <c r="D51">
        <v>225.9</v>
      </c>
      <c r="E51">
        <v>222.5</v>
      </c>
      <c r="F51" t="s">
        <v>1016</v>
      </c>
      <c r="G51" s="8">
        <v>-6.1999999999999998E-3</v>
      </c>
      <c r="H51" s="3">
        <f t="shared" si="0"/>
        <v>-6.2222222222222401E-3</v>
      </c>
    </row>
    <row r="52" spans="1:8" x14ac:dyDescent="0.3">
      <c r="A52" s="7">
        <v>45463</v>
      </c>
      <c r="B52">
        <v>227.9</v>
      </c>
      <c r="C52">
        <v>224.7</v>
      </c>
      <c r="D52">
        <v>228.6</v>
      </c>
      <c r="E52">
        <v>224.4</v>
      </c>
      <c r="F52" t="s">
        <v>1015</v>
      </c>
      <c r="G52" s="8">
        <v>1.9199999999999998E-2</v>
      </c>
      <c r="H52" s="3">
        <f t="shared" si="0"/>
        <v>1.9230769230769384E-2</v>
      </c>
    </row>
    <row r="53" spans="1:8" x14ac:dyDescent="0.3">
      <c r="A53" s="7">
        <v>45464</v>
      </c>
      <c r="B53">
        <v>228.6</v>
      </c>
      <c r="C53">
        <v>227.7</v>
      </c>
      <c r="D53">
        <v>229.3</v>
      </c>
      <c r="E53">
        <v>225.4</v>
      </c>
      <c r="F53" t="s">
        <v>1014</v>
      </c>
      <c r="G53" s="8">
        <v>3.0999999999999999E-3</v>
      </c>
      <c r="H53" s="3">
        <f t="shared" si="0"/>
        <v>3.0715225976305494E-3</v>
      </c>
    </row>
    <row r="54" spans="1:8" x14ac:dyDescent="0.3">
      <c r="A54" s="7">
        <v>45467</v>
      </c>
      <c r="B54">
        <v>228.8</v>
      </c>
      <c r="C54">
        <v>228.4</v>
      </c>
      <c r="D54">
        <v>230.1</v>
      </c>
      <c r="E54">
        <v>226.3</v>
      </c>
      <c r="F54" t="s">
        <v>1013</v>
      </c>
      <c r="G54" s="8">
        <v>8.9999999999999998E-4</v>
      </c>
      <c r="H54" s="3">
        <f t="shared" si="0"/>
        <v>8.7489063867018935E-4</v>
      </c>
    </row>
    <row r="55" spans="1:8" x14ac:dyDescent="0.3">
      <c r="A55" s="7">
        <v>45468</v>
      </c>
      <c r="B55">
        <v>220.8</v>
      </c>
      <c r="C55">
        <v>212.9</v>
      </c>
      <c r="D55">
        <v>223</v>
      </c>
      <c r="E55">
        <v>210.8</v>
      </c>
      <c r="F55" t="s">
        <v>1012</v>
      </c>
      <c r="G55" s="8">
        <v>-3.5000000000000003E-2</v>
      </c>
      <c r="H55" s="3">
        <f t="shared" si="0"/>
        <v>-3.4965034965035002E-2</v>
      </c>
    </row>
    <row r="56" spans="1:8" x14ac:dyDescent="0.3">
      <c r="A56" s="7">
        <v>45469</v>
      </c>
      <c r="B56">
        <v>220.9</v>
      </c>
      <c r="C56">
        <v>221.8</v>
      </c>
      <c r="D56">
        <v>222</v>
      </c>
      <c r="E56">
        <v>216.3</v>
      </c>
      <c r="F56" t="s">
        <v>1011</v>
      </c>
      <c r="G56" s="8">
        <v>5.0000000000000001E-4</v>
      </c>
      <c r="H56" s="3">
        <f t="shared" si="0"/>
        <v>4.5289855072461194E-4</v>
      </c>
    </row>
    <row r="57" spans="1:8" x14ac:dyDescent="0.3">
      <c r="A57" s="7">
        <v>45470</v>
      </c>
      <c r="B57">
        <v>233.2</v>
      </c>
      <c r="C57">
        <v>222.4</v>
      </c>
      <c r="D57">
        <v>233.2</v>
      </c>
      <c r="E57">
        <v>221</v>
      </c>
      <c r="F57" t="s">
        <v>1010</v>
      </c>
      <c r="G57" s="8">
        <v>5.57E-2</v>
      </c>
      <c r="H57" s="3">
        <f t="shared" si="0"/>
        <v>5.5681303757356249E-2</v>
      </c>
    </row>
    <row r="58" spans="1:8" x14ac:dyDescent="0.3">
      <c r="A58" s="7">
        <v>45471</v>
      </c>
      <c r="B58">
        <v>238.8</v>
      </c>
      <c r="C58">
        <v>234.3</v>
      </c>
      <c r="D58">
        <v>242.8</v>
      </c>
      <c r="E58">
        <v>232.7</v>
      </c>
      <c r="F58" t="s">
        <v>1009</v>
      </c>
      <c r="G58" s="8">
        <v>2.4E-2</v>
      </c>
      <c r="H58" s="3">
        <f t="shared" si="0"/>
        <v>2.4013722126929871E-2</v>
      </c>
    </row>
    <row r="59" spans="1:8" x14ac:dyDescent="0.3">
      <c r="A59" s="7">
        <v>45474</v>
      </c>
      <c r="B59">
        <v>236.6</v>
      </c>
      <c r="C59">
        <v>239.9</v>
      </c>
      <c r="D59">
        <v>240.8</v>
      </c>
      <c r="E59">
        <v>234</v>
      </c>
      <c r="F59" t="s">
        <v>1008</v>
      </c>
      <c r="G59" s="8">
        <v>-9.1999999999999998E-3</v>
      </c>
      <c r="H59" s="3">
        <f t="shared" si="0"/>
        <v>-9.2127303182579778E-3</v>
      </c>
    </row>
    <row r="60" spans="1:8" x14ac:dyDescent="0.3">
      <c r="A60" s="7">
        <v>45475</v>
      </c>
      <c r="B60">
        <v>244.6</v>
      </c>
      <c r="C60">
        <v>236.6</v>
      </c>
      <c r="D60">
        <v>244.6</v>
      </c>
      <c r="E60">
        <v>235.9</v>
      </c>
      <c r="F60" t="s">
        <v>1007</v>
      </c>
      <c r="G60" s="8">
        <v>3.3799999999999997E-2</v>
      </c>
      <c r="H60" s="3">
        <f t="shared" si="0"/>
        <v>3.3812341504649179E-2</v>
      </c>
    </row>
    <row r="61" spans="1:8" x14ac:dyDescent="0.3">
      <c r="A61" s="7">
        <v>45476</v>
      </c>
      <c r="B61">
        <v>251</v>
      </c>
      <c r="C61">
        <v>244.3</v>
      </c>
      <c r="D61">
        <v>252.1</v>
      </c>
      <c r="E61">
        <v>243.6</v>
      </c>
      <c r="F61" t="s">
        <v>1006</v>
      </c>
      <c r="G61" s="8">
        <v>2.6200000000000001E-2</v>
      </c>
      <c r="H61" s="3">
        <f t="shared" si="0"/>
        <v>2.6165167620605168E-2</v>
      </c>
    </row>
    <row r="62" spans="1:8" x14ac:dyDescent="0.3">
      <c r="A62" s="7">
        <v>45477</v>
      </c>
      <c r="B62">
        <v>253</v>
      </c>
      <c r="C62">
        <v>251.1</v>
      </c>
      <c r="D62">
        <v>255.4</v>
      </c>
      <c r="E62">
        <v>251.1</v>
      </c>
      <c r="F62" t="s">
        <v>1005</v>
      </c>
      <c r="G62" s="8">
        <v>8.0000000000000002E-3</v>
      </c>
      <c r="H62" s="3">
        <f t="shared" si="0"/>
        <v>7.9681274900398336E-3</v>
      </c>
    </row>
    <row r="63" spans="1:8" x14ac:dyDescent="0.3">
      <c r="A63" s="7">
        <v>45478</v>
      </c>
      <c r="B63">
        <v>252.8</v>
      </c>
      <c r="C63">
        <v>253.5</v>
      </c>
      <c r="D63">
        <v>257.2</v>
      </c>
      <c r="E63">
        <v>251.9</v>
      </c>
      <c r="F63" t="s">
        <v>1004</v>
      </c>
      <c r="G63" s="8">
        <v>-8.0000000000000004E-4</v>
      </c>
      <c r="H63" s="3">
        <f t="shared" si="0"/>
        <v>-7.905138339920903E-4</v>
      </c>
    </row>
    <row r="64" spans="1:8" x14ac:dyDescent="0.3">
      <c r="A64" s="7">
        <v>45481</v>
      </c>
      <c r="B64">
        <v>253.7</v>
      </c>
      <c r="C64">
        <v>255.9</v>
      </c>
      <c r="D64">
        <v>256.7</v>
      </c>
      <c r="E64">
        <v>253.7</v>
      </c>
      <c r="F64" t="s">
        <v>1003</v>
      </c>
      <c r="G64" s="8">
        <v>3.5999999999999999E-3</v>
      </c>
      <c r="H64" s="3">
        <f t="shared" si="0"/>
        <v>3.5601265822784445E-3</v>
      </c>
    </row>
    <row r="65" spans="1:8" x14ac:dyDescent="0.3">
      <c r="A65" s="7">
        <v>45482</v>
      </c>
      <c r="B65">
        <v>249.2</v>
      </c>
      <c r="C65">
        <v>253.1</v>
      </c>
      <c r="D65">
        <v>254</v>
      </c>
      <c r="E65">
        <v>248.6</v>
      </c>
      <c r="F65" t="s">
        <v>1002</v>
      </c>
      <c r="G65" s="8">
        <v>-1.77E-2</v>
      </c>
      <c r="H65" s="3">
        <f t="shared" si="0"/>
        <v>-1.7737485218762283E-2</v>
      </c>
    </row>
    <row r="66" spans="1:8" x14ac:dyDescent="0.3">
      <c r="A66" s="7">
        <v>45483</v>
      </c>
      <c r="B66">
        <v>246.7</v>
      </c>
      <c r="C66">
        <v>248</v>
      </c>
      <c r="D66">
        <v>249.3</v>
      </c>
      <c r="E66">
        <v>244.8</v>
      </c>
      <c r="F66" t="s">
        <v>1001</v>
      </c>
      <c r="G66" s="8">
        <v>-0.01</v>
      </c>
      <c r="H66" s="3">
        <f t="shared" si="0"/>
        <v>-1.0032102728731895E-2</v>
      </c>
    </row>
    <row r="67" spans="1:8" x14ac:dyDescent="0.3">
      <c r="A67" s="7">
        <v>45484</v>
      </c>
      <c r="B67">
        <v>245.2</v>
      </c>
      <c r="C67">
        <v>248.1</v>
      </c>
      <c r="D67">
        <v>248.1</v>
      </c>
      <c r="E67">
        <v>244</v>
      </c>
      <c r="F67" t="s">
        <v>1000</v>
      </c>
      <c r="G67" s="8">
        <v>-6.1000000000000004E-3</v>
      </c>
      <c r="H67" s="3">
        <f t="shared" si="0"/>
        <v>-6.0802594244021568E-3</v>
      </c>
    </row>
    <row r="68" spans="1:8" x14ac:dyDescent="0.3">
      <c r="A68" s="7">
        <v>45485</v>
      </c>
      <c r="B68">
        <v>251.6</v>
      </c>
      <c r="C68">
        <v>246.4</v>
      </c>
      <c r="D68">
        <v>254.6</v>
      </c>
      <c r="E68">
        <v>245.6</v>
      </c>
      <c r="F68" t="s">
        <v>999</v>
      </c>
      <c r="G68" s="8">
        <v>2.6100000000000002E-2</v>
      </c>
      <c r="H68" s="3">
        <f t="shared" ref="H68:H131" si="1">(B68/B67)-1</f>
        <v>2.610114192495927E-2</v>
      </c>
    </row>
    <row r="69" spans="1:8" x14ac:dyDescent="0.3">
      <c r="A69" s="7">
        <v>45488</v>
      </c>
      <c r="B69">
        <v>250.3</v>
      </c>
      <c r="C69">
        <v>251.1</v>
      </c>
      <c r="D69">
        <v>253.4</v>
      </c>
      <c r="E69">
        <v>249.9</v>
      </c>
      <c r="F69" t="s">
        <v>998</v>
      </c>
      <c r="G69" s="8">
        <v>-5.1999999999999998E-3</v>
      </c>
      <c r="H69" s="3">
        <f t="shared" si="1"/>
        <v>-5.1669316375198004E-3</v>
      </c>
    </row>
    <row r="70" spans="1:8" x14ac:dyDescent="0.3">
      <c r="A70" s="7">
        <v>45489</v>
      </c>
      <c r="B70">
        <v>250.8</v>
      </c>
      <c r="C70">
        <v>249.4</v>
      </c>
      <c r="D70">
        <v>251</v>
      </c>
      <c r="E70">
        <v>248</v>
      </c>
      <c r="F70" t="s">
        <v>997</v>
      </c>
      <c r="G70" s="8">
        <v>2E-3</v>
      </c>
      <c r="H70" s="3">
        <f t="shared" si="1"/>
        <v>1.9976028765480436E-3</v>
      </c>
    </row>
    <row r="71" spans="1:8" x14ac:dyDescent="0.3">
      <c r="A71" s="7">
        <v>45490</v>
      </c>
      <c r="B71">
        <v>249</v>
      </c>
      <c r="C71">
        <v>250.2</v>
      </c>
      <c r="D71">
        <v>253.3</v>
      </c>
      <c r="E71">
        <v>249</v>
      </c>
      <c r="F71" t="s">
        <v>996</v>
      </c>
      <c r="G71" s="8">
        <v>-7.1999999999999998E-3</v>
      </c>
      <c r="H71" s="3">
        <f t="shared" si="1"/>
        <v>-7.1770334928230595E-3</v>
      </c>
    </row>
    <row r="72" spans="1:8" x14ac:dyDescent="0.3">
      <c r="A72" s="7">
        <v>45491</v>
      </c>
      <c r="B72">
        <v>245.9</v>
      </c>
      <c r="C72">
        <v>249.5</v>
      </c>
      <c r="D72">
        <v>250.5</v>
      </c>
      <c r="E72">
        <v>245.9</v>
      </c>
      <c r="F72" t="s">
        <v>962</v>
      </c>
      <c r="G72" s="8">
        <v>-1.24E-2</v>
      </c>
      <c r="H72" s="3">
        <f t="shared" si="1"/>
        <v>-1.2449799196787126E-2</v>
      </c>
    </row>
    <row r="73" spans="1:8" x14ac:dyDescent="0.3">
      <c r="A73" s="7">
        <v>45492</v>
      </c>
      <c r="B73">
        <v>247.8</v>
      </c>
      <c r="C73">
        <v>245</v>
      </c>
      <c r="D73">
        <v>248.2</v>
      </c>
      <c r="E73">
        <v>244.6</v>
      </c>
      <c r="F73" t="s">
        <v>995</v>
      </c>
      <c r="G73" s="8">
        <v>7.7000000000000002E-3</v>
      </c>
      <c r="H73" s="3">
        <f t="shared" si="1"/>
        <v>7.7267181781213168E-3</v>
      </c>
    </row>
    <row r="74" spans="1:8" x14ac:dyDescent="0.3">
      <c r="A74" s="7">
        <v>45495</v>
      </c>
      <c r="B74">
        <v>247.7</v>
      </c>
      <c r="C74">
        <v>248.4</v>
      </c>
      <c r="D74">
        <v>249.6</v>
      </c>
      <c r="E74">
        <v>246.4</v>
      </c>
      <c r="F74" t="s">
        <v>994</v>
      </c>
      <c r="G74" s="8">
        <v>-4.0000000000000002E-4</v>
      </c>
      <c r="H74" s="3">
        <f t="shared" si="1"/>
        <v>-4.0355125100899336E-4</v>
      </c>
    </row>
    <row r="75" spans="1:8" x14ac:dyDescent="0.3">
      <c r="A75" s="7">
        <v>45496</v>
      </c>
      <c r="B75">
        <v>253.2</v>
      </c>
      <c r="C75">
        <v>248.2</v>
      </c>
      <c r="D75">
        <v>253.5</v>
      </c>
      <c r="E75">
        <v>245</v>
      </c>
      <c r="F75" t="s">
        <v>976</v>
      </c>
      <c r="G75" s="8">
        <v>2.2200000000000001E-2</v>
      </c>
      <c r="H75" s="3">
        <f t="shared" si="1"/>
        <v>2.220427937020597E-2</v>
      </c>
    </row>
    <row r="76" spans="1:8" x14ac:dyDescent="0.3">
      <c r="A76" s="7">
        <v>45497</v>
      </c>
      <c r="B76">
        <v>253.1</v>
      </c>
      <c r="C76">
        <v>251.8</v>
      </c>
      <c r="D76">
        <v>255.4</v>
      </c>
      <c r="E76">
        <v>250.2</v>
      </c>
      <c r="F76" t="s">
        <v>993</v>
      </c>
      <c r="G76" s="8">
        <v>-4.0000000000000002E-4</v>
      </c>
      <c r="H76" s="3">
        <f t="shared" si="1"/>
        <v>-3.949447077409296E-4</v>
      </c>
    </row>
    <row r="77" spans="1:8" x14ac:dyDescent="0.3">
      <c r="A77" s="7">
        <v>45498</v>
      </c>
      <c r="B77">
        <v>253.5</v>
      </c>
      <c r="C77">
        <v>247.2</v>
      </c>
      <c r="D77">
        <v>254</v>
      </c>
      <c r="E77">
        <v>245.8</v>
      </c>
      <c r="F77" t="s">
        <v>992</v>
      </c>
      <c r="G77" s="8">
        <v>1.6000000000000001E-3</v>
      </c>
      <c r="H77" s="3">
        <f t="shared" si="1"/>
        <v>1.5804030027657401E-3</v>
      </c>
    </row>
    <row r="78" spans="1:8" x14ac:dyDescent="0.3">
      <c r="A78" s="7">
        <v>45499</v>
      </c>
      <c r="B78">
        <v>257.89999999999998</v>
      </c>
      <c r="C78">
        <v>254</v>
      </c>
      <c r="D78">
        <v>258.2</v>
      </c>
      <c r="E78">
        <v>254</v>
      </c>
      <c r="F78" t="s">
        <v>991</v>
      </c>
      <c r="G78" s="8">
        <v>1.7399999999999999E-2</v>
      </c>
      <c r="H78" s="3">
        <f t="shared" si="1"/>
        <v>1.7357001972386543E-2</v>
      </c>
    </row>
    <row r="79" spans="1:8" x14ac:dyDescent="0.3">
      <c r="A79" s="7">
        <v>45502</v>
      </c>
      <c r="B79">
        <v>255</v>
      </c>
      <c r="C79">
        <v>257.7</v>
      </c>
      <c r="D79">
        <v>258.60000000000002</v>
      </c>
      <c r="E79">
        <v>253.6</v>
      </c>
      <c r="F79" t="s">
        <v>751</v>
      </c>
      <c r="G79" s="8">
        <v>-1.12E-2</v>
      </c>
      <c r="H79" s="3">
        <f t="shared" si="1"/>
        <v>-1.1244668476153463E-2</v>
      </c>
    </row>
    <row r="80" spans="1:8" x14ac:dyDescent="0.3">
      <c r="A80" s="7">
        <v>45503</v>
      </c>
      <c r="B80">
        <v>259.7</v>
      </c>
      <c r="C80">
        <v>255.8</v>
      </c>
      <c r="D80">
        <v>261.10000000000002</v>
      </c>
      <c r="E80">
        <v>253.8</v>
      </c>
      <c r="F80" t="s">
        <v>990</v>
      </c>
      <c r="G80" s="8">
        <v>1.84E-2</v>
      </c>
      <c r="H80" s="3">
        <f t="shared" si="1"/>
        <v>1.8431372549019498E-2</v>
      </c>
    </row>
    <row r="81" spans="1:8" x14ac:dyDescent="0.3">
      <c r="A81" s="7">
        <v>45504</v>
      </c>
      <c r="B81">
        <v>261.7</v>
      </c>
      <c r="C81">
        <v>260.5</v>
      </c>
      <c r="D81">
        <v>264.89999999999998</v>
      </c>
      <c r="E81">
        <v>259.10000000000002</v>
      </c>
      <c r="F81" t="s">
        <v>989</v>
      </c>
      <c r="G81" s="8">
        <v>7.7000000000000002E-3</v>
      </c>
      <c r="H81" s="3">
        <f t="shared" si="1"/>
        <v>7.7011936850210905E-3</v>
      </c>
    </row>
    <row r="82" spans="1:8" x14ac:dyDescent="0.3">
      <c r="A82" s="7">
        <v>45505</v>
      </c>
      <c r="B82">
        <v>260.10000000000002</v>
      </c>
      <c r="C82">
        <v>272.10000000000002</v>
      </c>
      <c r="D82">
        <v>279.10000000000002</v>
      </c>
      <c r="E82">
        <v>260.10000000000002</v>
      </c>
      <c r="F82" t="s">
        <v>988</v>
      </c>
      <c r="G82" s="8">
        <v>-6.1000000000000004E-3</v>
      </c>
      <c r="H82" s="3">
        <f t="shared" si="1"/>
        <v>-6.1138708444782308E-3</v>
      </c>
    </row>
    <row r="83" spans="1:8" x14ac:dyDescent="0.3">
      <c r="A83" s="7">
        <v>45506</v>
      </c>
      <c r="B83">
        <v>256.60000000000002</v>
      </c>
      <c r="C83">
        <v>255</v>
      </c>
      <c r="D83">
        <v>262.5</v>
      </c>
      <c r="E83">
        <v>253.1</v>
      </c>
      <c r="F83" t="s">
        <v>987</v>
      </c>
      <c r="G83" s="8">
        <v>-1.35E-2</v>
      </c>
      <c r="H83" s="3">
        <f t="shared" si="1"/>
        <v>-1.3456362937331767E-2</v>
      </c>
    </row>
    <row r="84" spans="1:8" x14ac:dyDescent="0.3">
      <c r="A84" s="7">
        <v>45509</v>
      </c>
      <c r="B84">
        <v>252.9</v>
      </c>
      <c r="C84">
        <v>253.2</v>
      </c>
      <c r="D84">
        <v>255.4</v>
      </c>
      <c r="E84">
        <v>245.6</v>
      </c>
      <c r="F84" t="s">
        <v>986</v>
      </c>
      <c r="G84" s="8">
        <v>-1.44E-2</v>
      </c>
      <c r="H84" s="3">
        <f t="shared" si="1"/>
        <v>-1.4419329696024996E-2</v>
      </c>
    </row>
    <row r="85" spans="1:8" x14ac:dyDescent="0.3">
      <c r="A85" s="7">
        <v>45510</v>
      </c>
      <c r="B85">
        <v>256.89999999999998</v>
      </c>
      <c r="C85">
        <v>256.7</v>
      </c>
      <c r="D85">
        <v>258.2</v>
      </c>
      <c r="E85">
        <v>252.9</v>
      </c>
      <c r="F85" t="s">
        <v>985</v>
      </c>
      <c r="G85" s="8">
        <v>1.5800000000000002E-2</v>
      </c>
      <c r="H85" s="3">
        <f t="shared" si="1"/>
        <v>1.5816528272044161E-2</v>
      </c>
    </row>
    <row r="86" spans="1:8" x14ac:dyDescent="0.3">
      <c r="A86" s="7">
        <v>45511</v>
      </c>
      <c r="B86">
        <v>262.60000000000002</v>
      </c>
      <c r="C86">
        <v>260</v>
      </c>
      <c r="D86">
        <v>262.60000000000002</v>
      </c>
      <c r="E86">
        <v>258.8</v>
      </c>
      <c r="F86" t="s">
        <v>984</v>
      </c>
      <c r="G86" s="8">
        <v>2.2200000000000001E-2</v>
      </c>
      <c r="H86" s="3">
        <f t="shared" si="1"/>
        <v>2.2187621642662636E-2</v>
      </c>
    </row>
    <row r="87" spans="1:8" x14ac:dyDescent="0.3">
      <c r="A87" s="7">
        <v>45512</v>
      </c>
      <c r="B87">
        <v>258.5</v>
      </c>
      <c r="C87">
        <v>260.8</v>
      </c>
      <c r="D87">
        <v>261.60000000000002</v>
      </c>
      <c r="E87">
        <v>257.8</v>
      </c>
      <c r="F87" t="s">
        <v>983</v>
      </c>
      <c r="G87" s="8">
        <v>-1.5599999999999999E-2</v>
      </c>
      <c r="H87" s="3">
        <f t="shared" si="1"/>
        <v>-1.5613099771515704E-2</v>
      </c>
    </row>
    <row r="88" spans="1:8" x14ac:dyDescent="0.3">
      <c r="A88" s="7">
        <v>45513</v>
      </c>
      <c r="B88">
        <v>258</v>
      </c>
      <c r="C88">
        <v>258.7</v>
      </c>
      <c r="D88">
        <v>259.89999999999998</v>
      </c>
      <c r="E88">
        <v>257.5</v>
      </c>
      <c r="F88" t="s">
        <v>982</v>
      </c>
      <c r="G88" s="8">
        <v>-1.9E-3</v>
      </c>
      <c r="H88" s="3">
        <f t="shared" si="1"/>
        <v>-1.9342359767892114E-3</v>
      </c>
    </row>
    <row r="89" spans="1:8" x14ac:dyDescent="0.3">
      <c r="A89" s="7">
        <v>45516</v>
      </c>
      <c r="B89">
        <v>258.60000000000002</v>
      </c>
      <c r="C89">
        <v>259</v>
      </c>
      <c r="D89">
        <v>260</v>
      </c>
      <c r="E89">
        <v>257.89999999999998</v>
      </c>
      <c r="F89" t="s">
        <v>981</v>
      </c>
      <c r="G89" s="8">
        <v>2.3E-3</v>
      </c>
      <c r="H89" s="3">
        <f t="shared" si="1"/>
        <v>2.3255813953488857E-3</v>
      </c>
    </row>
    <row r="90" spans="1:8" x14ac:dyDescent="0.3">
      <c r="A90" s="7">
        <v>45517</v>
      </c>
      <c r="B90">
        <v>262.39999999999998</v>
      </c>
      <c r="C90">
        <v>259.5</v>
      </c>
      <c r="D90">
        <v>262.39999999999998</v>
      </c>
      <c r="E90">
        <v>259</v>
      </c>
      <c r="F90" t="s">
        <v>980</v>
      </c>
      <c r="G90" s="8">
        <v>1.47E-2</v>
      </c>
      <c r="H90" s="3">
        <f t="shared" si="1"/>
        <v>1.4694508894044667E-2</v>
      </c>
    </row>
    <row r="91" spans="1:8" x14ac:dyDescent="0.3">
      <c r="A91" s="7">
        <v>45518</v>
      </c>
      <c r="B91">
        <v>265.3</v>
      </c>
      <c r="C91">
        <v>263.60000000000002</v>
      </c>
      <c r="D91">
        <v>266.7</v>
      </c>
      <c r="E91">
        <v>262.5</v>
      </c>
      <c r="F91" t="s">
        <v>979</v>
      </c>
      <c r="G91" s="8">
        <v>1.11E-2</v>
      </c>
      <c r="H91" s="3">
        <f t="shared" si="1"/>
        <v>1.1051829268292845E-2</v>
      </c>
    </row>
    <row r="92" spans="1:8" x14ac:dyDescent="0.3">
      <c r="A92" s="7">
        <v>45519</v>
      </c>
      <c r="B92">
        <v>267.39999999999998</v>
      </c>
      <c r="C92">
        <v>266</v>
      </c>
      <c r="D92">
        <v>268</v>
      </c>
      <c r="E92">
        <v>264.10000000000002</v>
      </c>
      <c r="F92" t="s">
        <v>978</v>
      </c>
      <c r="G92" s="8">
        <v>7.9000000000000008E-3</v>
      </c>
      <c r="H92" s="3">
        <f t="shared" si="1"/>
        <v>7.9155672823216783E-3</v>
      </c>
    </row>
    <row r="93" spans="1:8" x14ac:dyDescent="0.3">
      <c r="A93" s="7">
        <v>45520</v>
      </c>
      <c r="B93">
        <v>268.3</v>
      </c>
      <c r="C93">
        <v>267.89999999999998</v>
      </c>
      <c r="D93">
        <v>268.3</v>
      </c>
      <c r="E93">
        <v>266.2</v>
      </c>
      <c r="F93" t="s">
        <v>977</v>
      </c>
      <c r="G93" s="8">
        <v>3.3999999999999998E-3</v>
      </c>
      <c r="H93" s="3">
        <f t="shared" si="1"/>
        <v>3.3657442034407126E-3</v>
      </c>
    </row>
    <row r="94" spans="1:8" x14ac:dyDescent="0.3">
      <c r="A94" s="7">
        <v>45523</v>
      </c>
      <c r="B94">
        <v>268.89999999999998</v>
      </c>
      <c r="C94">
        <v>267.3</v>
      </c>
      <c r="D94">
        <v>270</v>
      </c>
      <c r="E94">
        <v>265.39999999999998</v>
      </c>
      <c r="F94" t="s">
        <v>976</v>
      </c>
      <c r="G94" s="8">
        <v>2.2000000000000001E-3</v>
      </c>
      <c r="H94" s="3">
        <f t="shared" si="1"/>
        <v>2.2363026462912661E-3</v>
      </c>
    </row>
    <row r="95" spans="1:8" x14ac:dyDescent="0.3">
      <c r="A95" s="7">
        <v>45524</v>
      </c>
      <c r="B95">
        <v>267</v>
      </c>
      <c r="C95">
        <v>269.3</v>
      </c>
      <c r="D95">
        <v>270.8</v>
      </c>
      <c r="E95">
        <v>266</v>
      </c>
      <c r="F95" t="s">
        <v>875</v>
      </c>
      <c r="G95" s="8">
        <v>-7.1000000000000004E-3</v>
      </c>
      <c r="H95" s="3">
        <f t="shared" si="1"/>
        <v>-7.0658237262921642E-3</v>
      </c>
    </row>
    <row r="96" spans="1:8" x14ac:dyDescent="0.3">
      <c r="A96" s="7">
        <v>45525</v>
      </c>
      <c r="B96">
        <v>265</v>
      </c>
      <c r="C96">
        <v>267.3</v>
      </c>
      <c r="D96">
        <v>267.60000000000002</v>
      </c>
      <c r="E96">
        <v>264.7</v>
      </c>
      <c r="F96" t="s">
        <v>975</v>
      </c>
      <c r="G96" s="8">
        <v>-7.4999999999999997E-3</v>
      </c>
      <c r="H96" s="3">
        <f t="shared" si="1"/>
        <v>-7.4906367041198685E-3</v>
      </c>
    </row>
    <row r="97" spans="1:8" x14ac:dyDescent="0.3">
      <c r="A97" s="7">
        <v>45526</v>
      </c>
      <c r="B97">
        <v>266.10000000000002</v>
      </c>
      <c r="C97">
        <v>265.39999999999998</v>
      </c>
      <c r="D97">
        <v>268.3</v>
      </c>
      <c r="E97">
        <v>265.39999999999998</v>
      </c>
      <c r="F97" t="s">
        <v>974</v>
      </c>
      <c r="G97" s="8">
        <v>4.1999999999999997E-3</v>
      </c>
      <c r="H97" s="3">
        <f t="shared" si="1"/>
        <v>4.1509433962265696E-3</v>
      </c>
    </row>
    <row r="98" spans="1:8" x14ac:dyDescent="0.3">
      <c r="A98" s="7">
        <v>45527</v>
      </c>
      <c r="B98">
        <v>267.5</v>
      </c>
      <c r="C98">
        <v>266</v>
      </c>
      <c r="D98">
        <v>268</v>
      </c>
      <c r="E98">
        <v>264.8</v>
      </c>
      <c r="F98" t="s">
        <v>973</v>
      </c>
      <c r="G98" s="8">
        <v>5.3E-3</v>
      </c>
      <c r="H98" s="3">
        <f t="shared" si="1"/>
        <v>5.2611800075159643E-3</v>
      </c>
    </row>
    <row r="99" spans="1:8" x14ac:dyDescent="0.3">
      <c r="A99" s="7">
        <v>45530</v>
      </c>
      <c r="B99">
        <v>265.39999999999998</v>
      </c>
      <c r="C99">
        <v>266.60000000000002</v>
      </c>
      <c r="D99">
        <v>267.2</v>
      </c>
      <c r="E99">
        <v>262.3</v>
      </c>
      <c r="F99" t="s">
        <v>972</v>
      </c>
      <c r="G99" s="8">
        <v>-7.9000000000000008E-3</v>
      </c>
      <c r="H99" s="3">
        <f t="shared" si="1"/>
        <v>-7.8504672897197203E-3</v>
      </c>
    </row>
    <row r="100" spans="1:8" x14ac:dyDescent="0.3">
      <c r="A100" s="7">
        <v>45531</v>
      </c>
      <c r="B100">
        <v>267.2</v>
      </c>
      <c r="C100">
        <v>265.89999999999998</v>
      </c>
      <c r="D100">
        <v>267.60000000000002</v>
      </c>
      <c r="E100">
        <v>264.89999999999998</v>
      </c>
      <c r="F100" t="s">
        <v>971</v>
      </c>
      <c r="G100" s="8">
        <v>6.7999999999999996E-3</v>
      </c>
      <c r="H100" s="3">
        <f t="shared" si="1"/>
        <v>6.7822155237378112E-3</v>
      </c>
    </row>
    <row r="101" spans="1:8" x14ac:dyDescent="0.3">
      <c r="A101" s="7">
        <v>45532</v>
      </c>
      <c r="B101">
        <v>269.2</v>
      </c>
      <c r="C101">
        <v>268</v>
      </c>
      <c r="D101">
        <v>270.39999999999998</v>
      </c>
      <c r="E101">
        <v>267.5</v>
      </c>
      <c r="F101" t="s">
        <v>970</v>
      </c>
      <c r="G101" s="8">
        <v>7.4999999999999997E-3</v>
      </c>
      <c r="H101" s="3">
        <f t="shared" si="1"/>
        <v>7.4850299401196807E-3</v>
      </c>
    </row>
    <row r="102" spans="1:8" x14ac:dyDescent="0.3">
      <c r="A102" s="7">
        <v>45533</v>
      </c>
      <c r="B102">
        <v>271.10000000000002</v>
      </c>
      <c r="C102">
        <v>269</v>
      </c>
      <c r="D102">
        <v>271.2</v>
      </c>
      <c r="E102">
        <v>267.89999999999998</v>
      </c>
      <c r="F102" t="s">
        <v>969</v>
      </c>
      <c r="G102" s="8">
        <v>7.1000000000000004E-3</v>
      </c>
      <c r="H102" s="3">
        <f t="shared" si="1"/>
        <v>7.0579494799407616E-3</v>
      </c>
    </row>
    <row r="103" spans="1:8" x14ac:dyDescent="0.3">
      <c r="A103" s="7">
        <v>45534</v>
      </c>
      <c r="B103">
        <v>270</v>
      </c>
      <c r="C103">
        <v>270.5</v>
      </c>
      <c r="D103">
        <v>271.5</v>
      </c>
      <c r="E103">
        <v>269.39999999999998</v>
      </c>
      <c r="F103" t="s">
        <v>968</v>
      </c>
      <c r="G103" s="8">
        <v>-4.1000000000000003E-3</v>
      </c>
      <c r="H103" s="3">
        <f t="shared" si="1"/>
        <v>-4.0575433419403062E-3</v>
      </c>
    </row>
    <row r="104" spans="1:8" x14ac:dyDescent="0.3">
      <c r="A104" s="7">
        <v>45537</v>
      </c>
      <c r="B104">
        <v>266.39999999999998</v>
      </c>
      <c r="C104">
        <v>271</v>
      </c>
      <c r="D104">
        <v>271</v>
      </c>
      <c r="E104">
        <v>266.2</v>
      </c>
      <c r="F104" t="s">
        <v>967</v>
      </c>
      <c r="G104" s="8">
        <v>-1.3299999999999999E-2</v>
      </c>
      <c r="H104" s="3">
        <f t="shared" si="1"/>
        <v>-1.3333333333333419E-2</v>
      </c>
    </row>
    <row r="105" spans="1:8" x14ac:dyDescent="0.3">
      <c r="A105" s="7">
        <v>45538</v>
      </c>
      <c r="B105">
        <v>265.10000000000002</v>
      </c>
      <c r="C105">
        <v>267.39999999999998</v>
      </c>
      <c r="D105">
        <v>269.89999999999998</v>
      </c>
      <c r="E105">
        <v>264.7</v>
      </c>
      <c r="F105" t="s">
        <v>966</v>
      </c>
      <c r="G105" s="8">
        <v>-4.8999999999999998E-3</v>
      </c>
      <c r="H105" s="3">
        <f t="shared" si="1"/>
        <v>-4.8798798798797005E-3</v>
      </c>
    </row>
    <row r="106" spans="1:8" x14ac:dyDescent="0.3">
      <c r="A106" s="7">
        <v>45539</v>
      </c>
      <c r="B106">
        <v>267.10000000000002</v>
      </c>
      <c r="C106">
        <v>261.39999999999998</v>
      </c>
      <c r="D106">
        <v>267.10000000000002</v>
      </c>
      <c r="E106">
        <v>260.10000000000002</v>
      </c>
      <c r="F106" t="s">
        <v>965</v>
      </c>
      <c r="G106" s="8">
        <v>7.4999999999999997E-3</v>
      </c>
      <c r="H106" s="3">
        <f t="shared" si="1"/>
        <v>7.544322897020006E-3</v>
      </c>
    </row>
    <row r="107" spans="1:8" x14ac:dyDescent="0.3">
      <c r="A107" s="7">
        <v>45540</v>
      </c>
      <c r="B107">
        <v>265.5</v>
      </c>
      <c r="C107">
        <v>266.60000000000002</v>
      </c>
      <c r="D107">
        <v>267</v>
      </c>
      <c r="E107">
        <v>262.10000000000002</v>
      </c>
      <c r="F107" t="s">
        <v>964</v>
      </c>
      <c r="G107" s="8">
        <v>-6.0000000000000001E-3</v>
      </c>
      <c r="H107" s="3">
        <f t="shared" si="1"/>
        <v>-5.9902658180457369E-3</v>
      </c>
    </row>
    <row r="108" spans="1:8" x14ac:dyDescent="0.3">
      <c r="A108" s="7">
        <v>45541</v>
      </c>
      <c r="B108">
        <v>267.5</v>
      </c>
      <c r="C108">
        <v>264.8</v>
      </c>
      <c r="D108">
        <v>273.39999999999998</v>
      </c>
      <c r="E108">
        <v>264.7</v>
      </c>
      <c r="F108" t="s">
        <v>921</v>
      </c>
      <c r="G108" s="8">
        <v>7.4999999999999997E-3</v>
      </c>
      <c r="H108" s="3">
        <f t="shared" si="1"/>
        <v>7.532956685499137E-3</v>
      </c>
    </row>
    <row r="109" spans="1:8" x14ac:dyDescent="0.3">
      <c r="A109" s="7">
        <v>45544</v>
      </c>
      <c r="B109">
        <v>270.3</v>
      </c>
      <c r="C109">
        <v>268</v>
      </c>
      <c r="D109">
        <v>271</v>
      </c>
      <c r="E109">
        <v>267.3</v>
      </c>
      <c r="F109" t="s">
        <v>963</v>
      </c>
      <c r="G109" s="8">
        <v>1.0500000000000001E-2</v>
      </c>
      <c r="H109" s="3">
        <f t="shared" si="1"/>
        <v>1.0467289719626294E-2</v>
      </c>
    </row>
    <row r="110" spans="1:8" x14ac:dyDescent="0.3">
      <c r="A110" s="7">
        <v>45545</v>
      </c>
      <c r="B110">
        <v>272.7</v>
      </c>
      <c r="C110">
        <v>270</v>
      </c>
      <c r="D110">
        <v>274.10000000000002</v>
      </c>
      <c r="E110">
        <v>269.7</v>
      </c>
      <c r="F110" t="s">
        <v>962</v>
      </c>
      <c r="G110" s="8">
        <v>8.8999999999999999E-3</v>
      </c>
      <c r="H110" s="3">
        <f t="shared" si="1"/>
        <v>8.8790233074360625E-3</v>
      </c>
    </row>
    <row r="111" spans="1:8" x14ac:dyDescent="0.3">
      <c r="A111" s="7">
        <v>45546</v>
      </c>
      <c r="B111">
        <v>272.89999999999998</v>
      </c>
      <c r="C111">
        <v>274.3</v>
      </c>
      <c r="D111">
        <v>275.3</v>
      </c>
      <c r="E111">
        <v>270.39999999999998</v>
      </c>
      <c r="F111" t="s">
        <v>961</v>
      </c>
      <c r="G111" s="8">
        <v>6.9999999999999999E-4</v>
      </c>
      <c r="H111" s="3">
        <f t="shared" si="1"/>
        <v>7.3340667400079163E-4</v>
      </c>
    </row>
    <row r="112" spans="1:8" x14ac:dyDescent="0.3">
      <c r="A112" s="7">
        <v>45547</v>
      </c>
      <c r="B112">
        <v>275.39999999999998</v>
      </c>
      <c r="C112">
        <v>274.60000000000002</v>
      </c>
      <c r="D112">
        <v>276.7</v>
      </c>
      <c r="E112">
        <v>274.39999999999998</v>
      </c>
      <c r="F112" t="s">
        <v>960</v>
      </c>
      <c r="G112" s="8">
        <v>9.1999999999999998E-3</v>
      </c>
      <c r="H112" s="3">
        <f t="shared" si="1"/>
        <v>9.160864785635825E-3</v>
      </c>
    </row>
    <row r="113" spans="1:8" x14ac:dyDescent="0.3">
      <c r="A113" s="7">
        <v>45548</v>
      </c>
      <c r="B113">
        <v>279.2</v>
      </c>
      <c r="C113">
        <v>275.7</v>
      </c>
      <c r="D113">
        <v>279.89999999999998</v>
      </c>
      <c r="E113">
        <v>274.5</v>
      </c>
      <c r="F113" t="s">
        <v>959</v>
      </c>
      <c r="G113" s="8">
        <v>1.38E-2</v>
      </c>
      <c r="H113" s="3">
        <f t="shared" si="1"/>
        <v>1.3798111837327598E-2</v>
      </c>
    </row>
    <row r="114" spans="1:8" x14ac:dyDescent="0.3">
      <c r="A114" s="7">
        <v>45551</v>
      </c>
      <c r="B114">
        <v>276.39999999999998</v>
      </c>
      <c r="C114">
        <v>272</v>
      </c>
      <c r="D114">
        <v>279.3</v>
      </c>
      <c r="E114">
        <v>269.2</v>
      </c>
      <c r="F114" t="s">
        <v>958</v>
      </c>
      <c r="G114" s="8">
        <v>-0.01</v>
      </c>
      <c r="H114" s="3">
        <f t="shared" si="1"/>
        <v>-1.0028653295129031E-2</v>
      </c>
    </row>
    <row r="115" spans="1:8" x14ac:dyDescent="0.3">
      <c r="A115" s="7">
        <v>45552</v>
      </c>
      <c r="B115">
        <v>269.7</v>
      </c>
      <c r="C115">
        <v>277.60000000000002</v>
      </c>
      <c r="D115">
        <v>278.7</v>
      </c>
      <c r="E115">
        <v>269.10000000000002</v>
      </c>
      <c r="F115" t="s">
        <v>957</v>
      </c>
      <c r="G115" s="8">
        <v>-2.4199999999999999E-2</v>
      </c>
      <c r="H115" s="3">
        <f t="shared" si="1"/>
        <v>-2.4240231548480429E-2</v>
      </c>
    </row>
    <row r="116" spans="1:8" x14ac:dyDescent="0.3">
      <c r="A116" s="7">
        <v>45553</v>
      </c>
      <c r="B116">
        <v>270.3</v>
      </c>
      <c r="C116">
        <v>269.2</v>
      </c>
      <c r="D116">
        <v>273.39999999999998</v>
      </c>
      <c r="E116">
        <v>269.2</v>
      </c>
      <c r="F116" t="s">
        <v>956</v>
      </c>
      <c r="G116" s="8">
        <v>2.2000000000000001E-3</v>
      </c>
      <c r="H116" s="3">
        <f t="shared" si="1"/>
        <v>2.2246941045607205E-3</v>
      </c>
    </row>
    <row r="117" spans="1:8" x14ac:dyDescent="0.3">
      <c r="A117" s="7">
        <v>45554</v>
      </c>
      <c r="B117">
        <v>276.3</v>
      </c>
      <c r="C117">
        <v>271.39999999999998</v>
      </c>
      <c r="D117">
        <v>278</v>
      </c>
      <c r="E117">
        <v>270</v>
      </c>
      <c r="F117" t="s">
        <v>955</v>
      </c>
      <c r="G117" s="8">
        <v>2.2200000000000001E-2</v>
      </c>
      <c r="H117" s="3">
        <f t="shared" si="1"/>
        <v>2.2197558268590489E-2</v>
      </c>
    </row>
    <row r="118" spans="1:8" x14ac:dyDescent="0.3">
      <c r="A118" s="7">
        <v>45555</v>
      </c>
      <c r="B118">
        <v>278.5</v>
      </c>
      <c r="C118">
        <v>278.3</v>
      </c>
      <c r="D118">
        <v>280</v>
      </c>
      <c r="E118">
        <v>277.3</v>
      </c>
      <c r="F118" t="s">
        <v>954</v>
      </c>
      <c r="G118" s="8">
        <v>8.0000000000000002E-3</v>
      </c>
      <c r="H118" s="3">
        <f t="shared" si="1"/>
        <v>7.9623597538907021E-3</v>
      </c>
    </row>
    <row r="119" spans="1:8" x14ac:dyDescent="0.3">
      <c r="A119" s="7">
        <v>45558</v>
      </c>
      <c r="B119">
        <v>280.2</v>
      </c>
      <c r="C119">
        <v>279.89999999999998</v>
      </c>
      <c r="D119">
        <v>280.3</v>
      </c>
      <c r="E119">
        <v>277.60000000000002</v>
      </c>
      <c r="F119" t="s">
        <v>953</v>
      </c>
      <c r="G119" s="8">
        <v>6.1000000000000004E-3</v>
      </c>
      <c r="H119" s="3">
        <f t="shared" si="1"/>
        <v>6.1041292639136824E-3</v>
      </c>
    </row>
    <row r="120" spans="1:8" x14ac:dyDescent="0.3">
      <c r="A120" s="7">
        <v>45559</v>
      </c>
      <c r="B120">
        <v>282.7</v>
      </c>
      <c r="C120">
        <v>280.5</v>
      </c>
      <c r="D120">
        <v>283.5</v>
      </c>
      <c r="E120">
        <v>277.8</v>
      </c>
      <c r="F120" t="s">
        <v>952</v>
      </c>
      <c r="G120" s="8">
        <v>8.8999999999999999E-3</v>
      </c>
      <c r="H120" s="3">
        <f t="shared" si="1"/>
        <v>8.9221984296929957E-3</v>
      </c>
    </row>
    <row r="121" spans="1:8" x14ac:dyDescent="0.3">
      <c r="A121" s="7">
        <v>45560</v>
      </c>
      <c r="B121">
        <v>282.5</v>
      </c>
      <c r="C121">
        <v>282.2</v>
      </c>
      <c r="D121">
        <v>283.60000000000002</v>
      </c>
      <c r="E121">
        <v>281.3</v>
      </c>
      <c r="F121" t="s">
        <v>951</v>
      </c>
      <c r="G121" s="8">
        <v>-6.9999999999999999E-4</v>
      </c>
      <c r="H121" s="3">
        <f t="shared" si="1"/>
        <v>-7.0746374248320532E-4</v>
      </c>
    </row>
    <row r="122" spans="1:8" x14ac:dyDescent="0.3">
      <c r="A122" s="7">
        <v>45561</v>
      </c>
      <c r="B122">
        <v>284.60000000000002</v>
      </c>
      <c r="C122">
        <v>284.39999999999998</v>
      </c>
      <c r="D122">
        <v>285.10000000000002</v>
      </c>
      <c r="E122">
        <v>282.5</v>
      </c>
      <c r="F122" t="s">
        <v>950</v>
      </c>
      <c r="G122" s="8">
        <v>7.4000000000000003E-3</v>
      </c>
      <c r="H122" s="3">
        <f t="shared" si="1"/>
        <v>7.4336283185840735E-3</v>
      </c>
    </row>
    <row r="123" spans="1:8" x14ac:dyDescent="0.3">
      <c r="A123" s="7">
        <v>45562</v>
      </c>
      <c r="B123">
        <v>281.10000000000002</v>
      </c>
      <c r="C123">
        <v>284.89999999999998</v>
      </c>
      <c r="D123">
        <v>285.3</v>
      </c>
      <c r="E123">
        <v>280.5</v>
      </c>
      <c r="F123" t="s">
        <v>949</v>
      </c>
      <c r="G123" s="8">
        <v>-1.23E-2</v>
      </c>
      <c r="H123" s="3">
        <f t="shared" si="1"/>
        <v>-1.2297962052002842E-2</v>
      </c>
    </row>
    <row r="124" spans="1:8" x14ac:dyDescent="0.3">
      <c r="A124" s="7">
        <v>45565</v>
      </c>
      <c r="B124">
        <v>280</v>
      </c>
      <c r="C124">
        <v>280.60000000000002</v>
      </c>
      <c r="D124">
        <v>281.10000000000002</v>
      </c>
      <c r="E124">
        <v>277.2</v>
      </c>
      <c r="F124" t="s">
        <v>748</v>
      </c>
      <c r="G124" s="8">
        <v>-3.8999999999999998E-3</v>
      </c>
      <c r="H124" s="3">
        <f t="shared" si="1"/>
        <v>-3.913198150124586E-3</v>
      </c>
    </row>
    <row r="125" spans="1:8" x14ac:dyDescent="0.3">
      <c r="A125" s="7">
        <v>45566</v>
      </c>
      <c r="B125">
        <v>286.10000000000002</v>
      </c>
      <c r="C125">
        <v>281.5</v>
      </c>
      <c r="D125">
        <v>286.39999999999998</v>
      </c>
      <c r="E125">
        <v>281.5</v>
      </c>
      <c r="F125" t="s">
        <v>948</v>
      </c>
      <c r="G125" s="8">
        <v>2.18E-2</v>
      </c>
      <c r="H125" s="3">
        <f t="shared" si="1"/>
        <v>2.1785714285714297E-2</v>
      </c>
    </row>
    <row r="126" spans="1:8" x14ac:dyDescent="0.3">
      <c r="A126" s="7">
        <v>45567</v>
      </c>
      <c r="B126">
        <v>282.60000000000002</v>
      </c>
      <c r="C126">
        <v>285.5</v>
      </c>
      <c r="D126">
        <v>286.5</v>
      </c>
      <c r="E126">
        <v>280.10000000000002</v>
      </c>
      <c r="F126" t="s">
        <v>752</v>
      </c>
      <c r="G126" s="8">
        <v>-1.2200000000000001E-2</v>
      </c>
      <c r="H126" s="3">
        <f t="shared" si="1"/>
        <v>-1.2233484795525995E-2</v>
      </c>
    </row>
    <row r="127" spans="1:8" x14ac:dyDescent="0.3">
      <c r="A127" s="7">
        <v>45568</v>
      </c>
      <c r="B127">
        <v>283</v>
      </c>
      <c r="C127">
        <v>283</v>
      </c>
      <c r="D127">
        <v>285.2</v>
      </c>
      <c r="E127">
        <v>281.7</v>
      </c>
      <c r="F127" t="s">
        <v>947</v>
      </c>
      <c r="G127" s="8">
        <v>1.4E-3</v>
      </c>
      <c r="H127" s="3">
        <f t="shared" si="1"/>
        <v>1.4154281670204494E-3</v>
      </c>
    </row>
    <row r="128" spans="1:8" x14ac:dyDescent="0.3">
      <c r="A128" s="7">
        <v>45569</v>
      </c>
      <c r="B128">
        <v>284.2</v>
      </c>
      <c r="C128">
        <v>282.5</v>
      </c>
      <c r="D128">
        <v>285.39999999999998</v>
      </c>
      <c r="E128">
        <v>281.5</v>
      </c>
      <c r="F128" t="s">
        <v>946</v>
      </c>
      <c r="G128" s="8">
        <v>4.1999999999999997E-3</v>
      </c>
      <c r="H128" s="3">
        <f t="shared" si="1"/>
        <v>4.2402826855123532E-3</v>
      </c>
    </row>
    <row r="129" spans="1:8" x14ac:dyDescent="0.3">
      <c r="A129" s="7">
        <v>45572</v>
      </c>
      <c r="B129">
        <v>282.39999999999998</v>
      </c>
      <c r="C129">
        <v>285.10000000000002</v>
      </c>
      <c r="D129">
        <v>285.60000000000002</v>
      </c>
      <c r="E129">
        <v>281.10000000000002</v>
      </c>
      <c r="F129" t="s">
        <v>945</v>
      </c>
      <c r="G129" s="8">
        <v>-6.3E-3</v>
      </c>
      <c r="H129" s="3">
        <f t="shared" si="1"/>
        <v>-6.3335679099226772E-3</v>
      </c>
    </row>
    <row r="130" spans="1:8" x14ac:dyDescent="0.3">
      <c r="A130" s="7">
        <v>45573</v>
      </c>
      <c r="B130">
        <v>285.2</v>
      </c>
      <c r="C130">
        <v>284.60000000000002</v>
      </c>
      <c r="D130">
        <v>285.5</v>
      </c>
      <c r="E130">
        <v>282.2</v>
      </c>
      <c r="F130" t="s">
        <v>944</v>
      </c>
      <c r="G130" s="8">
        <v>9.9000000000000008E-3</v>
      </c>
      <c r="H130" s="3">
        <f t="shared" si="1"/>
        <v>9.9150141643060685E-3</v>
      </c>
    </row>
    <row r="131" spans="1:8" x14ac:dyDescent="0.3">
      <c r="A131" s="7">
        <v>45574</v>
      </c>
      <c r="B131">
        <v>286</v>
      </c>
      <c r="C131">
        <v>287.2</v>
      </c>
      <c r="D131">
        <v>287.5</v>
      </c>
      <c r="E131">
        <v>283.89999999999998</v>
      </c>
      <c r="F131" t="s">
        <v>943</v>
      </c>
      <c r="G131" s="8">
        <v>2.8E-3</v>
      </c>
      <c r="H131" s="3">
        <f t="shared" si="1"/>
        <v>2.8050490883591017E-3</v>
      </c>
    </row>
    <row r="132" spans="1:8" x14ac:dyDescent="0.3">
      <c r="A132" s="7">
        <v>45575</v>
      </c>
      <c r="B132">
        <v>284.89999999999998</v>
      </c>
      <c r="C132">
        <v>284.89999999999998</v>
      </c>
      <c r="D132">
        <v>288.39999999999998</v>
      </c>
      <c r="E132">
        <v>283.8</v>
      </c>
      <c r="F132" t="s">
        <v>942</v>
      </c>
      <c r="G132" s="8">
        <v>-3.8E-3</v>
      </c>
      <c r="H132" s="3">
        <f t="shared" ref="H132:H195" si="2">(B132/B131)-1</f>
        <v>-3.8461538461539435E-3</v>
      </c>
    </row>
    <row r="133" spans="1:8" x14ac:dyDescent="0.3">
      <c r="A133" s="7">
        <v>45576</v>
      </c>
      <c r="B133">
        <v>286</v>
      </c>
      <c r="C133">
        <v>285.5</v>
      </c>
      <c r="D133">
        <v>287.3</v>
      </c>
      <c r="E133">
        <v>282.39999999999998</v>
      </c>
      <c r="F133" t="s">
        <v>941</v>
      </c>
      <c r="G133" s="8">
        <v>3.8999999999999998E-3</v>
      </c>
      <c r="H133" s="3">
        <f t="shared" si="2"/>
        <v>3.8610038610038533E-3</v>
      </c>
    </row>
    <row r="134" spans="1:8" x14ac:dyDescent="0.3">
      <c r="A134" s="7">
        <v>45579</v>
      </c>
      <c r="B134">
        <v>289.60000000000002</v>
      </c>
      <c r="C134">
        <v>287.3</v>
      </c>
      <c r="D134">
        <v>289.89999999999998</v>
      </c>
      <c r="E134">
        <v>287.3</v>
      </c>
      <c r="F134" t="s">
        <v>940</v>
      </c>
      <c r="G134" s="8">
        <v>1.26E-2</v>
      </c>
      <c r="H134" s="3">
        <f t="shared" si="2"/>
        <v>1.2587412587412583E-2</v>
      </c>
    </row>
    <row r="135" spans="1:8" x14ac:dyDescent="0.3">
      <c r="A135" s="7">
        <v>45580</v>
      </c>
      <c r="B135">
        <v>303.89999999999998</v>
      </c>
      <c r="C135">
        <v>293.10000000000002</v>
      </c>
      <c r="D135">
        <v>308.3</v>
      </c>
      <c r="E135">
        <v>293</v>
      </c>
      <c r="F135" t="s">
        <v>939</v>
      </c>
      <c r="G135" s="8">
        <v>4.9399999999999999E-2</v>
      </c>
      <c r="H135" s="3">
        <f t="shared" si="2"/>
        <v>4.9378453038673831E-2</v>
      </c>
    </row>
    <row r="136" spans="1:8" x14ac:dyDescent="0.3">
      <c r="A136" s="7">
        <v>45581</v>
      </c>
      <c r="B136">
        <v>308.8</v>
      </c>
      <c r="C136">
        <v>302.89999999999998</v>
      </c>
      <c r="D136">
        <v>308.8</v>
      </c>
      <c r="E136">
        <v>302.60000000000002</v>
      </c>
      <c r="F136" t="s">
        <v>938</v>
      </c>
      <c r="G136" s="8">
        <v>1.61E-2</v>
      </c>
      <c r="H136" s="3">
        <f t="shared" si="2"/>
        <v>1.6123724909509862E-2</v>
      </c>
    </row>
    <row r="137" spans="1:8" x14ac:dyDescent="0.3">
      <c r="A137" s="7">
        <v>45582</v>
      </c>
      <c r="B137">
        <v>312.7</v>
      </c>
      <c r="C137">
        <v>309</v>
      </c>
      <c r="D137">
        <v>313.2</v>
      </c>
      <c r="E137">
        <v>308.39999999999998</v>
      </c>
      <c r="F137" t="s">
        <v>937</v>
      </c>
      <c r="G137" s="8">
        <v>1.26E-2</v>
      </c>
      <c r="H137" s="3">
        <f t="shared" si="2"/>
        <v>1.26295336787563E-2</v>
      </c>
    </row>
    <row r="138" spans="1:8" x14ac:dyDescent="0.3">
      <c r="A138" s="7">
        <v>45583</v>
      </c>
      <c r="B138">
        <v>311</v>
      </c>
      <c r="C138">
        <v>311.10000000000002</v>
      </c>
      <c r="D138">
        <v>312.2</v>
      </c>
      <c r="E138">
        <v>309.2</v>
      </c>
      <c r="F138" t="s">
        <v>936</v>
      </c>
      <c r="G138" s="8">
        <v>-5.4000000000000003E-3</v>
      </c>
      <c r="H138" s="3">
        <f t="shared" si="2"/>
        <v>-5.4365206267987798E-3</v>
      </c>
    </row>
    <row r="139" spans="1:8" x14ac:dyDescent="0.3">
      <c r="A139" s="7">
        <v>45586</v>
      </c>
      <c r="B139">
        <v>309.5</v>
      </c>
      <c r="C139">
        <v>310.5</v>
      </c>
      <c r="D139">
        <v>312.5</v>
      </c>
      <c r="E139">
        <v>309.3</v>
      </c>
      <c r="F139" t="s">
        <v>935</v>
      </c>
      <c r="G139" s="8">
        <v>-4.7999999999999996E-3</v>
      </c>
      <c r="H139" s="3">
        <f t="shared" si="2"/>
        <v>-4.8231511254018811E-3</v>
      </c>
    </row>
    <row r="140" spans="1:8" x14ac:dyDescent="0.3">
      <c r="A140" s="7">
        <v>45587</v>
      </c>
      <c r="B140">
        <v>310.5</v>
      </c>
      <c r="C140">
        <v>309.3</v>
      </c>
      <c r="D140">
        <v>312.2</v>
      </c>
      <c r="E140">
        <v>308.8</v>
      </c>
      <c r="F140" t="s">
        <v>934</v>
      </c>
      <c r="G140" s="8">
        <v>3.2000000000000002E-3</v>
      </c>
      <c r="H140" s="3">
        <f t="shared" si="2"/>
        <v>3.2310177705976439E-3</v>
      </c>
    </row>
    <row r="141" spans="1:8" x14ac:dyDescent="0.3">
      <c r="A141" s="7">
        <v>45588</v>
      </c>
      <c r="B141">
        <v>308.2</v>
      </c>
      <c r="C141">
        <v>308.8</v>
      </c>
      <c r="D141">
        <v>311.7</v>
      </c>
      <c r="E141">
        <v>307.5</v>
      </c>
      <c r="F141" t="s">
        <v>933</v>
      </c>
      <c r="G141" s="8">
        <v>-7.4000000000000003E-3</v>
      </c>
      <c r="H141" s="3">
        <f t="shared" si="2"/>
        <v>-7.4074074074074181E-3</v>
      </c>
    </row>
    <row r="142" spans="1:8" x14ac:dyDescent="0.3">
      <c r="A142" s="7">
        <v>45589</v>
      </c>
      <c r="B142">
        <v>312.60000000000002</v>
      </c>
      <c r="C142">
        <v>312.3</v>
      </c>
      <c r="D142">
        <v>314.8</v>
      </c>
      <c r="E142">
        <v>309.2</v>
      </c>
      <c r="F142" t="s">
        <v>932</v>
      </c>
      <c r="G142" s="8">
        <v>1.43E-2</v>
      </c>
      <c r="H142" s="3">
        <f t="shared" si="2"/>
        <v>1.4276443867618616E-2</v>
      </c>
    </row>
    <row r="143" spans="1:8" x14ac:dyDescent="0.3">
      <c r="A143" s="7">
        <v>45590</v>
      </c>
      <c r="B143">
        <v>309</v>
      </c>
      <c r="C143">
        <v>313.3</v>
      </c>
      <c r="D143">
        <v>314</v>
      </c>
      <c r="E143">
        <v>309</v>
      </c>
      <c r="F143" t="s">
        <v>931</v>
      </c>
      <c r="G143" s="8">
        <v>-1.15E-2</v>
      </c>
      <c r="H143" s="3">
        <f t="shared" si="2"/>
        <v>-1.1516314779270731E-2</v>
      </c>
    </row>
    <row r="144" spans="1:8" x14ac:dyDescent="0.3">
      <c r="A144" s="7">
        <v>45593</v>
      </c>
      <c r="B144">
        <v>307.2</v>
      </c>
      <c r="C144">
        <v>309.8</v>
      </c>
      <c r="D144">
        <v>312</v>
      </c>
      <c r="E144">
        <v>306.39999999999998</v>
      </c>
      <c r="F144" t="s">
        <v>930</v>
      </c>
      <c r="G144" s="8">
        <v>-5.7999999999999996E-3</v>
      </c>
      <c r="H144" s="3">
        <f t="shared" si="2"/>
        <v>-5.8252427184466438E-3</v>
      </c>
    </row>
    <row r="145" spans="1:8" x14ac:dyDescent="0.3">
      <c r="A145" s="7">
        <v>45594</v>
      </c>
      <c r="B145">
        <v>305.89999999999998</v>
      </c>
      <c r="C145">
        <v>309.10000000000002</v>
      </c>
      <c r="D145">
        <v>310.39999999999998</v>
      </c>
      <c r="E145">
        <v>305.5</v>
      </c>
      <c r="F145" t="s">
        <v>929</v>
      </c>
      <c r="G145" s="8">
        <v>-4.1999999999999997E-3</v>
      </c>
      <c r="H145" s="3">
        <f t="shared" si="2"/>
        <v>-4.2317708333333703E-3</v>
      </c>
    </row>
    <row r="146" spans="1:8" x14ac:dyDescent="0.3">
      <c r="A146" s="7">
        <v>45595</v>
      </c>
      <c r="B146">
        <v>306</v>
      </c>
      <c r="C146">
        <v>305.39999999999998</v>
      </c>
      <c r="D146">
        <v>307.5</v>
      </c>
      <c r="E146">
        <v>303.89999999999998</v>
      </c>
      <c r="F146" t="s">
        <v>928</v>
      </c>
      <c r="G146" s="8">
        <v>2.9999999999999997E-4</v>
      </c>
      <c r="H146" s="3">
        <f t="shared" si="2"/>
        <v>3.2690421706438322E-4</v>
      </c>
    </row>
    <row r="147" spans="1:8" x14ac:dyDescent="0.3">
      <c r="A147" s="7">
        <v>45596</v>
      </c>
      <c r="B147">
        <v>300.7</v>
      </c>
      <c r="C147">
        <v>299.10000000000002</v>
      </c>
      <c r="D147">
        <v>303.60000000000002</v>
      </c>
      <c r="E147">
        <v>296</v>
      </c>
      <c r="F147" t="s">
        <v>927</v>
      </c>
      <c r="G147" s="8">
        <v>-1.7299999999999999E-2</v>
      </c>
      <c r="H147" s="3">
        <f t="shared" si="2"/>
        <v>-1.7320261437908546E-2</v>
      </c>
    </row>
    <row r="148" spans="1:8" x14ac:dyDescent="0.3">
      <c r="A148" s="7">
        <v>45597</v>
      </c>
      <c r="B148">
        <v>306.10000000000002</v>
      </c>
      <c r="C148">
        <v>300.39999999999998</v>
      </c>
      <c r="D148">
        <v>306.39999999999998</v>
      </c>
      <c r="E148">
        <v>300.10000000000002</v>
      </c>
      <c r="F148" t="s">
        <v>926</v>
      </c>
      <c r="G148" s="8">
        <v>1.7999999999999999E-2</v>
      </c>
      <c r="H148" s="3">
        <f t="shared" si="2"/>
        <v>1.7958097771865855E-2</v>
      </c>
    </row>
    <row r="149" spans="1:8" x14ac:dyDescent="0.3">
      <c r="A149" s="7">
        <v>45600</v>
      </c>
      <c r="B149">
        <v>305.3</v>
      </c>
      <c r="C149">
        <v>305.89999999999998</v>
      </c>
      <c r="D149">
        <v>307.2</v>
      </c>
      <c r="E149">
        <v>304.2</v>
      </c>
      <c r="F149" t="s">
        <v>925</v>
      </c>
      <c r="G149" s="8">
        <v>-2.5999999999999999E-3</v>
      </c>
      <c r="H149" s="3">
        <f t="shared" si="2"/>
        <v>-2.6135249918327608E-3</v>
      </c>
    </row>
    <row r="150" spans="1:8" x14ac:dyDescent="0.3">
      <c r="A150" s="7">
        <v>45601</v>
      </c>
      <c r="B150">
        <v>311.89999999999998</v>
      </c>
      <c r="C150">
        <v>305.60000000000002</v>
      </c>
      <c r="D150">
        <v>311.89999999999998</v>
      </c>
      <c r="E150">
        <v>305</v>
      </c>
      <c r="F150" t="s">
        <v>924</v>
      </c>
      <c r="G150" s="8">
        <v>2.1600000000000001E-2</v>
      </c>
      <c r="H150" s="3">
        <f t="shared" si="2"/>
        <v>2.1618080576482068E-2</v>
      </c>
    </row>
    <row r="151" spans="1:8" x14ac:dyDescent="0.3">
      <c r="A151" s="7">
        <v>45602</v>
      </c>
      <c r="B151">
        <v>316.89999999999998</v>
      </c>
      <c r="C151">
        <v>318</v>
      </c>
      <c r="D151">
        <v>321.7</v>
      </c>
      <c r="E151">
        <v>315.89999999999998</v>
      </c>
      <c r="F151" t="s">
        <v>923</v>
      </c>
      <c r="G151" s="8">
        <v>1.6E-2</v>
      </c>
      <c r="H151" s="3">
        <f t="shared" si="2"/>
        <v>1.6030779095864034E-2</v>
      </c>
    </row>
    <row r="152" spans="1:8" x14ac:dyDescent="0.3">
      <c r="A152" s="7">
        <v>45603</v>
      </c>
      <c r="B152">
        <v>317.2</v>
      </c>
      <c r="C152">
        <v>316.60000000000002</v>
      </c>
      <c r="D152">
        <v>319.2</v>
      </c>
      <c r="E152">
        <v>314.60000000000002</v>
      </c>
      <c r="F152" t="s">
        <v>922</v>
      </c>
      <c r="G152" s="8">
        <v>8.9999999999999998E-4</v>
      </c>
      <c r="H152" s="3">
        <f t="shared" si="2"/>
        <v>9.4667087409283646E-4</v>
      </c>
    </row>
    <row r="153" spans="1:8" x14ac:dyDescent="0.3">
      <c r="A153" s="7">
        <v>45604</v>
      </c>
      <c r="B153">
        <v>314.5</v>
      </c>
      <c r="C153">
        <v>318.39999999999998</v>
      </c>
      <c r="D153">
        <v>320.5</v>
      </c>
      <c r="E153">
        <v>314.5</v>
      </c>
      <c r="F153" t="s">
        <v>921</v>
      </c>
      <c r="G153" s="8">
        <v>-8.5000000000000006E-3</v>
      </c>
      <c r="H153" s="3">
        <f t="shared" si="2"/>
        <v>-8.5119798234551958E-3</v>
      </c>
    </row>
    <row r="154" spans="1:8" x14ac:dyDescent="0.3">
      <c r="A154" s="7">
        <v>45607</v>
      </c>
      <c r="B154">
        <v>318</v>
      </c>
      <c r="C154">
        <v>322.39999999999998</v>
      </c>
      <c r="D154">
        <v>327.2</v>
      </c>
      <c r="E154">
        <v>315.5</v>
      </c>
      <c r="F154" t="s">
        <v>920</v>
      </c>
      <c r="G154" s="8">
        <v>1.11E-2</v>
      </c>
      <c r="H154" s="3">
        <f t="shared" si="2"/>
        <v>1.11287758346581E-2</v>
      </c>
    </row>
    <row r="155" spans="1:8" x14ac:dyDescent="0.3">
      <c r="A155" s="7">
        <v>45608</v>
      </c>
      <c r="B155">
        <v>313.3</v>
      </c>
      <c r="C155">
        <v>316.60000000000002</v>
      </c>
      <c r="D155">
        <v>318</v>
      </c>
      <c r="E155">
        <v>312.8</v>
      </c>
      <c r="F155" t="s">
        <v>919</v>
      </c>
      <c r="G155" s="8">
        <v>-1.4800000000000001E-2</v>
      </c>
      <c r="H155" s="3">
        <f t="shared" si="2"/>
        <v>-1.4779874213836419E-2</v>
      </c>
    </row>
    <row r="156" spans="1:8" x14ac:dyDescent="0.3">
      <c r="A156" s="7">
        <v>45609</v>
      </c>
      <c r="B156">
        <v>310.2</v>
      </c>
      <c r="C156">
        <v>308.89999999999998</v>
      </c>
      <c r="D156">
        <v>312.89999999999998</v>
      </c>
      <c r="E156">
        <v>308.3</v>
      </c>
      <c r="F156" t="s">
        <v>918</v>
      </c>
      <c r="G156" s="8">
        <v>-9.9000000000000008E-3</v>
      </c>
      <c r="H156" s="3">
        <f t="shared" si="2"/>
        <v>-9.894669645707066E-3</v>
      </c>
    </row>
    <row r="157" spans="1:8" x14ac:dyDescent="0.3">
      <c r="A157" s="7">
        <v>45610</v>
      </c>
      <c r="B157">
        <v>312.89999999999998</v>
      </c>
      <c r="C157">
        <v>311.3</v>
      </c>
      <c r="D157">
        <v>316.39999999999998</v>
      </c>
      <c r="E157">
        <v>311.3</v>
      </c>
      <c r="F157" t="s">
        <v>917</v>
      </c>
      <c r="G157" s="8">
        <v>8.6999999999999994E-3</v>
      </c>
      <c r="H157" s="3">
        <f t="shared" si="2"/>
        <v>8.7040618955511739E-3</v>
      </c>
    </row>
    <row r="158" spans="1:8" x14ac:dyDescent="0.3">
      <c r="A158" s="7">
        <v>45611</v>
      </c>
      <c r="B158">
        <v>307.3</v>
      </c>
      <c r="C158">
        <v>311.2</v>
      </c>
      <c r="D158">
        <v>312</v>
      </c>
      <c r="E158">
        <v>306.89999999999998</v>
      </c>
      <c r="F158" t="s">
        <v>916</v>
      </c>
      <c r="G158" s="8">
        <v>-1.7899999999999999E-2</v>
      </c>
      <c r="H158" s="3">
        <f t="shared" si="2"/>
        <v>-1.7897091722595015E-2</v>
      </c>
    </row>
    <row r="159" spans="1:8" x14ac:dyDescent="0.3">
      <c r="A159" s="7">
        <v>45614</v>
      </c>
      <c r="B159">
        <v>311</v>
      </c>
      <c r="C159">
        <v>307.60000000000002</v>
      </c>
      <c r="D159">
        <v>311</v>
      </c>
      <c r="E159">
        <v>306.8</v>
      </c>
      <c r="F159" t="s">
        <v>750</v>
      </c>
      <c r="G159" s="8">
        <v>1.2E-2</v>
      </c>
      <c r="H159" s="3">
        <f t="shared" si="2"/>
        <v>1.2040351448096231E-2</v>
      </c>
    </row>
    <row r="160" spans="1:8" x14ac:dyDescent="0.3">
      <c r="A160" s="7">
        <v>45615</v>
      </c>
      <c r="B160">
        <v>308.39999999999998</v>
      </c>
      <c r="C160">
        <v>311</v>
      </c>
      <c r="D160">
        <v>313</v>
      </c>
      <c r="E160">
        <v>307.10000000000002</v>
      </c>
      <c r="F160" t="s">
        <v>915</v>
      </c>
      <c r="G160" s="8">
        <v>-8.3999999999999995E-3</v>
      </c>
      <c r="H160" s="3">
        <f t="shared" si="2"/>
        <v>-8.3601286173634604E-3</v>
      </c>
    </row>
    <row r="161" spans="1:8" x14ac:dyDescent="0.3">
      <c r="A161" s="7">
        <v>45616</v>
      </c>
      <c r="B161">
        <v>308.2</v>
      </c>
      <c r="C161">
        <v>310.7</v>
      </c>
      <c r="D161">
        <v>311.89999999999998</v>
      </c>
      <c r="E161">
        <v>308.2</v>
      </c>
      <c r="F161" t="s">
        <v>914</v>
      </c>
      <c r="G161" s="8">
        <v>-5.9999999999999995E-4</v>
      </c>
      <c r="H161" s="3">
        <f t="shared" si="2"/>
        <v>-6.4850843060959562E-4</v>
      </c>
    </row>
    <row r="162" spans="1:8" x14ac:dyDescent="0.3">
      <c r="A162" s="7">
        <v>45617</v>
      </c>
      <c r="B162">
        <v>313.5</v>
      </c>
      <c r="C162">
        <v>309.5</v>
      </c>
      <c r="D162">
        <v>314.3</v>
      </c>
      <c r="E162">
        <v>306.8</v>
      </c>
      <c r="F162" t="s">
        <v>913</v>
      </c>
      <c r="G162" s="8">
        <v>1.72E-2</v>
      </c>
      <c r="H162" s="3">
        <f t="shared" si="2"/>
        <v>1.7196625567813095E-2</v>
      </c>
    </row>
    <row r="163" spans="1:8" x14ac:dyDescent="0.3">
      <c r="A163" s="7">
        <v>45618</v>
      </c>
      <c r="B163">
        <v>318.39999999999998</v>
      </c>
      <c r="C163">
        <v>314.7</v>
      </c>
      <c r="D163">
        <v>318.39999999999998</v>
      </c>
      <c r="E163">
        <v>312.39999999999998</v>
      </c>
      <c r="F163" t="s">
        <v>912</v>
      </c>
      <c r="G163" s="8">
        <v>1.5599999999999999E-2</v>
      </c>
      <c r="H163" s="3">
        <f t="shared" si="2"/>
        <v>1.562998405103655E-2</v>
      </c>
    </row>
    <row r="164" spans="1:8" x14ac:dyDescent="0.3">
      <c r="A164" s="7">
        <v>45621</v>
      </c>
      <c r="B164">
        <v>310.8</v>
      </c>
      <c r="C164">
        <v>319.89999999999998</v>
      </c>
      <c r="D164">
        <v>320.8</v>
      </c>
      <c r="E164">
        <v>310.8</v>
      </c>
      <c r="F164" t="s">
        <v>911</v>
      </c>
      <c r="G164" s="8">
        <v>-2.3900000000000001E-2</v>
      </c>
      <c r="H164" s="3">
        <f t="shared" si="2"/>
        <v>-2.3869346733668251E-2</v>
      </c>
    </row>
    <row r="165" spans="1:8" x14ac:dyDescent="0.3">
      <c r="A165" s="7">
        <v>45622</v>
      </c>
      <c r="B165">
        <v>316.8</v>
      </c>
      <c r="C165">
        <v>312.2</v>
      </c>
      <c r="D165">
        <v>317.3</v>
      </c>
      <c r="E165">
        <v>311.89999999999998</v>
      </c>
      <c r="F165" t="s">
        <v>910</v>
      </c>
      <c r="G165" s="8">
        <v>1.9300000000000001E-2</v>
      </c>
      <c r="H165" s="3">
        <f t="shared" si="2"/>
        <v>1.9305019305019266E-2</v>
      </c>
    </row>
    <row r="166" spans="1:8" x14ac:dyDescent="0.3">
      <c r="A166" s="7">
        <v>45623</v>
      </c>
      <c r="B166">
        <v>311.8</v>
      </c>
      <c r="C166">
        <v>317</v>
      </c>
      <c r="D166">
        <v>317</v>
      </c>
      <c r="E166">
        <v>310.60000000000002</v>
      </c>
      <c r="F166" t="s">
        <v>909</v>
      </c>
      <c r="G166" s="8">
        <v>-1.5800000000000002E-2</v>
      </c>
      <c r="H166" s="3">
        <f t="shared" si="2"/>
        <v>-1.5782828282828287E-2</v>
      </c>
    </row>
    <row r="167" spans="1:8" x14ac:dyDescent="0.3">
      <c r="A167" s="7">
        <v>45624</v>
      </c>
      <c r="B167">
        <v>313</v>
      </c>
      <c r="C167">
        <v>314.3</v>
      </c>
      <c r="D167">
        <v>314.3</v>
      </c>
      <c r="E167">
        <v>311.8</v>
      </c>
      <c r="F167" t="s">
        <v>908</v>
      </c>
      <c r="G167" s="8">
        <v>3.8E-3</v>
      </c>
      <c r="H167" s="3">
        <f t="shared" si="2"/>
        <v>3.8486209108401503E-3</v>
      </c>
    </row>
    <row r="168" spans="1:8" x14ac:dyDescent="0.3">
      <c r="A168" s="7">
        <v>45625</v>
      </c>
      <c r="B168">
        <v>322.2</v>
      </c>
      <c r="C168">
        <v>313.39999999999998</v>
      </c>
      <c r="D168">
        <v>325.8</v>
      </c>
      <c r="E168">
        <v>311.39999999999998</v>
      </c>
      <c r="F168" t="s">
        <v>907</v>
      </c>
      <c r="G168" s="8">
        <v>2.9399999999999999E-2</v>
      </c>
      <c r="H168" s="3">
        <f t="shared" si="2"/>
        <v>2.9392971246006372E-2</v>
      </c>
    </row>
    <row r="169" spans="1:8" x14ac:dyDescent="0.3">
      <c r="A169" s="7">
        <v>45628</v>
      </c>
      <c r="B169">
        <v>320.7</v>
      </c>
      <c r="C169">
        <v>325.7</v>
      </c>
      <c r="D169">
        <v>325.7</v>
      </c>
      <c r="E169">
        <v>319.2</v>
      </c>
      <c r="F169" t="s">
        <v>906</v>
      </c>
      <c r="G169" s="8">
        <v>-4.7000000000000002E-3</v>
      </c>
      <c r="H169" s="3">
        <f t="shared" si="2"/>
        <v>-4.6554934823090921E-3</v>
      </c>
    </row>
    <row r="170" spans="1:8" x14ac:dyDescent="0.3">
      <c r="A170" s="7">
        <v>45629</v>
      </c>
      <c r="B170">
        <v>324.10000000000002</v>
      </c>
      <c r="C170">
        <v>321.5</v>
      </c>
      <c r="D170">
        <v>326.2</v>
      </c>
      <c r="E170">
        <v>321.39999999999998</v>
      </c>
      <c r="F170" t="s">
        <v>905</v>
      </c>
      <c r="G170" s="8">
        <v>1.06E-2</v>
      </c>
      <c r="H170" s="3">
        <f t="shared" si="2"/>
        <v>1.0601808543810431E-2</v>
      </c>
    </row>
    <row r="171" spans="1:8" x14ac:dyDescent="0.3">
      <c r="A171" s="7">
        <v>45630</v>
      </c>
      <c r="B171">
        <v>327.60000000000002</v>
      </c>
      <c r="C171">
        <v>325</v>
      </c>
      <c r="D171">
        <v>329.5</v>
      </c>
      <c r="E171">
        <v>323.7</v>
      </c>
      <c r="F171" t="s">
        <v>904</v>
      </c>
      <c r="G171" s="8">
        <v>1.0800000000000001E-2</v>
      </c>
      <c r="H171" s="3">
        <f t="shared" si="2"/>
        <v>1.0799136069114423E-2</v>
      </c>
    </row>
    <row r="172" spans="1:8" x14ac:dyDescent="0.3">
      <c r="A172" s="7">
        <v>45631</v>
      </c>
      <c r="B172">
        <v>325.2</v>
      </c>
      <c r="C172">
        <v>326.60000000000002</v>
      </c>
      <c r="D172">
        <v>332.6</v>
      </c>
      <c r="E172">
        <v>322.10000000000002</v>
      </c>
      <c r="F172" t="s">
        <v>903</v>
      </c>
      <c r="G172" s="8">
        <v>-7.3000000000000001E-3</v>
      </c>
      <c r="H172" s="3">
        <f t="shared" si="2"/>
        <v>-7.326007326007411E-3</v>
      </c>
    </row>
    <row r="173" spans="1:8" x14ac:dyDescent="0.3">
      <c r="A173" s="7">
        <v>45632</v>
      </c>
      <c r="B173">
        <v>323.2</v>
      </c>
      <c r="C173">
        <v>324</v>
      </c>
      <c r="D173">
        <v>324.7</v>
      </c>
      <c r="E173">
        <v>321.3</v>
      </c>
      <c r="F173" t="s">
        <v>902</v>
      </c>
      <c r="G173" s="8">
        <v>-6.1999999999999998E-3</v>
      </c>
      <c r="H173" s="3">
        <f t="shared" si="2"/>
        <v>-6.1500615006150339E-3</v>
      </c>
    </row>
    <row r="174" spans="1:8" x14ac:dyDescent="0.3">
      <c r="A174" s="7">
        <v>45635</v>
      </c>
      <c r="B174">
        <v>318.7</v>
      </c>
      <c r="C174">
        <v>322</v>
      </c>
      <c r="D174">
        <v>324.7</v>
      </c>
      <c r="E174">
        <v>317.89999999999998</v>
      </c>
      <c r="F174" t="s">
        <v>901</v>
      </c>
      <c r="G174" s="8">
        <v>-1.3899999999999999E-2</v>
      </c>
      <c r="H174" s="3">
        <f t="shared" si="2"/>
        <v>-1.3923267326732658E-2</v>
      </c>
    </row>
    <row r="175" spans="1:8" x14ac:dyDescent="0.3">
      <c r="A175" s="7">
        <v>45636</v>
      </c>
      <c r="B175">
        <v>319.5</v>
      </c>
      <c r="C175">
        <v>319</v>
      </c>
      <c r="D175">
        <v>321.3</v>
      </c>
      <c r="E175">
        <v>317.5</v>
      </c>
      <c r="F175" t="s">
        <v>900</v>
      </c>
      <c r="G175" s="8">
        <v>2.5000000000000001E-3</v>
      </c>
      <c r="H175" s="3">
        <f t="shared" si="2"/>
        <v>2.5101976780672608E-3</v>
      </c>
    </row>
    <row r="176" spans="1:8" x14ac:dyDescent="0.3">
      <c r="A176" s="7">
        <v>45637</v>
      </c>
      <c r="B176">
        <v>322.89999999999998</v>
      </c>
      <c r="C176">
        <v>319.89999999999998</v>
      </c>
      <c r="D176">
        <v>323</v>
      </c>
      <c r="E176">
        <v>317.8</v>
      </c>
      <c r="F176" t="s">
        <v>899</v>
      </c>
      <c r="G176" s="8">
        <v>1.06E-2</v>
      </c>
      <c r="H176" s="3">
        <f t="shared" si="2"/>
        <v>1.0641627543035881E-2</v>
      </c>
    </row>
    <row r="177" spans="1:8" x14ac:dyDescent="0.3">
      <c r="A177" s="7">
        <v>45638</v>
      </c>
      <c r="B177">
        <v>325.39999999999998</v>
      </c>
      <c r="C177">
        <v>322.5</v>
      </c>
      <c r="D177">
        <v>327.9</v>
      </c>
      <c r="E177">
        <v>322.10000000000002</v>
      </c>
      <c r="F177" t="s">
        <v>898</v>
      </c>
      <c r="G177" s="8">
        <v>7.7000000000000002E-3</v>
      </c>
      <c r="H177" s="3">
        <f t="shared" si="2"/>
        <v>7.7423350882626085E-3</v>
      </c>
    </row>
    <row r="178" spans="1:8" x14ac:dyDescent="0.3">
      <c r="A178" s="7">
        <v>45639</v>
      </c>
      <c r="B178">
        <v>322.89999999999998</v>
      </c>
      <c r="C178">
        <v>325.39999999999998</v>
      </c>
      <c r="D178">
        <v>326.39999999999998</v>
      </c>
      <c r="E178">
        <v>322.60000000000002</v>
      </c>
      <c r="F178" t="s">
        <v>897</v>
      </c>
      <c r="G178" s="8">
        <v>-7.7000000000000002E-3</v>
      </c>
      <c r="H178" s="3">
        <f t="shared" si="2"/>
        <v>-7.6828518746158148E-3</v>
      </c>
    </row>
    <row r="179" spans="1:8" x14ac:dyDescent="0.3">
      <c r="A179" s="7">
        <v>45642</v>
      </c>
      <c r="B179">
        <v>326.5</v>
      </c>
      <c r="C179">
        <v>323.2</v>
      </c>
      <c r="D179">
        <v>327.10000000000002</v>
      </c>
      <c r="E179">
        <v>323</v>
      </c>
      <c r="F179" t="s">
        <v>896</v>
      </c>
      <c r="G179" s="8">
        <v>1.11E-2</v>
      </c>
      <c r="H179" s="3">
        <f t="shared" si="2"/>
        <v>1.1148962527098183E-2</v>
      </c>
    </row>
    <row r="180" spans="1:8" x14ac:dyDescent="0.3">
      <c r="A180" s="7">
        <v>45643</v>
      </c>
      <c r="B180">
        <v>324.39999999999998</v>
      </c>
      <c r="C180">
        <v>327.5</v>
      </c>
      <c r="D180">
        <v>330.1</v>
      </c>
      <c r="E180">
        <v>322.39999999999998</v>
      </c>
      <c r="F180" t="s">
        <v>895</v>
      </c>
      <c r="G180" s="8">
        <v>-6.4000000000000003E-3</v>
      </c>
      <c r="H180" s="3">
        <f t="shared" si="2"/>
        <v>-6.4318529862175122E-3</v>
      </c>
    </row>
    <row r="181" spans="1:8" x14ac:dyDescent="0.3">
      <c r="A181" s="7">
        <v>45644</v>
      </c>
      <c r="B181">
        <v>323.10000000000002</v>
      </c>
      <c r="C181">
        <v>323.60000000000002</v>
      </c>
      <c r="D181">
        <v>325.5</v>
      </c>
      <c r="E181">
        <v>323.10000000000002</v>
      </c>
      <c r="F181" t="s">
        <v>894</v>
      </c>
      <c r="G181" s="8">
        <v>-4.0000000000000001E-3</v>
      </c>
      <c r="H181" s="3">
        <f t="shared" si="2"/>
        <v>-4.0073982737359737E-3</v>
      </c>
    </row>
    <row r="182" spans="1:8" x14ac:dyDescent="0.3">
      <c r="A182" s="7">
        <v>45645</v>
      </c>
      <c r="B182">
        <v>323.3</v>
      </c>
      <c r="C182">
        <v>323</v>
      </c>
      <c r="D182">
        <v>328.7</v>
      </c>
      <c r="E182">
        <v>322.2</v>
      </c>
      <c r="F182" t="s">
        <v>893</v>
      </c>
      <c r="G182" s="8">
        <v>5.9999999999999995E-4</v>
      </c>
      <c r="H182" s="3">
        <f t="shared" si="2"/>
        <v>6.1900340451859215E-4</v>
      </c>
    </row>
    <row r="183" spans="1:8" x14ac:dyDescent="0.3">
      <c r="A183" s="7">
        <v>45646</v>
      </c>
      <c r="B183">
        <v>322.60000000000002</v>
      </c>
      <c r="C183">
        <v>321.5</v>
      </c>
      <c r="D183">
        <v>322.60000000000002</v>
      </c>
      <c r="E183">
        <v>317.3</v>
      </c>
      <c r="F183" t="s">
        <v>892</v>
      </c>
      <c r="G183" s="8">
        <v>-2.2000000000000001E-3</v>
      </c>
      <c r="H183" s="3">
        <f t="shared" si="2"/>
        <v>-2.1651716671821086E-3</v>
      </c>
    </row>
    <row r="184" spans="1:8" x14ac:dyDescent="0.3">
      <c r="A184" s="7">
        <v>45649</v>
      </c>
      <c r="B184">
        <v>317.8</v>
      </c>
      <c r="C184">
        <v>322</v>
      </c>
      <c r="D184">
        <v>322.5</v>
      </c>
      <c r="E184">
        <v>317.8</v>
      </c>
      <c r="F184" t="s">
        <v>891</v>
      </c>
      <c r="G184" s="8">
        <v>-1.49E-2</v>
      </c>
      <c r="H184" s="3">
        <f t="shared" si="2"/>
        <v>-1.4879107253564783E-2</v>
      </c>
    </row>
    <row r="185" spans="1:8" x14ac:dyDescent="0.3">
      <c r="A185" s="7">
        <v>45653</v>
      </c>
      <c r="B185">
        <v>321.5</v>
      </c>
      <c r="C185">
        <v>320.39999999999998</v>
      </c>
      <c r="D185">
        <v>321.5</v>
      </c>
      <c r="E185">
        <v>317.2</v>
      </c>
      <c r="F185" t="s">
        <v>890</v>
      </c>
      <c r="G185" s="8">
        <v>1.1599999999999999E-2</v>
      </c>
      <c r="H185" s="3">
        <f t="shared" si="2"/>
        <v>1.1642542479546769E-2</v>
      </c>
    </row>
    <row r="186" spans="1:8" x14ac:dyDescent="0.3">
      <c r="A186" s="7">
        <v>45656</v>
      </c>
      <c r="B186">
        <v>322</v>
      </c>
      <c r="C186">
        <v>321</v>
      </c>
      <c r="D186">
        <v>322</v>
      </c>
      <c r="E186">
        <v>319.2</v>
      </c>
      <c r="F186" t="s">
        <v>889</v>
      </c>
      <c r="G186" s="8">
        <v>1.6000000000000001E-3</v>
      </c>
      <c r="H186" s="3">
        <f t="shared" si="2"/>
        <v>1.5552099533437946E-3</v>
      </c>
    </row>
    <row r="187" spans="1:8" x14ac:dyDescent="0.3">
      <c r="A187" s="7">
        <v>45659</v>
      </c>
      <c r="B187">
        <v>321.7</v>
      </c>
      <c r="C187">
        <v>321.60000000000002</v>
      </c>
      <c r="D187">
        <v>322.10000000000002</v>
      </c>
      <c r="E187">
        <v>317.3</v>
      </c>
      <c r="F187" t="s">
        <v>888</v>
      </c>
      <c r="G187" s="8">
        <v>-8.9999999999999998E-4</v>
      </c>
      <c r="H187" s="3">
        <f t="shared" si="2"/>
        <v>-9.316770186336143E-4</v>
      </c>
    </row>
    <row r="188" spans="1:8" x14ac:dyDescent="0.3">
      <c r="A188" s="7">
        <v>45660</v>
      </c>
      <c r="B188">
        <v>317.60000000000002</v>
      </c>
      <c r="C188">
        <v>321.5</v>
      </c>
      <c r="D188">
        <v>321.5</v>
      </c>
      <c r="E188">
        <v>315.3</v>
      </c>
      <c r="F188" t="s">
        <v>887</v>
      </c>
      <c r="G188" s="8">
        <v>-1.2699999999999999E-2</v>
      </c>
      <c r="H188" s="3">
        <f t="shared" si="2"/>
        <v>-1.2744793285669798E-2</v>
      </c>
    </row>
    <row r="189" spans="1:8" x14ac:dyDescent="0.3">
      <c r="A189" s="7">
        <v>45663</v>
      </c>
      <c r="B189">
        <v>317.8</v>
      </c>
      <c r="C189">
        <v>316.3</v>
      </c>
      <c r="D189">
        <v>318</v>
      </c>
      <c r="E189">
        <v>308.7</v>
      </c>
      <c r="F189" t="s">
        <v>886</v>
      </c>
      <c r="G189" s="8">
        <v>5.9999999999999995E-4</v>
      </c>
      <c r="H189" s="3">
        <f t="shared" si="2"/>
        <v>6.2972292191432189E-4</v>
      </c>
    </row>
    <row r="190" spans="1:8" x14ac:dyDescent="0.3">
      <c r="A190" s="7">
        <v>45664</v>
      </c>
      <c r="B190">
        <v>318.89999999999998</v>
      </c>
      <c r="C190">
        <v>319.5</v>
      </c>
      <c r="D190">
        <v>321.3</v>
      </c>
      <c r="E190">
        <v>316.8</v>
      </c>
      <c r="F190" t="s">
        <v>885</v>
      </c>
      <c r="G190" s="8">
        <v>3.5000000000000001E-3</v>
      </c>
      <c r="H190" s="3">
        <f t="shared" si="2"/>
        <v>3.4612964128382107E-3</v>
      </c>
    </row>
    <row r="191" spans="1:8" x14ac:dyDescent="0.3">
      <c r="A191" s="7">
        <v>45665</v>
      </c>
      <c r="B191">
        <v>324.3</v>
      </c>
      <c r="C191">
        <v>319.2</v>
      </c>
      <c r="D191">
        <v>325.60000000000002</v>
      </c>
      <c r="E191">
        <v>318.8</v>
      </c>
      <c r="F191" t="s">
        <v>884</v>
      </c>
      <c r="G191" s="8">
        <v>1.6899999999999998E-2</v>
      </c>
      <c r="H191" s="3">
        <f t="shared" si="2"/>
        <v>1.6933207902163794E-2</v>
      </c>
    </row>
    <row r="192" spans="1:8" x14ac:dyDescent="0.3">
      <c r="A192" s="7">
        <v>45666</v>
      </c>
      <c r="B192">
        <v>321.89999999999998</v>
      </c>
      <c r="C192">
        <v>324.7</v>
      </c>
      <c r="D192">
        <v>326.10000000000002</v>
      </c>
      <c r="E192">
        <v>321.2</v>
      </c>
      <c r="F192" t="s">
        <v>883</v>
      </c>
      <c r="G192" s="8">
        <v>-7.4000000000000003E-3</v>
      </c>
      <c r="H192" s="3">
        <f t="shared" si="2"/>
        <v>-7.4005550416281762E-3</v>
      </c>
    </row>
    <row r="193" spans="1:8" x14ac:dyDescent="0.3">
      <c r="A193" s="7">
        <v>45667</v>
      </c>
      <c r="B193">
        <v>324</v>
      </c>
      <c r="C193">
        <v>321.89999999999998</v>
      </c>
      <c r="D193">
        <v>325.89999999999998</v>
      </c>
      <c r="E193">
        <v>321.5</v>
      </c>
      <c r="F193" t="s">
        <v>882</v>
      </c>
      <c r="G193" s="8">
        <v>6.4999999999999997E-3</v>
      </c>
      <c r="H193" s="3">
        <f t="shared" si="2"/>
        <v>6.5237651444549627E-3</v>
      </c>
    </row>
    <row r="194" spans="1:8" x14ac:dyDescent="0.3">
      <c r="A194" s="7">
        <v>45670</v>
      </c>
      <c r="B194">
        <v>324.10000000000002</v>
      </c>
      <c r="C194">
        <v>324.3</v>
      </c>
      <c r="D194">
        <v>324.3</v>
      </c>
      <c r="E194">
        <v>316.60000000000002</v>
      </c>
      <c r="F194" t="s">
        <v>881</v>
      </c>
      <c r="G194" s="8">
        <v>2.9999999999999997E-4</v>
      </c>
      <c r="H194" s="3">
        <f t="shared" si="2"/>
        <v>3.0864197530866555E-4</v>
      </c>
    </row>
    <row r="195" spans="1:8" x14ac:dyDescent="0.3">
      <c r="A195" s="7">
        <v>45671</v>
      </c>
      <c r="B195">
        <v>324.2</v>
      </c>
      <c r="C195">
        <v>323.39999999999998</v>
      </c>
      <c r="D195">
        <v>325.89999999999998</v>
      </c>
      <c r="E195">
        <v>322</v>
      </c>
      <c r="F195" t="s">
        <v>880</v>
      </c>
      <c r="G195" s="8">
        <v>2.9999999999999997E-4</v>
      </c>
      <c r="H195" s="3">
        <f t="shared" si="2"/>
        <v>3.0854674483182798E-4</v>
      </c>
    </row>
    <row r="196" spans="1:8" x14ac:dyDescent="0.3">
      <c r="A196" s="7">
        <v>45672</v>
      </c>
      <c r="B196">
        <v>323</v>
      </c>
      <c r="C196">
        <v>323.8</v>
      </c>
      <c r="D196">
        <v>324.10000000000002</v>
      </c>
      <c r="E196">
        <v>318.5</v>
      </c>
      <c r="F196" t="s">
        <v>879</v>
      </c>
      <c r="G196" s="8">
        <v>-3.7000000000000002E-3</v>
      </c>
      <c r="H196" s="3">
        <f t="shared" ref="H196:H250" si="3">(B196/B195)-1</f>
        <v>-3.7014188772361845E-3</v>
      </c>
    </row>
    <row r="197" spans="1:8" x14ac:dyDescent="0.3">
      <c r="A197" s="7">
        <v>45673</v>
      </c>
      <c r="B197">
        <v>328.7</v>
      </c>
      <c r="C197">
        <v>323.5</v>
      </c>
      <c r="D197">
        <v>331.5</v>
      </c>
      <c r="E197">
        <v>322</v>
      </c>
      <c r="F197" t="s">
        <v>878</v>
      </c>
      <c r="G197" s="8">
        <v>1.7600000000000001E-2</v>
      </c>
      <c r="H197" s="3">
        <f t="shared" si="3"/>
        <v>1.7647058823529349E-2</v>
      </c>
    </row>
    <row r="198" spans="1:8" x14ac:dyDescent="0.3">
      <c r="A198" s="7">
        <v>45674</v>
      </c>
      <c r="B198">
        <v>335</v>
      </c>
      <c r="C198">
        <v>329.7</v>
      </c>
      <c r="D198">
        <v>335</v>
      </c>
      <c r="E198">
        <v>328.2</v>
      </c>
      <c r="F198" t="s">
        <v>877</v>
      </c>
      <c r="G198" s="8">
        <v>1.9199999999999998E-2</v>
      </c>
      <c r="H198" s="3">
        <f t="shared" si="3"/>
        <v>1.9166413142683414E-2</v>
      </c>
    </row>
    <row r="199" spans="1:8" x14ac:dyDescent="0.3">
      <c r="A199" s="7">
        <v>45677</v>
      </c>
      <c r="B199">
        <v>331.9</v>
      </c>
      <c r="C199">
        <v>334.6</v>
      </c>
      <c r="D199">
        <v>336.6</v>
      </c>
      <c r="E199">
        <v>331.9</v>
      </c>
      <c r="F199" t="s">
        <v>876</v>
      </c>
      <c r="G199" s="8">
        <v>-9.2999999999999992E-3</v>
      </c>
      <c r="H199" s="3">
        <f t="shared" si="3"/>
        <v>-9.2537313432836665E-3</v>
      </c>
    </row>
    <row r="200" spans="1:8" x14ac:dyDescent="0.3">
      <c r="A200" s="7">
        <v>45678</v>
      </c>
      <c r="B200">
        <v>334.8</v>
      </c>
      <c r="C200">
        <v>332.5</v>
      </c>
      <c r="D200">
        <v>335.1</v>
      </c>
      <c r="E200">
        <v>331.7</v>
      </c>
      <c r="F200" t="s">
        <v>875</v>
      </c>
      <c r="G200" s="8">
        <v>8.6999999999999994E-3</v>
      </c>
      <c r="H200" s="3">
        <f t="shared" si="3"/>
        <v>8.737571557698276E-3</v>
      </c>
    </row>
    <row r="201" spans="1:8" x14ac:dyDescent="0.3">
      <c r="A201" s="7">
        <v>45679</v>
      </c>
      <c r="B201">
        <v>342</v>
      </c>
      <c r="C201">
        <v>336.1</v>
      </c>
      <c r="D201">
        <v>342.9</v>
      </c>
      <c r="E201">
        <v>335</v>
      </c>
      <c r="F201" t="s">
        <v>874</v>
      </c>
      <c r="G201" s="8">
        <v>2.1499999999999998E-2</v>
      </c>
      <c r="H201" s="3">
        <f t="shared" si="3"/>
        <v>2.1505376344086002E-2</v>
      </c>
    </row>
    <row r="202" spans="1:8" x14ac:dyDescent="0.3">
      <c r="A202" s="7">
        <v>45680</v>
      </c>
      <c r="B202">
        <v>349.9</v>
      </c>
      <c r="C202">
        <v>343.2</v>
      </c>
      <c r="D202">
        <v>350.2</v>
      </c>
      <c r="E202">
        <v>341.1</v>
      </c>
      <c r="F202" t="s">
        <v>873</v>
      </c>
      <c r="G202" s="8">
        <v>2.3099999999999999E-2</v>
      </c>
      <c r="H202" s="3">
        <f t="shared" si="3"/>
        <v>2.3099415204678397E-2</v>
      </c>
    </row>
    <row r="203" spans="1:8" x14ac:dyDescent="0.3">
      <c r="A203" s="7">
        <v>45681</v>
      </c>
      <c r="B203">
        <v>327.10000000000002</v>
      </c>
      <c r="C203">
        <v>335</v>
      </c>
      <c r="D203">
        <v>340.2</v>
      </c>
      <c r="E203">
        <v>326.39999999999998</v>
      </c>
      <c r="F203" t="s">
        <v>872</v>
      </c>
      <c r="G203" s="8">
        <v>-6.5199999999999994E-2</v>
      </c>
      <c r="H203" s="3">
        <f t="shared" si="3"/>
        <v>-6.5161474707059019E-2</v>
      </c>
    </row>
    <row r="204" spans="1:8" x14ac:dyDescent="0.3">
      <c r="A204" s="7">
        <v>45684</v>
      </c>
      <c r="B204">
        <v>325.2</v>
      </c>
      <c r="C204">
        <v>322</v>
      </c>
      <c r="D204">
        <v>327.7</v>
      </c>
      <c r="E204">
        <v>320.2</v>
      </c>
      <c r="F204" t="s">
        <v>871</v>
      </c>
      <c r="G204" s="8">
        <v>-5.7999999999999996E-3</v>
      </c>
      <c r="H204" s="3">
        <f t="shared" si="3"/>
        <v>-5.8086212167534068E-3</v>
      </c>
    </row>
    <row r="205" spans="1:8" x14ac:dyDescent="0.3">
      <c r="A205" s="7">
        <v>45685</v>
      </c>
      <c r="B205">
        <v>332.1</v>
      </c>
      <c r="C205">
        <v>323.8</v>
      </c>
      <c r="D205">
        <v>334.8</v>
      </c>
      <c r="E205">
        <v>323.3</v>
      </c>
      <c r="F205" t="s">
        <v>870</v>
      </c>
      <c r="G205" s="8">
        <v>2.12E-2</v>
      </c>
      <c r="H205" s="3">
        <f t="shared" si="3"/>
        <v>2.1217712177121983E-2</v>
      </c>
    </row>
    <row r="206" spans="1:8" x14ac:dyDescent="0.3">
      <c r="A206" s="7">
        <v>45686</v>
      </c>
      <c r="B206">
        <v>327.9</v>
      </c>
      <c r="C206">
        <v>334</v>
      </c>
      <c r="D206">
        <v>336.4</v>
      </c>
      <c r="E206">
        <v>327.8</v>
      </c>
      <c r="F206" t="s">
        <v>869</v>
      </c>
      <c r="G206" s="8">
        <v>-1.26E-2</v>
      </c>
      <c r="H206" s="3">
        <f t="shared" si="3"/>
        <v>-1.2646793134598155E-2</v>
      </c>
    </row>
    <row r="207" spans="1:8" x14ac:dyDescent="0.3">
      <c r="A207" s="7">
        <v>45687</v>
      </c>
      <c r="B207">
        <v>327.5</v>
      </c>
      <c r="C207">
        <v>328.9</v>
      </c>
      <c r="D207">
        <v>333.2</v>
      </c>
      <c r="E207">
        <v>325.39999999999998</v>
      </c>
      <c r="F207" t="s">
        <v>868</v>
      </c>
      <c r="G207" s="8">
        <v>-1.1999999999999999E-3</v>
      </c>
      <c r="H207" s="3">
        <f t="shared" si="3"/>
        <v>-1.2198841110093728E-3</v>
      </c>
    </row>
    <row r="208" spans="1:8" x14ac:dyDescent="0.3">
      <c r="A208" s="7">
        <v>45688</v>
      </c>
      <c r="B208">
        <v>330.7</v>
      </c>
      <c r="C208">
        <v>328.5</v>
      </c>
      <c r="D208">
        <v>333.6</v>
      </c>
      <c r="E208">
        <v>327.5</v>
      </c>
      <c r="F208" t="s">
        <v>867</v>
      </c>
      <c r="G208" s="8">
        <v>9.7999999999999997E-3</v>
      </c>
      <c r="H208" s="3">
        <f t="shared" si="3"/>
        <v>9.7709923664122122E-3</v>
      </c>
    </row>
    <row r="209" spans="1:8" x14ac:dyDescent="0.3">
      <c r="A209" s="7">
        <v>45691</v>
      </c>
      <c r="B209">
        <v>333.3</v>
      </c>
      <c r="C209">
        <v>327.8</v>
      </c>
      <c r="D209">
        <v>334.1</v>
      </c>
      <c r="E209">
        <v>326.60000000000002</v>
      </c>
      <c r="F209" t="s">
        <v>866</v>
      </c>
      <c r="G209" s="8">
        <v>7.9000000000000008E-3</v>
      </c>
      <c r="H209" s="3">
        <f t="shared" si="3"/>
        <v>7.8621106743272939E-3</v>
      </c>
    </row>
    <row r="210" spans="1:8" x14ac:dyDescent="0.3">
      <c r="A210" s="7">
        <v>45692</v>
      </c>
      <c r="B210">
        <v>328.8</v>
      </c>
      <c r="C210">
        <v>334.6</v>
      </c>
      <c r="D210">
        <v>335.5</v>
      </c>
      <c r="E210">
        <v>328.8</v>
      </c>
      <c r="F210" t="s">
        <v>865</v>
      </c>
      <c r="G210" s="8">
        <v>-1.35E-2</v>
      </c>
      <c r="H210" s="3">
        <f t="shared" si="3"/>
        <v>-1.3501350135013523E-2</v>
      </c>
    </row>
    <row r="211" spans="1:8" x14ac:dyDescent="0.3">
      <c r="A211" s="7">
        <v>45693</v>
      </c>
      <c r="B211">
        <v>330.4</v>
      </c>
      <c r="C211">
        <v>328.5</v>
      </c>
      <c r="D211">
        <v>331.6</v>
      </c>
      <c r="E211">
        <v>325.2</v>
      </c>
      <c r="F211" t="s">
        <v>864</v>
      </c>
      <c r="G211" s="8">
        <v>4.8999999999999998E-3</v>
      </c>
      <c r="H211" s="3">
        <f t="shared" si="3"/>
        <v>4.8661800486617945E-3</v>
      </c>
    </row>
    <row r="212" spans="1:8" x14ac:dyDescent="0.3">
      <c r="A212" s="7">
        <v>45694</v>
      </c>
      <c r="B212">
        <v>327.8</v>
      </c>
      <c r="C212">
        <v>330.5</v>
      </c>
      <c r="D212">
        <v>331.7</v>
      </c>
      <c r="E212">
        <v>325.2</v>
      </c>
      <c r="F212" t="s">
        <v>863</v>
      </c>
      <c r="G212" s="8">
        <v>-7.9000000000000008E-3</v>
      </c>
      <c r="H212" s="3">
        <f t="shared" si="3"/>
        <v>-7.8692493946730391E-3</v>
      </c>
    </row>
    <row r="213" spans="1:8" x14ac:dyDescent="0.3">
      <c r="A213" s="7">
        <v>45695</v>
      </c>
      <c r="B213">
        <v>326.89999999999998</v>
      </c>
      <c r="C213">
        <v>327.9</v>
      </c>
      <c r="D213">
        <v>330.5</v>
      </c>
      <c r="E213">
        <v>326.5</v>
      </c>
      <c r="F213" t="s">
        <v>862</v>
      </c>
      <c r="G213" s="8">
        <v>-2.7000000000000001E-3</v>
      </c>
      <c r="H213" s="3">
        <f t="shared" si="3"/>
        <v>-2.7455765710799884E-3</v>
      </c>
    </row>
    <row r="214" spans="1:8" x14ac:dyDescent="0.3">
      <c r="A214" s="7">
        <v>45698</v>
      </c>
      <c r="B214">
        <v>330.4</v>
      </c>
      <c r="C214">
        <v>326.2</v>
      </c>
      <c r="D214">
        <v>332.1</v>
      </c>
      <c r="E214">
        <v>326</v>
      </c>
      <c r="F214" t="s">
        <v>861</v>
      </c>
      <c r="G214" s="8">
        <v>1.0699999999999999E-2</v>
      </c>
      <c r="H214" s="3">
        <f t="shared" si="3"/>
        <v>1.0706638115631772E-2</v>
      </c>
    </row>
    <row r="215" spans="1:8" x14ac:dyDescent="0.3">
      <c r="A215" s="7">
        <v>45699</v>
      </c>
      <c r="B215">
        <v>330.8</v>
      </c>
      <c r="C215">
        <v>331.5</v>
      </c>
      <c r="D215">
        <v>332.7</v>
      </c>
      <c r="E215">
        <v>328.8</v>
      </c>
      <c r="F215" t="s">
        <v>860</v>
      </c>
      <c r="G215" s="8">
        <v>1.1999999999999999E-3</v>
      </c>
      <c r="H215" s="3">
        <f t="shared" si="3"/>
        <v>1.210653753026758E-3</v>
      </c>
    </row>
    <row r="216" spans="1:8" x14ac:dyDescent="0.3">
      <c r="A216" s="7">
        <v>45700</v>
      </c>
      <c r="B216">
        <v>334.2</v>
      </c>
      <c r="C216">
        <v>331.7</v>
      </c>
      <c r="D216">
        <v>334.2</v>
      </c>
      <c r="E216">
        <v>329.3</v>
      </c>
      <c r="F216" t="s">
        <v>859</v>
      </c>
      <c r="G216" s="8">
        <v>1.03E-2</v>
      </c>
      <c r="H216" s="3">
        <f t="shared" si="3"/>
        <v>1.0278113663845234E-2</v>
      </c>
    </row>
    <row r="217" spans="1:8" x14ac:dyDescent="0.3">
      <c r="A217" s="7">
        <v>45701</v>
      </c>
      <c r="B217">
        <v>335</v>
      </c>
      <c r="C217">
        <v>324.60000000000002</v>
      </c>
      <c r="D217">
        <v>338.7</v>
      </c>
      <c r="E217">
        <v>324.60000000000002</v>
      </c>
      <c r="F217" t="s">
        <v>858</v>
      </c>
      <c r="G217" s="8">
        <v>2.3999999999999998E-3</v>
      </c>
      <c r="H217" s="3">
        <f t="shared" si="3"/>
        <v>2.3937761819270431E-3</v>
      </c>
    </row>
    <row r="218" spans="1:8" x14ac:dyDescent="0.3">
      <c r="A218" s="7">
        <v>45702</v>
      </c>
      <c r="B218">
        <v>334</v>
      </c>
      <c r="C218">
        <v>332.7</v>
      </c>
      <c r="D218">
        <v>335.1</v>
      </c>
      <c r="E218">
        <v>329.6</v>
      </c>
      <c r="F218" t="s">
        <v>857</v>
      </c>
      <c r="G218" s="8">
        <v>-3.0000000000000001E-3</v>
      </c>
      <c r="H218" s="3">
        <f t="shared" si="3"/>
        <v>-2.9850746268657025E-3</v>
      </c>
    </row>
    <row r="219" spans="1:8" x14ac:dyDescent="0.3">
      <c r="A219" s="7">
        <v>45705</v>
      </c>
      <c r="B219">
        <v>342</v>
      </c>
      <c r="C219">
        <v>336.9</v>
      </c>
      <c r="D219">
        <v>342.3</v>
      </c>
      <c r="E219">
        <v>336.2</v>
      </c>
      <c r="F219" t="s">
        <v>856</v>
      </c>
      <c r="G219" s="8">
        <v>2.4E-2</v>
      </c>
      <c r="H219" s="3">
        <f t="shared" si="3"/>
        <v>2.39520958083832E-2</v>
      </c>
    </row>
    <row r="220" spans="1:8" x14ac:dyDescent="0.3">
      <c r="A220" s="7">
        <v>45706</v>
      </c>
      <c r="B220">
        <v>346.2</v>
      </c>
      <c r="C220">
        <v>345</v>
      </c>
      <c r="D220">
        <v>348.3</v>
      </c>
      <c r="E220">
        <v>342.4</v>
      </c>
      <c r="F220" t="s">
        <v>855</v>
      </c>
      <c r="G220" s="8">
        <v>1.23E-2</v>
      </c>
      <c r="H220" s="3">
        <f t="shared" si="3"/>
        <v>1.2280701754386003E-2</v>
      </c>
    </row>
    <row r="221" spans="1:8" x14ac:dyDescent="0.3">
      <c r="A221" s="7">
        <v>45707</v>
      </c>
      <c r="B221">
        <v>328.9</v>
      </c>
      <c r="C221">
        <v>331.5</v>
      </c>
      <c r="D221">
        <v>342.9</v>
      </c>
      <c r="E221">
        <v>322.7</v>
      </c>
      <c r="F221" t="s">
        <v>854</v>
      </c>
      <c r="G221" s="8">
        <v>-0.05</v>
      </c>
      <c r="H221" s="3">
        <f t="shared" si="3"/>
        <v>-4.9971114962449437E-2</v>
      </c>
    </row>
    <row r="222" spans="1:8" x14ac:dyDescent="0.3">
      <c r="A222" s="7">
        <v>45708</v>
      </c>
      <c r="B222">
        <v>313.60000000000002</v>
      </c>
      <c r="C222">
        <v>330</v>
      </c>
      <c r="D222">
        <v>330</v>
      </c>
      <c r="E222">
        <v>313.60000000000002</v>
      </c>
      <c r="F222" t="s">
        <v>853</v>
      </c>
      <c r="G222" s="8">
        <v>-4.65E-2</v>
      </c>
      <c r="H222" s="3">
        <f t="shared" si="3"/>
        <v>-4.6518698692611604E-2</v>
      </c>
    </row>
    <row r="223" spans="1:8" x14ac:dyDescent="0.3">
      <c r="A223" s="7">
        <v>45709</v>
      </c>
      <c r="B223">
        <v>305.5</v>
      </c>
      <c r="C223">
        <v>312.60000000000002</v>
      </c>
      <c r="D223">
        <v>314.2</v>
      </c>
      <c r="E223">
        <v>305.5</v>
      </c>
      <c r="F223" t="s">
        <v>852</v>
      </c>
      <c r="G223" s="8">
        <v>-2.58E-2</v>
      </c>
      <c r="H223" s="3">
        <f t="shared" si="3"/>
        <v>-2.5829081632653184E-2</v>
      </c>
    </row>
    <row r="224" spans="1:8" x14ac:dyDescent="0.3">
      <c r="A224" s="7">
        <v>45712</v>
      </c>
      <c r="B224">
        <v>307.7</v>
      </c>
      <c r="C224">
        <v>303.60000000000002</v>
      </c>
      <c r="D224">
        <v>308</v>
      </c>
      <c r="E224">
        <v>301.89999999999998</v>
      </c>
      <c r="F224" t="s">
        <v>851</v>
      </c>
      <c r="G224" s="8">
        <v>7.1999999999999998E-3</v>
      </c>
      <c r="H224" s="3">
        <f t="shared" si="3"/>
        <v>7.2013093289688968E-3</v>
      </c>
    </row>
    <row r="225" spans="1:8" x14ac:dyDescent="0.3">
      <c r="A225" s="7">
        <v>45713</v>
      </c>
      <c r="B225">
        <v>309</v>
      </c>
      <c r="C225">
        <v>308</v>
      </c>
      <c r="D225">
        <v>313</v>
      </c>
      <c r="E225">
        <v>304.89999999999998</v>
      </c>
      <c r="F225" t="s">
        <v>850</v>
      </c>
      <c r="G225" s="8">
        <v>4.1999999999999997E-3</v>
      </c>
      <c r="H225" s="3">
        <f t="shared" si="3"/>
        <v>4.22489437764062E-3</v>
      </c>
    </row>
    <row r="226" spans="1:8" x14ac:dyDescent="0.3">
      <c r="A226" s="7">
        <v>45714</v>
      </c>
      <c r="B226">
        <v>319.10000000000002</v>
      </c>
      <c r="C226">
        <v>314.60000000000002</v>
      </c>
      <c r="D226">
        <v>319.60000000000002</v>
      </c>
      <c r="E226">
        <v>314.3</v>
      </c>
      <c r="F226" t="s">
        <v>849</v>
      </c>
      <c r="G226" s="8">
        <v>3.27E-2</v>
      </c>
      <c r="H226" s="3">
        <f t="shared" si="3"/>
        <v>3.2686084142394822E-2</v>
      </c>
    </row>
    <row r="227" spans="1:8" x14ac:dyDescent="0.3">
      <c r="A227" s="7">
        <v>45715</v>
      </c>
      <c r="B227">
        <v>323.60000000000002</v>
      </c>
      <c r="C227">
        <v>319.2</v>
      </c>
      <c r="D227">
        <v>326.60000000000002</v>
      </c>
      <c r="E227">
        <v>316.3</v>
      </c>
      <c r="F227" t="s">
        <v>848</v>
      </c>
      <c r="G227" s="8">
        <v>1.41E-2</v>
      </c>
      <c r="H227" s="3">
        <f t="shared" si="3"/>
        <v>1.4102162331557588E-2</v>
      </c>
    </row>
    <row r="228" spans="1:8" x14ac:dyDescent="0.3">
      <c r="A228" s="7">
        <v>45716</v>
      </c>
      <c r="B228">
        <v>334</v>
      </c>
      <c r="C228">
        <v>323.3</v>
      </c>
      <c r="D228">
        <v>334</v>
      </c>
      <c r="E228">
        <v>322.60000000000002</v>
      </c>
      <c r="F228" t="s">
        <v>847</v>
      </c>
      <c r="G228" s="8">
        <v>3.2099999999999997E-2</v>
      </c>
      <c r="H228" s="3">
        <f t="shared" si="3"/>
        <v>3.2138442521631561E-2</v>
      </c>
    </row>
    <row r="229" spans="1:8" x14ac:dyDescent="0.3">
      <c r="A229" s="7">
        <v>45719</v>
      </c>
      <c r="B229">
        <v>345.5</v>
      </c>
      <c r="C229">
        <v>341.8</v>
      </c>
      <c r="D229">
        <v>347.9</v>
      </c>
      <c r="E229">
        <v>336.6</v>
      </c>
      <c r="F229" t="s">
        <v>846</v>
      </c>
      <c r="G229" s="8">
        <v>3.44E-2</v>
      </c>
      <c r="H229" s="3">
        <f t="shared" si="3"/>
        <v>3.4431137724550975E-2</v>
      </c>
    </row>
    <row r="230" spans="1:8" x14ac:dyDescent="0.3">
      <c r="A230" s="7">
        <v>45720</v>
      </c>
      <c r="B230">
        <v>338.3</v>
      </c>
      <c r="C230">
        <v>348.5</v>
      </c>
      <c r="D230">
        <v>351.1</v>
      </c>
      <c r="E230">
        <v>337.6</v>
      </c>
      <c r="F230" t="s">
        <v>845</v>
      </c>
      <c r="G230" s="8">
        <v>-2.0799999999999999E-2</v>
      </c>
      <c r="H230" s="3">
        <f t="shared" si="3"/>
        <v>-2.0839363241678677E-2</v>
      </c>
    </row>
    <row r="231" spans="1:8" x14ac:dyDescent="0.3">
      <c r="A231" s="7">
        <v>45721</v>
      </c>
      <c r="B231">
        <v>351.4</v>
      </c>
      <c r="C231">
        <v>344.2</v>
      </c>
      <c r="D231">
        <v>356</v>
      </c>
      <c r="E231">
        <v>343.6</v>
      </c>
      <c r="F231" t="s">
        <v>844</v>
      </c>
      <c r="G231" s="8">
        <v>3.8699999999999998E-2</v>
      </c>
      <c r="H231" s="3">
        <f t="shared" si="3"/>
        <v>3.8723026899201818E-2</v>
      </c>
    </row>
    <row r="232" spans="1:8" x14ac:dyDescent="0.3">
      <c r="A232" s="7">
        <v>45722</v>
      </c>
      <c r="B232">
        <v>348.8</v>
      </c>
      <c r="C232">
        <v>353</v>
      </c>
      <c r="D232">
        <v>353.1</v>
      </c>
      <c r="E232">
        <v>340</v>
      </c>
      <c r="F232" t="s">
        <v>843</v>
      </c>
      <c r="G232" s="8">
        <v>-7.4000000000000003E-3</v>
      </c>
      <c r="H232" s="3">
        <f t="shared" si="3"/>
        <v>-7.3989755264655122E-3</v>
      </c>
    </row>
    <row r="233" spans="1:8" x14ac:dyDescent="0.3">
      <c r="A233" s="7">
        <v>45723</v>
      </c>
      <c r="B233">
        <v>329</v>
      </c>
      <c r="C233">
        <v>347</v>
      </c>
      <c r="D233">
        <v>348.2</v>
      </c>
      <c r="E233">
        <v>326.7</v>
      </c>
      <c r="F233" t="s">
        <v>842</v>
      </c>
      <c r="G233" s="8">
        <v>-5.6800000000000003E-2</v>
      </c>
      <c r="H233" s="3">
        <f t="shared" si="3"/>
        <v>-5.6766055045871622E-2</v>
      </c>
    </row>
    <row r="234" spans="1:8" x14ac:dyDescent="0.3">
      <c r="A234" s="7">
        <v>45726</v>
      </c>
      <c r="B234">
        <v>308.3</v>
      </c>
      <c r="C234">
        <v>333</v>
      </c>
      <c r="D234">
        <v>336.2</v>
      </c>
      <c r="E234">
        <v>307.10000000000002</v>
      </c>
      <c r="F234" t="s">
        <v>841</v>
      </c>
      <c r="G234" s="8">
        <v>-6.2899999999999998E-2</v>
      </c>
      <c r="H234" s="3">
        <f t="shared" si="3"/>
        <v>-6.2917933130699044E-2</v>
      </c>
    </row>
    <row r="235" spans="1:8" x14ac:dyDescent="0.3">
      <c r="A235" s="7">
        <v>45727</v>
      </c>
      <c r="B235">
        <v>317.8</v>
      </c>
      <c r="C235">
        <v>311</v>
      </c>
      <c r="D235">
        <v>320.2</v>
      </c>
      <c r="E235">
        <v>310.5</v>
      </c>
      <c r="F235" t="s">
        <v>840</v>
      </c>
      <c r="G235" s="8">
        <v>3.0800000000000001E-2</v>
      </c>
      <c r="H235" s="3">
        <f t="shared" si="3"/>
        <v>3.0814142069412798E-2</v>
      </c>
    </row>
    <row r="236" spans="1:8" x14ac:dyDescent="0.3">
      <c r="A236" s="7">
        <v>45728</v>
      </c>
      <c r="B236">
        <v>330.3</v>
      </c>
      <c r="C236">
        <v>320.5</v>
      </c>
      <c r="D236">
        <v>332.1</v>
      </c>
      <c r="E236">
        <v>318.5</v>
      </c>
      <c r="F236" t="s">
        <v>839</v>
      </c>
      <c r="G236" s="8">
        <v>3.9300000000000002E-2</v>
      </c>
      <c r="H236" s="3">
        <f t="shared" si="3"/>
        <v>3.9332913782252898E-2</v>
      </c>
    </row>
    <row r="237" spans="1:8" x14ac:dyDescent="0.3">
      <c r="A237" s="7">
        <v>45729</v>
      </c>
      <c r="B237">
        <v>322.2</v>
      </c>
      <c r="C237">
        <v>331.1</v>
      </c>
      <c r="D237">
        <v>331.8</v>
      </c>
      <c r="E237">
        <v>322.2</v>
      </c>
      <c r="F237" t="s">
        <v>838</v>
      </c>
      <c r="G237" s="8">
        <v>-2.4500000000000001E-2</v>
      </c>
      <c r="H237" s="3">
        <f t="shared" si="3"/>
        <v>-2.4523160762942808E-2</v>
      </c>
    </row>
    <row r="238" spans="1:8" x14ac:dyDescent="0.3">
      <c r="A238" s="7">
        <v>45730</v>
      </c>
      <c r="B238">
        <v>331.9</v>
      </c>
      <c r="C238">
        <v>323</v>
      </c>
      <c r="D238">
        <v>334.9</v>
      </c>
      <c r="E238">
        <v>321.89999999999998</v>
      </c>
      <c r="F238" t="s">
        <v>837</v>
      </c>
      <c r="G238" s="8">
        <v>3.0099999999999998E-2</v>
      </c>
      <c r="H238" s="3">
        <f t="shared" si="3"/>
        <v>3.0105524518932336E-2</v>
      </c>
    </row>
    <row r="239" spans="1:8" x14ac:dyDescent="0.3">
      <c r="A239" s="7">
        <v>45733</v>
      </c>
      <c r="B239">
        <v>334.8</v>
      </c>
      <c r="C239">
        <v>335.6</v>
      </c>
      <c r="D239">
        <v>336.5</v>
      </c>
      <c r="E239">
        <v>332.1</v>
      </c>
      <c r="F239" t="s">
        <v>836</v>
      </c>
      <c r="G239" s="8">
        <v>8.6999999999999994E-3</v>
      </c>
      <c r="H239" s="3">
        <f t="shared" si="3"/>
        <v>8.737571557698276E-3</v>
      </c>
    </row>
    <row r="240" spans="1:8" x14ac:dyDescent="0.3">
      <c r="A240" s="7">
        <v>45734</v>
      </c>
      <c r="B240">
        <v>337.7</v>
      </c>
      <c r="C240">
        <v>336</v>
      </c>
      <c r="D240">
        <v>341</v>
      </c>
      <c r="E240">
        <v>333</v>
      </c>
      <c r="F240" t="s">
        <v>835</v>
      </c>
      <c r="G240" s="8">
        <v>8.6999999999999994E-3</v>
      </c>
      <c r="H240" s="3">
        <f t="shared" si="3"/>
        <v>8.6618876941457756E-3</v>
      </c>
    </row>
    <row r="241" spans="1:8" x14ac:dyDescent="0.3">
      <c r="A241" s="7">
        <v>45735</v>
      </c>
      <c r="B241">
        <v>346</v>
      </c>
      <c r="C241">
        <v>337.7</v>
      </c>
      <c r="D241">
        <v>346.3</v>
      </c>
      <c r="E241">
        <v>334</v>
      </c>
      <c r="F241" t="s">
        <v>834</v>
      </c>
      <c r="G241" s="8">
        <v>2.46E-2</v>
      </c>
      <c r="H241" s="3">
        <f t="shared" si="3"/>
        <v>2.4578027835356897E-2</v>
      </c>
    </row>
    <row r="242" spans="1:8" x14ac:dyDescent="0.3">
      <c r="A242" s="7">
        <v>45736</v>
      </c>
      <c r="B242">
        <v>344.7</v>
      </c>
      <c r="C242">
        <v>341.2</v>
      </c>
      <c r="D242">
        <v>347.6</v>
      </c>
      <c r="E242">
        <v>332.7</v>
      </c>
      <c r="F242" t="s">
        <v>833</v>
      </c>
      <c r="G242" s="8">
        <v>-3.8E-3</v>
      </c>
      <c r="H242" s="3">
        <f t="shared" si="3"/>
        <v>-3.7572254335260791E-3</v>
      </c>
    </row>
    <row r="243" spans="1:8" x14ac:dyDescent="0.3">
      <c r="A243" s="7">
        <v>45737</v>
      </c>
      <c r="B243">
        <v>340.1</v>
      </c>
      <c r="C243">
        <v>341.6</v>
      </c>
      <c r="D243">
        <v>344.2</v>
      </c>
      <c r="E243">
        <v>334.8</v>
      </c>
      <c r="F243" t="s">
        <v>832</v>
      </c>
      <c r="G243" s="8">
        <v>-1.3299999999999999E-2</v>
      </c>
      <c r="H243" s="3">
        <f t="shared" si="3"/>
        <v>-1.3344937626921904E-2</v>
      </c>
    </row>
    <row r="244" spans="1:8" x14ac:dyDescent="0.3">
      <c r="A244" s="7">
        <v>45740</v>
      </c>
      <c r="B244">
        <v>341.5</v>
      </c>
      <c r="C244">
        <v>341.5</v>
      </c>
      <c r="D244">
        <v>344.3</v>
      </c>
      <c r="E244">
        <v>339.6</v>
      </c>
      <c r="F244" t="s">
        <v>831</v>
      </c>
      <c r="G244" s="8">
        <v>4.1000000000000003E-3</v>
      </c>
      <c r="H244" s="3">
        <f t="shared" si="3"/>
        <v>4.1164363422521166E-3</v>
      </c>
    </row>
    <row r="245" spans="1:8" x14ac:dyDescent="0.3">
      <c r="A245" s="7">
        <v>45741</v>
      </c>
      <c r="B245">
        <v>343.7</v>
      </c>
      <c r="C245">
        <v>341.2</v>
      </c>
      <c r="D245">
        <v>346.3</v>
      </c>
      <c r="E245">
        <v>338.3</v>
      </c>
      <c r="F245" t="s">
        <v>830</v>
      </c>
      <c r="G245" s="8">
        <v>6.4000000000000003E-3</v>
      </c>
      <c r="H245" s="3">
        <f t="shared" si="3"/>
        <v>6.4421669106879964E-3</v>
      </c>
    </row>
    <row r="246" spans="1:8" x14ac:dyDescent="0.3">
      <c r="A246" s="7">
        <v>45742</v>
      </c>
      <c r="B246">
        <v>337.8</v>
      </c>
      <c r="C246">
        <v>343.2</v>
      </c>
      <c r="D246">
        <v>343.2</v>
      </c>
      <c r="E246">
        <v>335.5</v>
      </c>
      <c r="F246" t="s">
        <v>829</v>
      </c>
      <c r="G246" s="8">
        <v>-1.72E-2</v>
      </c>
      <c r="H246" s="3">
        <f t="shared" si="3"/>
        <v>-1.716613325574623E-2</v>
      </c>
    </row>
    <row r="247" spans="1:8" x14ac:dyDescent="0.3">
      <c r="A247" s="7">
        <v>45743</v>
      </c>
      <c r="B247">
        <v>337.5</v>
      </c>
      <c r="C247">
        <v>335</v>
      </c>
      <c r="D247">
        <v>338.7</v>
      </c>
      <c r="E247">
        <v>330.3</v>
      </c>
      <c r="F247" t="s">
        <v>828</v>
      </c>
      <c r="G247" s="8">
        <v>-8.9999999999999998E-4</v>
      </c>
      <c r="H247" s="3">
        <f t="shared" si="3"/>
        <v>-8.8809946714030197E-4</v>
      </c>
    </row>
    <row r="248" spans="1:8" x14ac:dyDescent="0.3">
      <c r="A248" s="7">
        <v>45744</v>
      </c>
      <c r="B248">
        <v>326.5</v>
      </c>
      <c r="C248">
        <v>335</v>
      </c>
      <c r="D248">
        <v>336.9</v>
      </c>
      <c r="E248">
        <v>325.5</v>
      </c>
      <c r="F248" t="s">
        <v>827</v>
      </c>
      <c r="G248" s="8">
        <v>-3.2599999999999997E-2</v>
      </c>
      <c r="H248" s="3">
        <f t="shared" si="3"/>
        <v>-3.2592592592592617E-2</v>
      </c>
    </row>
    <row r="249" spans="1:8" x14ac:dyDescent="0.3">
      <c r="A249" s="7">
        <v>45747</v>
      </c>
      <c r="B249">
        <v>320.3</v>
      </c>
      <c r="C249">
        <v>324</v>
      </c>
      <c r="D249">
        <v>327.39999999999998</v>
      </c>
      <c r="E249">
        <v>319.7</v>
      </c>
      <c r="F249" t="s">
        <v>826</v>
      </c>
      <c r="G249" s="8">
        <v>-1.9E-2</v>
      </c>
      <c r="H249" s="3">
        <f t="shared" si="3"/>
        <v>-1.8989280245022888E-2</v>
      </c>
    </row>
    <row r="250" spans="1:8" x14ac:dyDescent="0.3">
      <c r="A250" s="7">
        <v>45748</v>
      </c>
      <c r="B250">
        <v>327.60000000000002</v>
      </c>
      <c r="C250">
        <v>321</v>
      </c>
      <c r="D250">
        <v>330.1</v>
      </c>
      <c r="E250">
        <v>319.7</v>
      </c>
      <c r="F250" t="s">
        <v>825</v>
      </c>
      <c r="G250" s="8">
        <v>2.2800000000000001E-2</v>
      </c>
      <c r="H250" s="3">
        <f t="shared" si="3"/>
        <v>2.2791133312519474E-2</v>
      </c>
    </row>
    <row r="251" spans="1:8" x14ac:dyDescent="0.3">
      <c r="A251" s="7">
        <v>45749</v>
      </c>
      <c r="B251">
        <v>323.7</v>
      </c>
      <c r="C251">
        <v>327.7</v>
      </c>
      <c r="D251">
        <v>331.5</v>
      </c>
      <c r="E251">
        <v>318</v>
      </c>
      <c r="F251" t="s">
        <v>824</v>
      </c>
      <c r="G251" s="8">
        <v>-1.1900000000000001E-2</v>
      </c>
      <c r="H251" s="3">
        <f>(B251/B250)-1</f>
        <v>-1.1904761904761973E-2</v>
      </c>
    </row>
    <row r="252" spans="1:8" x14ac:dyDescent="0.3">
      <c r="A252" s="7">
        <v>45750</v>
      </c>
      <c r="B252">
        <v>311.8</v>
      </c>
      <c r="C252">
        <v>295.89999999999998</v>
      </c>
      <c r="D252">
        <v>317.7</v>
      </c>
      <c r="E252">
        <v>292</v>
      </c>
      <c r="F252" t="s">
        <v>823</v>
      </c>
      <c r="G252" s="8">
        <v>-3.6799999999999999E-2</v>
      </c>
      <c r="H252" s="3">
        <f t="shared" ref="H252:H253" si="4">(B252/B251)-1</f>
        <v>-3.6762434352795692E-2</v>
      </c>
    </row>
    <row r="253" spans="1:8" x14ac:dyDescent="0.3">
      <c r="A253" s="7">
        <v>45751</v>
      </c>
      <c r="B253">
        <v>286.5</v>
      </c>
      <c r="C253">
        <v>309.7</v>
      </c>
      <c r="D253">
        <v>311</v>
      </c>
      <c r="E253">
        <v>278.2</v>
      </c>
      <c r="F253" t="s">
        <v>822</v>
      </c>
      <c r="G253" s="8">
        <v>-8.1100000000000005E-2</v>
      </c>
      <c r="H253" s="3">
        <f t="shared" si="4"/>
        <v>-8.1141757536882686E-2</v>
      </c>
    </row>
    <row r="254" spans="1:8" x14ac:dyDescent="0.3">
      <c r="A254" s="7"/>
      <c r="G254" s="8"/>
      <c r="H254" s="3"/>
    </row>
    <row r="255" spans="1:8" x14ac:dyDescent="0.3">
      <c r="A255" s="7"/>
      <c r="G255" s="8"/>
    </row>
    <row r="256" spans="1:8" x14ac:dyDescent="0.3">
      <c r="A256" s="7"/>
      <c r="G256" s="8"/>
    </row>
    <row r="257" spans="1:7" x14ac:dyDescent="0.3">
      <c r="A257" s="7"/>
      <c r="G257" s="8"/>
    </row>
  </sheetData>
  <autoFilter ref="A1:G257" xr:uid="{98F16D48-4459-45B3-9BD2-D95803AD9264}">
    <sortState xmlns:xlrd2="http://schemas.microsoft.com/office/spreadsheetml/2017/richdata2" ref="A2:G257">
      <sortCondition ref="A1:A257"/>
    </sortState>
  </autoFilter>
  <sortState xmlns:xlrd2="http://schemas.microsoft.com/office/spreadsheetml/2017/richdata2" ref="A2:G254">
    <sortCondition ref="A2:A254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47985-2DA0-4C89-9AA3-4E56635B0CEC}">
  <sheetPr codeName="Hoja11">
    <tabColor theme="7" tint="0.59999389629810485"/>
  </sheetPr>
  <dimension ref="A1:L253"/>
  <sheetViews>
    <sheetView topLeftCell="A227" workbookViewId="0">
      <selection activeCell="B2" sqref="B2:B253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s="7">
        <v>45392</v>
      </c>
      <c r="B2">
        <v>174.38</v>
      </c>
      <c r="C2">
        <v>174.46</v>
      </c>
      <c r="D2">
        <v>177.86</v>
      </c>
      <c r="E2">
        <v>172.72</v>
      </c>
      <c r="F2" t="s">
        <v>127</v>
      </c>
      <c r="G2" s="8">
        <v>7.1999999999999998E-3</v>
      </c>
      <c r="H2" s="3" t="s">
        <v>11</v>
      </c>
      <c r="J2" t="s">
        <v>12</v>
      </c>
      <c r="K2" s="4">
        <f>AVERAGE(H3:H253)</f>
        <v>4.3121026323251604E-4</v>
      </c>
      <c r="L2" s="5">
        <f>_xlfn.STDEV.S(H3:H253)</f>
        <v>1.9114449316813668E-2</v>
      </c>
    </row>
    <row r="3" spans="1:12" x14ac:dyDescent="0.3">
      <c r="A3" s="7">
        <v>45393</v>
      </c>
      <c r="B3">
        <v>173.58</v>
      </c>
      <c r="C3">
        <v>174.02</v>
      </c>
      <c r="D3">
        <v>174.54</v>
      </c>
      <c r="E3">
        <v>172</v>
      </c>
      <c r="F3" t="s">
        <v>1272</v>
      </c>
      <c r="G3" s="8">
        <v>-4.5999999999999999E-3</v>
      </c>
      <c r="H3" s="3">
        <f>(B3/B2)-1</f>
        <v>-4.5876820736322488E-3</v>
      </c>
      <c r="J3" t="s">
        <v>14</v>
      </c>
      <c r="K3" s="6">
        <f>K2*252</f>
        <v>0.10866498633459404</v>
      </c>
      <c r="L3" s="6">
        <f>L2*SQRT(252)</f>
        <v>0.30343247604142459</v>
      </c>
    </row>
    <row r="4" spans="1:12" x14ac:dyDescent="0.3">
      <c r="A4" s="7">
        <v>45394</v>
      </c>
      <c r="B4">
        <v>172.66</v>
      </c>
      <c r="C4">
        <v>175.1</v>
      </c>
      <c r="D4">
        <v>176.1</v>
      </c>
      <c r="E4">
        <v>171.4</v>
      </c>
      <c r="F4" t="s">
        <v>79</v>
      </c>
      <c r="G4" s="8">
        <v>-5.3E-3</v>
      </c>
      <c r="H4" s="3">
        <f t="shared" ref="H4:H67" si="0">(B4/B3)-1</f>
        <v>-5.3001497868419012E-3</v>
      </c>
    </row>
    <row r="5" spans="1:12" x14ac:dyDescent="0.3">
      <c r="A5" s="7">
        <v>45397</v>
      </c>
      <c r="B5">
        <v>175.9</v>
      </c>
      <c r="C5">
        <v>176</v>
      </c>
      <c r="D5">
        <v>178.66</v>
      </c>
      <c r="E5">
        <v>175.18</v>
      </c>
      <c r="F5" t="s">
        <v>89</v>
      </c>
      <c r="G5" s="8">
        <v>1.8800000000000001E-2</v>
      </c>
      <c r="H5" s="3">
        <f t="shared" si="0"/>
        <v>1.8765203289702326E-2</v>
      </c>
    </row>
    <row r="6" spans="1:12" x14ac:dyDescent="0.3">
      <c r="A6" s="7">
        <v>45398</v>
      </c>
      <c r="B6">
        <v>173.08</v>
      </c>
      <c r="C6">
        <v>172.48</v>
      </c>
      <c r="D6">
        <v>174.26</v>
      </c>
      <c r="E6">
        <v>171.72</v>
      </c>
      <c r="F6" t="s">
        <v>177</v>
      </c>
      <c r="G6" s="8">
        <v>-1.6E-2</v>
      </c>
      <c r="H6" s="3">
        <f t="shared" si="0"/>
        <v>-1.6031836270608224E-2</v>
      </c>
    </row>
    <row r="7" spans="1:12" x14ac:dyDescent="0.3">
      <c r="A7" s="7">
        <v>45399</v>
      </c>
      <c r="B7">
        <v>172.68</v>
      </c>
      <c r="C7">
        <v>172.98</v>
      </c>
      <c r="D7">
        <v>174.76</v>
      </c>
      <c r="E7">
        <v>172.3</v>
      </c>
      <c r="F7" t="s">
        <v>1271</v>
      </c>
      <c r="G7" s="8">
        <v>-2.3E-3</v>
      </c>
      <c r="H7" s="3">
        <f t="shared" si="0"/>
        <v>-2.3110700254218575E-3</v>
      </c>
    </row>
    <row r="8" spans="1:12" x14ac:dyDescent="0.3">
      <c r="A8" s="7">
        <v>45400</v>
      </c>
      <c r="B8">
        <v>175.52</v>
      </c>
      <c r="C8">
        <v>175.5</v>
      </c>
      <c r="D8">
        <v>177.08</v>
      </c>
      <c r="E8">
        <v>174.32</v>
      </c>
      <c r="F8" t="s">
        <v>175</v>
      </c>
      <c r="G8" s="8">
        <v>1.6400000000000001E-2</v>
      </c>
      <c r="H8" s="3">
        <f t="shared" si="0"/>
        <v>1.6446606439657119E-2</v>
      </c>
    </row>
    <row r="9" spans="1:12" x14ac:dyDescent="0.3">
      <c r="A9" s="7">
        <v>45401</v>
      </c>
      <c r="B9">
        <v>172.96</v>
      </c>
      <c r="C9">
        <v>172.92</v>
      </c>
      <c r="D9">
        <v>173.36</v>
      </c>
      <c r="E9">
        <v>171.82</v>
      </c>
      <c r="F9" t="s">
        <v>66</v>
      </c>
      <c r="G9" s="8">
        <v>-1.46E-2</v>
      </c>
      <c r="H9" s="3">
        <f t="shared" si="0"/>
        <v>-1.4585232452142272E-2</v>
      </c>
    </row>
    <row r="10" spans="1:12" x14ac:dyDescent="0.3">
      <c r="A10" s="7">
        <v>45404</v>
      </c>
      <c r="B10">
        <v>174.02</v>
      </c>
      <c r="C10">
        <v>174.84</v>
      </c>
      <c r="D10">
        <v>175.86</v>
      </c>
      <c r="E10">
        <v>173.44</v>
      </c>
      <c r="F10" t="s">
        <v>1270</v>
      </c>
      <c r="G10" s="8">
        <v>6.1000000000000004E-3</v>
      </c>
      <c r="H10" s="3">
        <f t="shared" si="0"/>
        <v>6.128584643848356E-3</v>
      </c>
    </row>
    <row r="11" spans="1:12" x14ac:dyDescent="0.3">
      <c r="A11" s="7">
        <v>45405</v>
      </c>
      <c r="B11">
        <v>175.34</v>
      </c>
      <c r="C11">
        <v>174.52</v>
      </c>
      <c r="D11">
        <v>175.68</v>
      </c>
      <c r="E11">
        <v>173.38</v>
      </c>
      <c r="F11" t="s">
        <v>261</v>
      </c>
      <c r="G11" s="8">
        <v>7.6E-3</v>
      </c>
      <c r="H11" s="3">
        <f t="shared" si="0"/>
        <v>7.5853350189631907E-3</v>
      </c>
    </row>
    <row r="12" spans="1:12" x14ac:dyDescent="0.3">
      <c r="A12" s="7">
        <v>45406</v>
      </c>
      <c r="B12">
        <v>174.64</v>
      </c>
      <c r="C12">
        <v>174.86</v>
      </c>
      <c r="D12">
        <v>176.7</v>
      </c>
      <c r="E12">
        <v>173.76</v>
      </c>
      <c r="F12" t="s">
        <v>263</v>
      </c>
      <c r="G12" s="8">
        <v>-4.0000000000000001E-3</v>
      </c>
      <c r="H12" s="3">
        <f t="shared" si="0"/>
        <v>-3.9922436409263184E-3</v>
      </c>
    </row>
    <row r="13" spans="1:12" x14ac:dyDescent="0.3">
      <c r="A13" s="7">
        <v>45407</v>
      </c>
      <c r="B13">
        <v>173.7</v>
      </c>
      <c r="C13">
        <v>174.6</v>
      </c>
      <c r="D13">
        <v>175.06</v>
      </c>
      <c r="E13">
        <v>171.9</v>
      </c>
      <c r="F13" t="s">
        <v>137</v>
      </c>
      <c r="G13" s="8">
        <v>-5.4000000000000003E-3</v>
      </c>
      <c r="H13" s="3">
        <f t="shared" si="0"/>
        <v>-5.3825011452129923E-3</v>
      </c>
    </row>
    <row r="14" spans="1:12" x14ac:dyDescent="0.3">
      <c r="A14" s="7">
        <v>45408</v>
      </c>
      <c r="B14">
        <v>177.62</v>
      </c>
      <c r="C14">
        <v>174.94</v>
      </c>
      <c r="D14">
        <v>178.06</v>
      </c>
      <c r="E14">
        <v>174.02</v>
      </c>
      <c r="F14" t="s">
        <v>79</v>
      </c>
      <c r="G14" s="8">
        <v>2.2599999999999999E-2</v>
      </c>
      <c r="H14" s="3">
        <f t="shared" si="0"/>
        <v>2.2567645365572986E-2</v>
      </c>
    </row>
    <row r="15" spans="1:12" x14ac:dyDescent="0.3">
      <c r="A15" s="7">
        <v>45411</v>
      </c>
      <c r="B15">
        <v>177.64</v>
      </c>
      <c r="C15">
        <v>178.28</v>
      </c>
      <c r="D15">
        <v>178.92</v>
      </c>
      <c r="E15">
        <v>177.24</v>
      </c>
      <c r="F15" t="s">
        <v>1269</v>
      </c>
      <c r="G15" s="8">
        <v>1E-4</v>
      </c>
      <c r="H15" s="3">
        <f t="shared" si="0"/>
        <v>1.1259993243983857E-4</v>
      </c>
    </row>
    <row r="16" spans="1:12" x14ac:dyDescent="0.3">
      <c r="A16" s="7">
        <v>45412</v>
      </c>
      <c r="B16">
        <v>175.9</v>
      </c>
      <c r="C16">
        <v>178.18</v>
      </c>
      <c r="D16">
        <v>178.2</v>
      </c>
      <c r="E16">
        <v>175.74</v>
      </c>
      <c r="F16" t="s">
        <v>127</v>
      </c>
      <c r="G16" s="8">
        <v>-9.7999999999999997E-3</v>
      </c>
      <c r="H16" s="3">
        <f t="shared" si="0"/>
        <v>-9.7950911956765641E-3</v>
      </c>
    </row>
    <row r="17" spans="1:8" x14ac:dyDescent="0.3">
      <c r="A17" s="7">
        <v>45414</v>
      </c>
      <c r="B17">
        <v>175.2</v>
      </c>
      <c r="C17">
        <v>175.64</v>
      </c>
      <c r="D17">
        <v>176.24</v>
      </c>
      <c r="E17">
        <v>173.88</v>
      </c>
      <c r="F17" t="s">
        <v>1268</v>
      </c>
      <c r="G17" s="8">
        <v>-4.0000000000000001E-3</v>
      </c>
      <c r="H17" s="3">
        <f t="shared" si="0"/>
        <v>-3.9795338260376623E-3</v>
      </c>
    </row>
    <row r="18" spans="1:8" x14ac:dyDescent="0.3">
      <c r="A18" s="7">
        <v>45415</v>
      </c>
      <c r="B18">
        <v>177.62</v>
      </c>
      <c r="C18">
        <v>176</v>
      </c>
      <c r="D18">
        <v>178.76</v>
      </c>
      <c r="E18">
        <v>174.92</v>
      </c>
      <c r="F18" t="s">
        <v>1267</v>
      </c>
      <c r="G18" s="8">
        <v>1.38E-2</v>
      </c>
      <c r="H18" s="3">
        <f t="shared" si="0"/>
        <v>1.3812785388128024E-2</v>
      </c>
    </row>
    <row r="19" spans="1:8" x14ac:dyDescent="0.3">
      <c r="A19" s="7">
        <v>45418</v>
      </c>
      <c r="B19">
        <v>179.36</v>
      </c>
      <c r="C19">
        <v>177.78</v>
      </c>
      <c r="D19">
        <v>179.84</v>
      </c>
      <c r="E19">
        <v>177.3</v>
      </c>
      <c r="F19" t="s">
        <v>1266</v>
      </c>
      <c r="G19" s="8">
        <v>9.7999999999999997E-3</v>
      </c>
      <c r="H19" s="3">
        <f t="shared" si="0"/>
        <v>9.796194122283497E-3</v>
      </c>
    </row>
    <row r="20" spans="1:8" x14ac:dyDescent="0.3">
      <c r="A20" s="7">
        <v>45419</v>
      </c>
      <c r="B20">
        <v>180.14</v>
      </c>
      <c r="C20">
        <v>179.42</v>
      </c>
      <c r="D20">
        <v>180.78</v>
      </c>
      <c r="E20">
        <v>173.52</v>
      </c>
      <c r="F20" t="s">
        <v>70</v>
      </c>
      <c r="G20" s="8">
        <v>4.3E-3</v>
      </c>
      <c r="H20" s="3">
        <f t="shared" si="0"/>
        <v>4.3487957181087555E-3</v>
      </c>
    </row>
    <row r="21" spans="1:8" x14ac:dyDescent="0.3">
      <c r="A21" s="7">
        <v>45420</v>
      </c>
      <c r="B21">
        <v>181.58</v>
      </c>
      <c r="C21">
        <v>179.9</v>
      </c>
      <c r="D21">
        <v>183.72</v>
      </c>
      <c r="E21">
        <v>179.72</v>
      </c>
      <c r="F21" t="s">
        <v>177</v>
      </c>
      <c r="G21" s="8">
        <v>8.0000000000000002E-3</v>
      </c>
      <c r="H21" s="3">
        <f t="shared" si="0"/>
        <v>7.993782613523015E-3</v>
      </c>
    </row>
    <row r="22" spans="1:8" x14ac:dyDescent="0.3">
      <c r="A22" s="7">
        <v>45421</v>
      </c>
      <c r="B22">
        <v>184.08</v>
      </c>
      <c r="C22">
        <v>181.58</v>
      </c>
      <c r="D22">
        <v>184.66</v>
      </c>
      <c r="E22">
        <v>181.58</v>
      </c>
      <c r="F22" t="s">
        <v>1265</v>
      </c>
      <c r="G22" s="8">
        <v>1.38E-2</v>
      </c>
      <c r="H22" s="3">
        <f t="shared" si="0"/>
        <v>1.3768036127326688E-2</v>
      </c>
    </row>
    <row r="23" spans="1:8" x14ac:dyDescent="0.3">
      <c r="A23" s="7">
        <v>45422</v>
      </c>
      <c r="B23">
        <v>188.4</v>
      </c>
      <c r="C23">
        <v>184.7</v>
      </c>
      <c r="D23">
        <v>188.54</v>
      </c>
      <c r="E23">
        <v>184.5</v>
      </c>
      <c r="F23" t="s">
        <v>123</v>
      </c>
      <c r="G23" s="8">
        <v>2.35E-2</v>
      </c>
      <c r="H23" s="3">
        <f t="shared" si="0"/>
        <v>2.3468057366362371E-2</v>
      </c>
    </row>
    <row r="24" spans="1:8" x14ac:dyDescent="0.3">
      <c r="A24" s="7">
        <v>45425</v>
      </c>
      <c r="B24">
        <v>187.98</v>
      </c>
      <c r="C24">
        <v>187.34</v>
      </c>
      <c r="D24">
        <v>188.88</v>
      </c>
      <c r="E24">
        <v>187.28</v>
      </c>
      <c r="F24" t="s">
        <v>1264</v>
      </c>
      <c r="G24" s="8">
        <v>-2.2000000000000001E-3</v>
      </c>
      <c r="H24" s="3">
        <f t="shared" si="0"/>
        <v>-2.2292993630573799E-3</v>
      </c>
    </row>
    <row r="25" spans="1:8" x14ac:dyDescent="0.3">
      <c r="A25" s="7">
        <v>45426</v>
      </c>
      <c r="B25">
        <v>185.24</v>
      </c>
      <c r="C25">
        <v>187.84</v>
      </c>
      <c r="D25">
        <v>187.84</v>
      </c>
      <c r="E25">
        <v>185.24</v>
      </c>
      <c r="F25" t="s">
        <v>281</v>
      </c>
      <c r="G25" s="8">
        <v>-1.46E-2</v>
      </c>
      <c r="H25" s="3">
        <f t="shared" si="0"/>
        <v>-1.4576018725396267E-2</v>
      </c>
    </row>
    <row r="26" spans="1:8" x14ac:dyDescent="0.3">
      <c r="A26" s="7">
        <v>45427</v>
      </c>
      <c r="B26">
        <v>187.7</v>
      </c>
      <c r="C26">
        <v>185.78</v>
      </c>
      <c r="D26">
        <v>187.9</v>
      </c>
      <c r="E26">
        <v>185.66</v>
      </c>
      <c r="F26" t="s">
        <v>273</v>
      </c>
      <c r="G26" s="8">
        <v>1.3299999999999999E-2</v>
      </c>
      <c r="H26" s="3">
        <f t="shared" si="0"/>
        <v>1.3280069099546488E-2</v>
      </c>
    </row>
    <row r="27" spans="1:8" x14ac:dyDescent="0.3">
      <c r="A27" s="7">
        <v>45428</v>
      </c>
      <c r="B27">
        <v>175</v>
      </c>
      <c r="C27">
        <v>185</v>
      </c>
      <c r="D27">
        <v>187.2</v>
      </c>
      <c r="E27">
        <v>174.98</v>
      </c>
      <c r="F27" t="s">
        <v>1263</v>
      </c>
      <c r="G27" s="8">
        <v>-6.7699999999999996E-2</v>
      </c>
      <c r="H27" s="3">
        <f t="shared" si="0"/>
        <v>-6.7661161427810312E-2</v>
      </c>
    </row>
    <row r="28" spans="1:8" x14ac:dyDescent="0.3">
      <c r="A28" s="7">
        <v>45429</v>
      </c>
      <c r="B28">
        <v>172.56</v>
      </c>
      <c r="C28">
        <v>173.1</v>
      </c>
      <c r="D28">
        <v>174.4</v>
      </c>
      <c r="E28">
        <v>170.42</v>
      </c>
      <c r="F28" t="s">
        <v>223</v>
      </c>
      <c r="G28" s="8">
        <v>-1.3899999999999999E-2</v>
      </c>
      <c r="H28" s="3">
        <f t="shared" si="0"/>
        <v>-1.3942857142857146E-2</v>
      </c>
    </row>
    <row r="29" spans="1:8" x14ac:dyDescent="0.3">
      <c r="A29" s="7">
        <v>45432</v>
      </c>
      <c r="B29">
        <v>173.12</v>
      </c>
      <c r="C29">
        <v>172.42</v>
      </c>
      <c r="D29">
        <v>173.9</v>
      </c>
      <c r="E29">
        <v>171.4</v>
      </c>
      <c r="F29" t="s">
        <v>1262</v>
      </c>
      <c r="G29" s="8">
        <v>3.2000000000000002E-3</v>
      </c>
      <c r="H29" s="3">
        <f t="shared" si="0"/>
        <v>3.2452480296707442E-3</v>
      </c>
    </row>
    <row r="30" spans="1:8" x14ac:dyDescent="0.3">
      <c r="A30" s="7">
        <v>45433</v>
      </c>
      <c r="B30">
        <v>173.64</v>
      </c>
      <c r="C30">
        <v>172.88</v>
      </c>
      <c r="D30">
        <v>174.4</v>
      </c>
      <c r="E30">
        <v>172.48</v>
      </c>
      <c r="F30" t="s">
        <v>116</v>
      </c>
      <c r="G30" s="8">
        <v>3.0000000000000001E-3</v>
      </c>
      <c r="H30" s="3">
        <f t="shared" si="0"/>
        <v>3.0036968576707679E-3</v>
      </c>
    </row>
    <row r="31" spans="1:8" x14ac:dyDescent="0.3">
      <c r="A31" s="7">
        <v>45434</v>
      </c>
      <c r="B31">
        <v>173.7</v>
      </c>
      <c r="C31">
        <v>174.3</v>
      </c>
      <c r="D31">
        <v>175.98</v>
      </c>
      <c r="E31">
        <v>173.5</v>
      </c>
      <c r="F31" t="s">
        <v>172</v>
      </c>
      <c r="G31" s="8">
        <v>2.9999999999999997E-4</v>
      </c>
      <c r="H31" s="3">
        <f t="shared" si="0"/>
        <v>3.4554250172780243E-4</v>
      </c>
    </row>
    <row r="32" spans="1:8" x14ac:dyDescent="0.3">
      <c r="A32" s="7">
        <v>45435</v>
      </c>
      <c r="B32">
        <v>177.18</v>
      </c>
      <c r="C32">
        <v>173.86</v>
      </c>
      <c r="D32">
        <v>178.12</v>
      </c>
      <c r="E32">
        <v>173.68</v>
      </c>
      <c r="F32" t="s">
        <v>79</v>
      </c>
      <c r="G32" s="8">
        <v>0.02</v>
      </c>
      <c r="H32" s="3">
        <f t="shared" si="0"/>
        <v>2.0034542314335102E-2</v>
      </c>
    </row>
    <row r="33" spans="1:8" x14ac:dyDescent="0.3">
      <c r="A33" s="7">
        <v>45436</v>
      </c>
      <c r="B33">
        <v>177.3</v>
      </c>
      <c r="C33">
        <v>175.24</v>
      </c>
      <c r="D33">
        <v>177.6</v>
      </c>
      <c r="E33">
        <v>175.04</v>
      </c>
      <c r="F33" t="s">
        <v>1261</v>
      </c>
      <c r="G33" s="8">
        <v>6.9999999999999999E-4</v>
      </c>
      <c r="H33" s="3">
        <f t="shared" si="0"/>
        <v>6.772773450727243E-4</v>
      </c>
    </row>
    <row r="34" spans="1:8" x14ac:dyDescent="0.3">
      <c r="A34" s="7">
        <v>45439</v>
      </c>
      <c r="B34">
        <v>178.92</v>
      </c>
      <c r="C34">
        <v>177.84</v>
      </c>
      <c r="D34">
        <v>179.14</v>
      </c>
      <c r="E34">
        <v>177.6</v>
      </c>
      <c r="F34" t="s">
        <v>1260</v>
      </c>
      <c r="G34" s="8">
        <v>9.1000000000000004E-3</v>
      </c>
      <c r="H34" s="3">
        <f t="shared" si="0"/>
        <v>9.1370558375634126E-3</v>
      </c>
    </row>
    <row r="35" spans="1:8" x14ac:dyDescent="0.3">
      <c r="A35" s="7">
        <v>45440</v>
      </c>
      <c r="B35">
        <v>177.26</v>
      </c>
      <c r="C35">
        <v>179.36</v>
      </c>
      <c r="D35">
        <v>181.16</v>
      </c>
      <c r="E35">
        <v>177.18</v>
      </c>
      <c r="F35" t="s">
        <v>1259</v>
      </c>
      <c r="G35" s="8">
        <v>-9.2999999999999992E-3</v>
      </c>
      <c r="H35" s="3">
        <f t="shared" si="0"/>
        <v>-9.277889559579644E-3</v>
      </c>
    </row>
    <row r="36" spans="1:8" x14ac:dyDescent="0.3">
      <c r="A36" s="7">
        <v>45441</v>
      </c>
      <c r="B36">
        <v>175.74</v>
      </c>
      <c r="C36">
        <v>176.3</v>
      </c>
      <c r="D36">
        <v>177.54</v>
      </c>
      <c r="E36">
        <v>175.34</v>
      </c>
      <c r="F36" t="s">
        <v>1258</v>
      </c>
      <c r="G36" s="8">
        <v>-8.6E-3</v>
      </c>
      <c r="H36" s="3">
        <f t="shared" si="0"/>
        <v>-8.5749746135619365E-3</v>
      </c>
    </row>
    <row r="37" spans="1:8" x14ac:dyDescent="0.3">
      <c r="A37" s="7">
        <v>45442</v>
      </c>
      <c r="B37">
        <v>176.12</v>
      </c>
      <c r="C37">
        <v>175.04</v>
      </c>
      <c r="D37">
        <v>176.64</v>
      </c>
      <c r="E37">
        <v>174.6</v>
      </c>
      <c r="F37" t="s">
        <v>1257</v>
      </c>
      <c r="G37" s="8">
        <v>2.2000000000000001E-3</v>
      </c>
      <c r="H37" s="3">
        <f t="shared" si="0"/>
        <v>2.1622851940366061E-3</v>
      </c>
    </row>
    <row r="38" spans="1:8" x14ac:dyDescent="0.3">
      <c r="A38" s="7">
        <v>45443</v>
      </c>
      <c r="B38">
        <v>176.26</v>
      </c>
      <c r="C38">
        <v>176.08</v>
      </c>
      <c r="D38">
        <v>176.84</v>
      </c>
      <c r="E38">
        <v>175.1</v>
      </c>
      <c r="F38" t="s">
        <v>217</v>
      </c>
      <c r="G38" s="8">
        <v>8.0000000000000004E-4</v>
      </c>
      <c r="H38" s="3">
        <f t="shared" si="0"/>
        <v>7.9491255961827711E-4</v>
      </c>
    </row>
    <row r="39" spans="1:8" x14ac:dyDescent="0.3">
      <c r="A39" s="7">
        <v>45446</v>
      </c>
      <c r="B39">
        <v>178.16</v>
      </c>
      <c r="C39">
        <v>178.8</v>
      </c>
      <c r="D39">
        <v>179.6</v>
      </c>
      <c r="E39">
        <v>177.1</v>
      </c>
      <c r="F39" t="s">
        <v>1256</v>
      </c>
      <c r="G39" s="8">
        <v>1.0800000000000001E-2</v>
      </c>
      <c r="H39" s="3">
        <f t="shared" si="0"/>
        <v>1.0779530239419133E-2</v>
      </c>
    </row>
    <row r="40" spans="1:8" x14ac:dyDescent="0.3">
      <c r="A40" s="7">
        <v>45447</v>
      </c>
      <c r="B40">
        <v>174.28</v>
      </c>
      <c r="C40">
        <v>178.58</v>
      </c>
      <c r="D40">
        <v>179</v>
      </c>
      <c r="E40">
        <v>174.28</v>
      </c>
      <c r="F40" t="s">
        <v>768</v>
      </c>
      <c r="G40" s="8">
        <v>-2.18E-2</v>
      </c>
      <c r="H40" s="3">
        <f t="shared" si="0"/>
        <v>-2.1778176919622805E-2</v>
      </c>
    </row>
    <row r="41" spans="1:8" x14ac:dyDescent="0.3">
      <c r="A41" s="7">
        <v>45448</v>
      </c>
      <c r="B41">
        <v>178.82</v>
      </c>
      <c r="C41">
        <v>175.6</v>
      </c>
      <c r="D41">
        <v>178.82</v>
      </c>
      <c r="E41">
        <v>175.38</v>
      </c>
      <c r="F41" t="s">
        <v>1255</v>
      </c>
      <c r="G41" s="8">
        <v>2.6100000000000002E-2</v>
      </c>
      <c r="H41" s="3">
        <f t="shared" si="0"/>
        <v>2.6050034427358204E-2</v>
      </c>
    </row>
    <row r="42" spans="1:8" x14ac:dyDescent="0.3">
      <c r="A42" s="7">
        <v>45449</v>
      </c>
      <c r="B42">
        <v>175.68</v>
      </c>
      <c r="C42">
        <v>178.88</v>
      </c>
      <c r="D42">
        <v>179.52</v>
      </c>
      <c r="E42">
        <v>175.14</v>
      </c>
      <c r="F42" t="s">
        <v>1254</v>
      </c>
      <c r="G42" s="8">
        <v>-1.7600000000000001E-2</v>
      </c>
      <c r="H42" s="3">
        <f t="shared" si="0"/>
        <v>-1.7559557096521572E-2</v>
      </c>
    </row>
    <row r="43" spans="1:8" x14ac:dyDescent="0.3">
      <c r="A43" s="7">
        <v>45450</v>
      </c>
      <c r="B43">
        <v>174.44</v>
      </c>
      <c r="C43">
        <v>175</v>
      </c>
      <c r="D43">
        <v>175.26</v>
      </c>
      <c r="E43">
        <v>172.62</v>
      </c>
      <c r="F43" t="s">
        <v>1072</v>
      </c>
      <c r="G43" s="8">
        <v>-7.1000000000000004E-3</v>
      </c>
      <c r="H43" s="3">
        <f t="shared" si="0"/>
        <v>-7.0582877959927126E-3</v>
      </c>
    </row>
    <row r="44" spans="1:8" x14ac:dyDescent="0.3">
      <c r="A44" s="7">
        <v>45453</v>
      </c>
      <c r="B44">
        <v>174.44</v>
      </c>
      <c r="C44">
        <v>174.12</v>
      </c>
      <c r="D44">
        <v>174.52</v>
      </c>
      <c r="E44">
        <v>172.06</v>
      </c>
      <c r="F44" t="s">
        <v>1253</v>
      </c>
      <c r="G44" s="8">
        <v>0</v>
      </c>
      <c r="H44" s="3">
        <f t="shared" si="0"/>
        <v>0</v>
      </c>
    </row>
    <row r="45" spans="1:8" x14ac:dyDescent="0.3">
      <c r="A45" s="7">
        <v>45454</v>
      </c>
      <c r="B45">
        <v>172.46</v>
      </c>
      <c r="C45">
        <v>174.7</v>
      </c>
      <c r="D45">
        <v>175.44</v>
      </c>
      <c r="E45">
        <v>172.18</v>
      </c>
      <c r="F45" t="s">
        <v>1252</v>
      </c>
      <c r="G45" s="8">
        <v>-1.14E-2</v>
      </c>
      <c r="H45" s="3">
        <f t="shared" si="0"/>
        <v>-1.135060765879381E-2</v>
      </c>
    </row>
    <row r="46" spans="1:8" x14ac:dyDescent="0.3">
      <c r="A46" s="7">
        <v>45455</v>
      </c>
      <c r="B46">
        <v>178.1</v>
      </c>
      <c r="C46">
        <v>173.12</v>
      </c>
      <c r="D46">
        <v>178.58</v>
      </c>
      <c r="E46">
        <v>172.3</v>
      </c>
      <c r="F46" t="s">
        <v>1251</v>
      </c>
      <c r="G46" s="8">
        <v>3.27E-2</v>
      </c>
      <c r="H46" s="3">
        <f t="shared" si="0"/>
        <v>3.2703235532877128E-2</v>
      </c>
    </row>
    <row r="47" spans="1:8" x14ac:dyDescent="0.3">
      <c r="A47" s="7">
        <v>45456</v>
      </c>
      <c r="B47">
        <v>170.84</v>
      </c>
      <c r="C47">
        <v>177.28</v>
      </c>
      <c r="D47">
        <v>177.56</v>
      </c>
      <c r="E47">
        <v>170.44</v>
      </c>
      <c r="F47" t="s">
        <v>67</v>
      </c>
      <c r="G47" s="8">
        <v>-4.0800000000000003E-2</v>
      </c>
      <c r="H47" s="3">
        <f t="shared" si="0"/>
        <v>-4.0763615946097675E-2</v>
      </c>
    </row>
    <row r="48" spans="1:8" x14ac:dyDescent="0.3">
      <c r="A48" s="7">
        <v>45457</v>
      </c>
      <c r="B48">
        <v>165.74</v>
      </c>
      <c r="C48">
        <v>170.8</v>
      </c>
      <c r="D48">
        <v>171.1</v>
      </c>
      <c r="E48">
        <v>165.68</v>
      </c>
      <c r="F48" t="s">
        <v>106</v>
      </c>
      <c r="G48" s="8">
        <v>-2.9899999999999999E-2</v>
      </c>
      <c r="H48" s="3">
        <f t="shared" si="0"/>
        <v>-2.9852493561226878E-2</v>
      </c>
    </row>
    <row r="49" spans="1:8" x14ac:dyDescent="0.3">
      <c r="A49" s="7">
        <v>45460</v>
      </c>
      <c r="B49">
        <v>168.1</v>
      </c>
      <c r="C49">
        <v>166.72</v>
      </c>
      <c r="D49">
        <v>168.62</v>
      </c>
      <c r="E49">
        <v>166.46</v>
      </c>
      <c r="F49" t="s">
        <v>1250</v>
      </c>
      <c r="G49" s="8">
        <v>1.4200000000000001E-2</v>
      </c>
      <c r="H49" s="3">
        <f t="shared" si="0"/>
        <v>1.4239169783998973E-2</v>
      </c>
    </row>
    <row r="50" spans="1:8" x14ac:dyDescent="0.3">
      <c r="A50" s="7">
        <v>45461</v>
      </c>
      <c r="B50">
        <v>168.44</v>
      </c>
      <c r="C50">
        <v>169.64</v>
      </c>
      <c r="D50">
        <v>170.38</v>
      </c>
      <c r="E50">
        <v>167.22</v>
      </c>
      <c r="F50" t="s">
        <v>1249</v>
      </c>
      <c r="G50" s="8">
        <v>2E-3</v>
      </c>
      <c r="H50" s="3">
        <f t="shared" si="0"/>
        <v>2.0226055919096986E-3</v>
      </c>
    </row>
    <row r="51" spans="1:8" x14ac:dyDescent="0.3">
      <c r="A51" s="7">
        <v>45462</v>
      </c>
      <c r="B51">
        <v>168.24</v>
      </c>
      <c r="C51">
        <v>169.28</v>
      </c>
      <c r="D51">
        <v>169.92</v>
      </c>
      <c r="E51">
        <v>167.8</v>
      </c>
      <c r="F51" t="s">
        <v>1248</v>
      </c>
      <c r="G51" s="8">
        <v>-1.1999999999999999E-3</v>
      </c>
      <c r="H51" s="3">
        <f t="shared" si="0"/>
        <v>-1.1873664212775914E-3</v>
      </c>
    </row>
    <row r="52" spans="1:8" x14ac:dyDescent="0.3">
      <c r="A52" s="7">
        <v>45463</v>
      </c>
      <c r="B52">
        <v>170.34</v>
      </c>
      <c r="C52">
        <v>169.08</v>
      </c>
      <c r="D52">
        <v>171.18</v>
      </c>
      <c r="E52">
        <v>169.08</v>
      </c>
      <c r="F52" t="s">
        <v>175</v>
      </c>
      <c r="G52" s="8">
        <v>1.2500000000000001E-2</v>
      </c>
      <c r="H52" s="3">
        <f t="shared" si="0"/>
        <v>1.2482168330955723E-2</v>
      </c>
    </row>
    <row r="53" spans="1:8" x14ac:dyDescent="0.3">
      <c r="A53" s="7">
        <v>45464</v>
      </c>
      <c r="B53">
        <v>168.2</v>
      </c>
      <c r="C53">
        <v>170.28</v>
      </c>
      <c r="D53">
        <v>170.44</v>
      </c>
      <c r="E53">
        <v>166.9</v>
      </c>
      <c r="F53" t="s">
        <v>312</v>
      </c>
      <c r="G53" s="8">
        <v>-1.26E-2</v>
      </c>
      <c r="H53" s="3">
        <f t="shared" si="0"/>
        <v>-1.2563109075965806E-2</v>
      </c>
    </row>
    <row r="54" spans="1:8" x14ac:dyDescent="0.3">
      <c r="A54" s="7">
        <v>45467</v>
      </c>
      <c r="B54">
        <v>171.04</v>
      </c>
      <c r="C54">
        <v>168.6</v>
      </c>
      <c r="D54">
        <v>171.62</v>
      </c>
      <c r="E54">
        <v>168.48</v>
      </c>
      <c r="F54" t="s">
        <v>261</v>
      </c>
      <c r="G54" s="8">
        <v>1.6899999999999998E-2</v>
      </c>
      <c r="H54" s="3">
        <f t="shared" si="0"/>
        <v>1.6884661117716915E-2</v>
      </c>
    </row>
    <row r="55" spans="1:8" x14ac:dyDescent="0.3">
      <c r="A55" s="7">
        <v>45468</v>
      </c>
      <c r="B55">
        <v>169.58</v>
      </c>
      <c r="C55">
        <v>169.02</v>
      </c>
      <c r="D55">
        <v>170.9</v>
      </c>
      <c r="E55">
        <v>167.42</v>
      </c>
      <c r="F55" t="s">
        <v>1071</v>
      </c>
      <c r="G55" s="8">
        <v>-8.5000000000000006E-3</v>
      </c>
      <c r="H55" s="3">
        <f t="shared" si="0"/>
        <v>-8.5360149672589758E-3</v>
      </c>
    </row>
    <row r="56" spans="1:8" x14ac:dyDescent="0.3">
      <c r="A56" s="7">
        <v>45469</v>
      </c>
      <c r="B56">
        <v>169.22</v>
      </c>
      <c r="C56">
        <v>170.72</v>
      </c>
      <c r="D56">
        <v>171.38</v>
      </c>
      <c r="E56">
        <v>167.8</v>
      </c>
      <c r="F56" t="s">
        <v>1069</v>
      </c>
      <c r="G56" s="8">
        <v>-2.0999999999999999E-3</v>
      </c>
      <c r="H56" s="3">
        <f t="shared" si="0"/>
        <v>-2.1228918504541117E-3</v>
      </c>
    </row>
    <row r="57" spans="1:8" x14ac:dyDescent="0.3">
      <c r="A57" s="7">
        <v>45470</v>
      </c>
      <c r="B57">
        <v>173.54</v>
      </c>
      <c r="C57">
        <v>169.06</v>
      </c>
      <c r="D57">
        <v>175.4</v>
      </c>
      <c r="E57">
        <v>169.06</v>
      </c>
      <c r="F57" t="s">
        <v>772</v>
      </c>
      <c r="G57" s="8">
        <v>2.5499999999999998E-2</v>
      </c>
      <c r="H57" s="3">
        <f t="shared" si="0"/>
        <v>2.5528897293464192E-2</v>
      </c>
    </row>
    <row r="58" spans="1:8" x14ac:dyDescent="0.3">
      <c r="A58" s="7">
        <v>45471</v>
      </c>
      <c r="B58">
        <v>173.72</v>
      </c>
      <c r="C58">
        <v>175</v>
      </c>
      <c r="D58">
        <v>176.36</v>
      </c>
      <c r="E58">
        <v>172.78</v>
      </c>
      <c r="F58" t="s">
        <v>119</v>
      </c>
      <c r="G58" s="8">
        <v>1E-3</v>
      </c>
      <c r="H58" s="3">
        <f t="shared" si="0"/>
        <v>1.0372248472974022E-3</v>
      </c>
    </row>
    <row r="59" spans="1:8" x14ac:dyDescent="0.3">
      <c r="A59" s="7">
        <v>45474</v>
      </c>
      <c r="B59">
        <v>177.12</v>
      </c>
      <c r="C59">
        <v>177.6</v>
      </c>
      <c r="D59">
        <v>178.5</v>
      </c>
      <c r="E59">
        <v>175.5</v>
      </c>
      <c r="F59" t="s">
        <v>172</v>
      </c>
      <c r="G59" s="8">
        <v>1.9599999999999999E-2</v>
      </c>
      <c r="H59" s="3">
        <f t="shared" si="0"/>
        <v>1.9571724614321884E-2</v>
      </c>
    </row>
    <row r="60" spans="1:8" x14ac:dyDescent="0.3">
      <c r="A60" s="7">
        <v>45475</v>
      </c>
      <c r="B60">
        <v>174.84</v>
      </c>
      <c r="C60">
        <v>175.86</v>
      </c>
      <c r="D60">
        <v>176.32</v>
      </c>
      <c r="E60">
        <v>173.98</v>
      </c>
      <c r="F60" t="s">
        <v>1247</v>
      </c>
      <c r="G60" s="8">
        <v>-1.29E-2</v>
      </c>
      <c r="H60" s="3">
        <f t="shared" si="0"/>
        <v>-1.287262872628725E-2</v>
      </c>
    </row>
    <row r="61" spans="1:8" x14ac:dyDescent="0.3">
      <c r="A61" s="7">
        <v>45476</v>
      </c>
      <c r="B61">
        <v>176.76</v>
      </c>
      <c r="C61">
        <v>176.1</v>
      </c>
      <c r="D61">
        <v>177.48</v>
      </c>
      <c r="E61">
        <v>174.28</v>
      </c>
      <c r="F61" t="s">
        <v>166</v>
      </c>
      <c r="G61" s="8">
        <v>1.0999999999999999E-2</v>
      </c>
      <c r="H61" s="3">
        <f t="shared" si="0"/>
        <v>1.0981468771448011E-2</v>
      </c>
    </row>
    <row r="62" spans="1:8" x14ac:dyDescent="0.3">
      <c r="A62" s="7">
        <v>45477</v>
      </c>
      <c r="B62">
        <v>177.34</v>
      </c>
      <c r="C62">
        <v>176.94</v>
      </c>
      <c r="D62">
        <v>177.74</v>
      </c>
      <c r="E62">
        <v>176.42</v>
      </c>
      <c r="F62" t="s">
        <v>1246</v>
      </c>
      <c r="G62" s="8">
        <v>3.3E-3</v>
      </c>
      <c r="H62" s="3">
        <f t="shared" si="0"/>
        <v>3.281285358678554E-3</v>
      </c>
    </row>
    <row r="63" spans="1:8" x14ac:dyDescent="0.3">
      <c r="A63" s="7">
        <v>45478</v>
      </c>
      <c r="B63">
        <v>177.12</v>
      </c>
      <c r="C63">
        <v>178.3</v>
      </c>
      <c r="D63">
        <v>180.42</v>
      </c>
      <c r="E63">
        <v>176.38</v>
      </c>
      <c r="F63" t="s">
        <v>1245</v>
      </c>
      <c r="G63" s="8">
        <v>-1.1999999999999999E-3</v>
      </c>
      <c r="H63" s="3">
        <f t="shared" si="0"/>
        <v>-1.2405548663584343E-3</v>
      </c>
    </row>
    <row r="64" spans="1:8" x14ac:dyDescent="0.3">
      <c r="A64" s="7">
        <v>45481</v>
      </c>
      <c r="B64">
        <v>177.16</v>
      </c>
      <c r="C64">
        <v>177</v>
      </c>
      <c r="D64">
        <v>179.1</v>
      </c>
      <c r="E64">
        <v>176.92</v>
      </c>
      <c r="F64" t="s">
        <v>1244</v>
      </c>
      <c r="G64" s="8">
        <v>2.0000000000000001E-4</v>
      </c>
      <c r="H64" s="3">
        <f t="shared" si="0"/>
        <v>2.2583559168931622E-4</v>
      </c>
    </row>
    <row r="65" spans="1:8" x14ac:dyDescent="0.3">
      <c r="A65" s="7">
        <v>45482</v>
      </c>
      <c r="B65">
        <v>173.26</v>
      </c>
      <c r="C65">
        <v>176.48</v>
      </c>
      <c r="D65">
        <v>176.62</v>
      </c>
      <c r="E65">
        <v>172.54</v>
      </c>
      <c r="F65" t="s">
        <v>1071</v>
      </c>
      <c r="G65" s="8">
        <v>-2.1999999999999999E-2</v>
      </c>
      <c r="H65" s="3">
        <f t="shared" si="0"/>
        <v>-2.201399864529241E-2</v>
      </c>
    </row>
    <row r="66" spans="1:8" x14ac:dyDescent="0.3">
      <c r="A66" s="7">
        <v>45483</v>
      </c>
      <c r="B66">
        <v>176.38</v>
      </c>
      <c r="C66">
        <v>173.52</v>
      </c>
      <c r="D66">
        <v>176.9</v>
      </c>
      <c r="E66">
        <v>173.2</v>
      </c>
      <c r="F66" t="s">
        <v>1243</v>
      </c>
      <c r="G66" s="8">
        <v>1.7999999999999999E-2</v>
      </c>
      <c r="H66" s="3">
        <f t="shared" si="0"/>
        <v>1.8007618607872589E-2</v>
      </c>
    </row>
    <row r="67" spans="1:8" x14ac:dyDescent="0.3">
      <c r="A67" s="7">
        <v>45484</v>
      </c>
      <c r="B67">
        <v>178.9</v>
      </c>
      <c r="C67">
        <v>177.94</v>
      </c>
      <c r="D67">
        <v>179.1</v>
      </c>
      <c r="E67">
        <v>176.3</v>
      </c>
      <c r="F67" t="s">
        <v>1242</v>
      </c>
      <c r="G67" s="8">
        <v>1.43E-2</v>
      </c>
      <c r="H67" s="3">
        <f t="shared" si="0"/>
        <v>1.4287334164871268E-2</v>
      </c>
    </row>
    <row r="68" spans="1:8" x14ac:dyDescent="0.3">
      <c r="A68" s="7">
        <v>45485</v>
      </c>
      <c r="B68">
        <v>184.16</v>
      </c>
      <c r="C68">
        <v>179.5</v>
      </c>
      <c r="D68">
        <v>184.9</v>
      </c>
      <c r="E68">
        <v>178.58</v>
      </c>
      <c r="F68" t="s">
        <v>167</v>
      </c>
      <c r="G68" s="8">
        <v>2.9399999999999999E-2</v>
      </c>
      <c r="H68" s="3">
        <f t="shared" ref="H68:H131" si="1">(B68/B67)-1</f>
        <v>2.9401900503074341E-2</v>
      </c>
    </row>
    <row r="69" spans="1:8" x14ac:dyDescent="0.3">
      <c r="A69" s="7">
        <v>45488</v>
      </c>
      <c r="B69">
        <v>180.88</v>
      </c>
      <c r="C69">
        <v>183.44</v>
      </c>
      <c r="D69">
        <v>184.04</v>
      </c>
      <c r="E69">
        <v>180.78</v>
      </c>
      <c r="F69" t="s">
        <v>1241</v>
      </c>
      <c r="G69" s="8">
        <v>-1.78E-2</v>
      </c>
      <c r="H69" s="3">
        <f t="shared" si="1"/>
        <v>-1.7810599478714217E-2</v>
      </c>
    </row>
    <row r="70" spans="1:8" x14ac:dyDescent="0.3">
      <c r="A70" s="7">
        <v>45489</v>
      </c>
      <c r="B70">
        <v>181.56</v>
      </c>
      <c r="C70">
        <v>180.08</v>
      </c>
      <c r="D70">
        <v>181.78</v>
      </c>
      <c r="E70">
        <v>179.44</v>
      </c>
      <c r="F70" t="s">
        <v>1240</v>
      </c>
      <c r="G70" s="8">
        <v>3.8E-3</v>
      </c>
      <c r="H70" s="3">
        <f t="shared" si="1"/>
        <v>3.7593984962407401E-3</v>
      </c>
    </row>
    <row r="71" spans="1:8" x14ac:dyDescent="0.3">
      <c r="A71" s="7">
        <v>45490</v>
      </c>
      <c r="B71">
        <v>178.4</v>
      </c>
      <c r="C71">
        <v>180.62</v>
      </c>
      <c r="D71">
        <v>181.64</v>
      </c>
      <c r="E71">
        <v>177.18</v>
      </c>
      <c r="F71" t="s">
        <v>1239</v>
      </c>
      <c r="G71" s="8">
        <v>-1.7399999999999999E-2</v>
      </c>
      <c r="H71" s="3">
        <f t="shared" si="1"/>
        <v>-1.7404714694866708E-2</v>
      </c>
    </row>
    <row r="72" spans="1:8" x14ac:dyDescent="0.3">
      <c r="A72" s="7">
        <v>45491</v>
      </c>
      <c r="B72">
        <v>170.52</v>
      </c>
      <c r="C72">
        <v>177.2</v>
      </c>
      <c r="D72">
        <v>177.2</v>
      </c>
      <c r="E72">
        <v>170.52</v>
      </c>
      <c r="F72" t="s">
        <v>87</v>
      </c>
      <c r="G72" s="8">
        <v>-4.4200000000000003E-2</v>
      </c>
      <c r="H72" s="3">
        <f t="shared" si="1"/>
        <v>-4.4170403587443952E-2</v>
      </c>
    </row>
    <row r="73" spans="1:8" x14ac:dyDescent="0.3">
      <c r="A73" s="7">
        <v>45492</v>
      </c>
      <c r="B73">
        <v>170.44</v>
      </c>
      <c r="C73">
        <v>170.2</v>
      </c>
      <c r="D73">
        <v>173</v>
      </c>
      <c r="E73">
        <v>169.96</v>
      </c>
      <c r="F73" t="s">
        <v>75</v>
      </c>
      <c r="G73" s="8">
        <v>-5.0000000000000001E-4</v>
      </c>
      <c r="H73" s="3">
        <f t="shared" si="1"/>
        <v>-4.6915317851281557E-4</v>
      </c>
    </row>
    <row r="74" spans="1:8" x14ac:dyDescent="0.3">
      <c r="A74" s="7">
        <v>45495</v>
      </c>
      <c r="B74">
        <v>173.26</v>
      </c>
      <c r="C74">
        <v>172</v>
      </c>
      <c r="D74">
        <v>175.2</v>
      </c>
      <c r="E74">
        <v>171.6</v>
      </c>
      <c r="F74" t="s">
        <v>1238</v>
      </c>
      <c r="G74" s="8">
        <v>1.6500000000000001E-2</v>
      </c>
      <c r="H74" s="3">
        <f t="shared" si="1"/>
        <v>1.6545411875146687E-2</v>
      </c>
    </row>
    <row r="75" spans="1:8" x14ac:dyDescent="0.3">
      <c r="A75" s="7">
        <v>45496</v>
      </c>
      <c r="B75">
        <v>173.62</v>
      </c>
      <c r="C75">
        <v>173.28</v>
      </c>
      <c r="D75">
        <v>176.04</v>
      </c>
      <c r="E75">
        <v>172.92</v>
      </c>
      <c r="F75" t="s">
        <v>1237</v>
      </c>
      <c r="G75" s="8">
        <v>2.0999999999999999E-3</v>
      </c>
      <c r="H75" s="3">
        <f t="shared" si="1"/>
        <v>2.0778021470622132E-3</v>
      </c>
    </row>
    <row r="76" spans="1:8" x14ac:dyDescent="0.3">
      <c r="A76" s="7">
        <v>45497</v>
      </c>
      <c r="B76">
        <v>171.44</v>
      </c>
      <c r="C76">
        <v>171.38</v>
      </c>
      <c r="D76">
        <v>173.82</v>
      </c>
      <c r="E76">
        <v>170.56</v>
      </c>
      <c r="F76" t="s">
        <v>1071</v>
      </c>
      <c r="G76" s="8">
        <v>-1.26E-2</v>
      </c>
      <c r="H76" s="3">
        <f t="shared" si="1"/>
        <v>-1.2556157124755218E-2</v>
      </c>
    </row>
    <row r="77" spans="1:8" x14ac:dyDescent="0.3">
      <c r="A77" s="7">
        <v>45498</v>
      </c>
      <c r="B77">
        <v>168.82</v>
      </c>
      <c r="C77">
        <v>168.02</v>
      </c>
      <c r="D77">
        <v>169.34</v>
      </c>
      <c r="E77">
        <v>166.1</v>
      </c>
      <c r="F77" t="s">
        <v>273</v>
      </c>
      <c r="G77" s="8">
        <v>-1.5299999999999999E-2</v>
      </c>
      <c r="H77" s="3">
        <f t="shared" si="1"/>
        <v>-1.5282314512365835E-2</v>
      </c>
    </row>
    <row r="78" spans="1:8" x14ac:dyDescent="0.3">
      <c r="A78" s="7">
        <v>45499</v>
      </c>
      <c r="B78">
        <v>169.82</v>
      </c>
      <c r="C78">
        <v>168.76</v>
      </c>
      <c r="D78">
        <v>170.46</v>
      </c>
      <c r="E78">
        <v>168.02</v>
      </c>
      <c r="F78" t="s">
        <v>1236</v>
      </c>
      <c r="G78" s="8">
        <v>5.8999999999999999E-3</v>
      </c>
      <c r="H78" s="3">
        <f t="shared" si="1"/>
        <v>5.9234687833196187E-3</v>
      </c>
    </row>
    <row r="79" spans="1:8" x14ac:dyDescent="0.3">
      <c r="A79" s="7">
        <v>45502</v>
      </c>
      <c r="B79">
        <v>167.84</v>
      </c>
      <c r="C79">
        <v>171</v>
      </c>
      <c r="D79">
        <v>171.34</v>
      </c>
      <c r="E79">
        <v>167.6</v>
      </c>
      <c r="F79" t="s">
        <v>1235</v>
      </c>
      <c r="G79" s="8">
        <v>-1.17E-2</v>
      </c>
      <c r="H79" s="3">
        <f t="shared" si="1"/>
        <v>-1.1659404074902735E-2</v>
      </c>
    </row>
    <row r="80" spans="1:8" x14ac:dyDescent="0.3">
      <c r="A80" s="7">
        <v>45503</v>
      </c>
      <c r="B80">
        <v>168.5</v>
      </c>
      <c r="C80">
        <v>168.12</v>
      </c>
      <c r="D80">
        <v>169.12</v>
      </c>
      <c r="E80">
        <v>167.42</v>
      </c>
      <c r="F80" t="s">
        <v>1234</v>
      </c>
      <c r="G80" s="8">
        <v>3.8999999999999998E-3</v>
      </c>
      <c r="H80" s="3">
        <f t="shared" si="1"/>
        <v>3.9323164918969589E-3</v>
      </c>
    </row>
    <row r="81" spans="1:8" x14ac:dyDescent="0.3">
      <c r="A81" s="7">
        <v>45504</v>
      </c>
      <c r="B81">
        <v>169.42</v>
      </c>
      <c r="C81">
        <v>169.48</v>
      </c>
      <c r="D81">
        <v>170.68</v>
      </c>
      <c r="E81">
        <v>168.38</v>
      </c>
      <c r="F81" t="s">
        <v>255</v>
      </c>
      <c r="G81" s="8">
        <v>5.4999999999999997E-3</v>
      </c>
      <c r="H81" s="3">
        <f t="shared" si="1"/>
        <v>5.459940652818851E-3</v>
      </c>
    </row>
    <row r="82" spans="1:8" x14ac:dyDescent="0.3">
      <c r="A82" s="7">
        <v>45505</v>
      </c>
      <c r="B82">
        <v>164.54</v>
      </c>
      <c r="C82">
        <v>167.04</v>
      </c>
      <c r="D82">
        <v>168.6</v>
      </c>
      <c r="E82">
        <v>163.92</v>
      </c>
      <c r="F82" t="s">
        <v>263</v>
      </c>
      <c r="G82" s="8">
        <v>-2.8799999999999999E-2</v>
      </c>
      <c r="H82" s="3">
        <f t="shared" si="1"/>
        <v>-2.880415535355918E-2</v>
      </c>
    </row>
    <row r="83" spans="1:8" x14ac:dyDescent="0.3">
      <c r="A83" s="7">
        <v>45506</v>
      </c>
      <c r="B83">
        <v>157.80000000000001</v>
      </c>
      <c r="C83">
        <v>160.80000000000001</v>
      </c>
      <c r="D83">
        <v>162.32</v>
      </c>
      <c r="E83">
        <v>157.06</v>
      </c>
      <c r="F83" t="s">
        <v>231</v>
      </c>
      <c r="G83" s="8">
        <v>-4.1000000000000002E-2</v>
      </c>
      <c r="H83" s="3">
        <f t="shared" si="1"/>
        <v>-4.0962683845873205E-2</v>
      </c>
    </row>
    <row r="84" spans="1:8" x14ac:dyDescent="0.3">
      <c r="A84" s="7">
        <v>45509</v>
      </c>
      <c r="B84">
        <v>155.13999999999999</v>
      </c>
      <c r="C84">
        <v>152</v>
      </c>
      <c r="D84">
        <v>155.88</v>
      </c>
      <c r="E84">
        <v>150.68</v>
      </c>
      <c r="F84" t="s">
        <v>52</v>
      </c>
      <c r="G84" s="8">
        <v>-1.6899999999999998E-2</v>
      </c>
      <c r="H84" s="3">
        <f t="shared" si="1"/>
        <v>-1.6856780735107879E-2</v>
      </c>
    </row>
    <row r="85" spans="1:8" x14ac:dyDescent="0.3">
      <c r="A85" s="7">
        <v>45510</v>
      </c>
      <c r="B85">
        <v>154</v>
      </c>
      <c r="C85">
        <v>156.30000000000001</v>
      </c>
      <c r="D85">
        <v>157.30000000000001</v>
      </c>
      <c r="E85">
        <v>152.54</v>
      </c>
      <c r="F85" t="s">
        <v>222</v>
      </c>
      <c r="G85" s="8">
        <v>-7.3000000000000001E-3</v>
      </c>
      <c r="H85" s="3">
        <f t="shared" si="1"/>
        <v>-7.3482016243392456E-3</v>
      </c>
    </row>
    <row r="86" spans="1:8" x14ac:dyDescent="0.3">
      <c r="A86" s="7">
        <v>45511</v>
      </c>
      <c r="B86">
        <v>155.94</v>
      </c>
      <c r="C86">
        <v>155.91999999999999</v>
      </c>
      <c r="D86">
        <v>158.44</v>
      </c>
      <c r="E86">
        <v>152.78</v>
      </c>
      <c r="F86" t="s">
        <v>232</v>
      </c>
      <c r="G86" s="8">
        <v>1.26E-2</v>
      </c>
      <c r="H86" s="3">
        <f t="shared" si="1"/>
        <v>1.2597402597402496E-2</v>
      </c>
    </row>
    <row r="87" spans="1:8" x14ac:dyDescent="0.3">
      <c r="A87" s="7">
        <v>45512</v>
      </c>
      <c r="B87">
        <v>159.19999999999999</v>
      </c>
      <c r="C87">
        <v>154.1</v>
      </c>
      <c r="D87">
        <v>159.72</v>
      </c>
      <c r="E87">
        <v>152.4</v>
      </c>
      <c r="F87" t="s">
        <v>214</v>
      </c>
      <c r="G87" s="8">
        <v>2.0899999999999998E-2</v>
      </c>
      <c r="H87" s="3">
        <f t="shared" si="1"/>
        <v>2.090547646530716E-2</v>
      </c>
    </row>
    <row r="88" spans="1:8" x14ac:dyDescent="0.3">
      <c r="A88" s="7">
        <v>45513</v>
      </c>
      <c r="B88">
        <v>157.18</v>
      </c>
      <c r="C88">
        <v>158.13999999999999</v>
      </c>
      <c r="D88">
        <v>158.58000000000001</v>
      </c>
      <c r="E88">
        <v>155.4</v>
      </c>
      <c r="F88" t="s">
        <v>768</v>
      </c>
      <c r="G88" s="8">
        <v>-1.2699999999999999E-2</v>
      </c>
      <c r="H88" s="3">
        <f t="shared" si="1"/>
        <v>-1.268844221105514E-2</v>
      </c>
    </row>
    <row r="89" spans="1:8" x14ac:dyDescent="0.3">
      <c r="A89" s="7">
        <v>45516</v>
      </c>
      <c r="B89">
        <v>157.19999999999999</v>
      </c>
      <c r="C89">
        <v>156.63999999999999</v>
      </c>
      <c r="D89">
        <v>158.28</v>
      </c>
      <c r="E89">
        <v>156.54</v>
      </c>
      <c r="F89" t="s">
        <v>1233</v>
      </c>
      <c r="G89" s="8">
        <v>1E-4</v>
      </c>
      <c r="H89" s="3">
        <f t="shared" si="1"/>
        <v>1.2724265173669203E-4</v>
      </c>
    </row>
    <row r="90" spans="1:8" x14ac:dyDescent="0.3">
      <c r="A90" s="7">
        <v>45517</v>
      </c>
      <c r="B90">
        <v>158.94</v>
      </c>
      <c r="C90">
        <v>157.68</v>
      </c>
      <c r="D90">
        <v>159.63999999999999</v>
      </c>
      <c r="E90">
        <v>157.47999999999999</v>
      </c>
      <c r="F90" t="s">
        <v>1232</v>
      </c>
      <c r="G90" s="8">
        <v>1.11E-2</v>
      </c>
      <c r="H90" s="3">
        <f t="shared" si="1"/>
        <v>1.1068702290076393E-2</v>
      </c>
    </row>
    <row r="91" spans="1:8" x14ac:dyDescent="0.3">
      <c r="A91" s="7">
        <v>45518</v>
      </c>
      <c r="B91">
        <v>159.30000000000001</v>
      </c>
      <c r="C91">
        <v>160.38</v>
      </c>
      <c r="D91">
        <v>160.94</v>
      </c>
      <c r="E91">
        <v>159.12</v>
      </c>
      <c r="F91" t="s">
        <v>1231</v>
      </c>
      <c r="G91" s="8">
        <v>2.3E-3</v>
      </c>
      <c r="H91" s="3">
        <f t="shared" si="1"/>
        <v>2.2650056625141968E-3</v>
      </c>
    </row>
    <row r="92" spans="1:8" x14ac:dyDescent="0.3">
      <c r="A92" s="7">
        <v>45519</v>
      </c>
      <c r="B92">
        <v>162.69999999999999</v>
      </c>
      <c r="C92">
        <v>160.4</v>
      </c>
      <c r="D92">
        <v>163.26</v>
      </c>
      <c r="E92">
        <v>158.69999999999999</v>
      </c>
      <c r="F92" t="s">
        <v>1230</v>
      </c>
      <c r="G92" s="8">
        <v>2.1299999999999999E-2</v>
      </c>
      <c r="H92" s="3">
        <f t="shared" si="1"/>
        <v>2.1343377275580444E-2</v>
      </c>
    </row>
    <row r="93" spans="1:8" x14ac:dyDescent="0.3">
      <c r="A93" s="7">
        <v>45520</v>
      </c>
      <c r="B93">
        <v>163.19999999999999</v>
      </c>
      <c r="C93">
        <v>163.34</v>
      </c>
      <c r="D93">
        <v>163.46</v>
      </c>
      <c r="E93">
        <v>162.13999999999999</v>
      </c>
      <c r="F93" t="s">
        <v>1229</v>
      </c>
      <c r="G93" s="8">
        <v>3.0999999999999999E-3</v>
      </c>
      <c r="H93" s="3">
        <f t="shared" si="1"/>
        <v>3.0731407498463259E-3</v>
      </c>
    </row>
    <row r="94" spans="1:8" x14ac:dyDescent="0.3">
      <c r="A94" s="7">
        <v>45523</v>
      </c>
      <c r="B94">
        <v>164.26</v>
      </c>
      <c r="C94">
        <v>163.28</v>
      </c>
      <c r="D94">
        <v>164.58</v>
      </c>
      <c r="E94">
        <v>162.56</v>
      </c>
      <c r="F94" t="s">
        <v>1228</v>
      </c>
      <c r="G94" s="8">
        <v>6.4999999999999997E-3</v>
      </c>
      <c r="H94" s="3">
        <f t="shared" si="1"/>
        <v>6.4950980392157742E-3</v>
      </c>
    </row>
    <row r="95" spans="1:8" x14ac:dyDescent="0.3">
      <c r="A95" s="7">
        <v>45524</v>
      </c>
      <c r="B95">
        <v>163.82</v>
      </c>
      <c r="C95">
        <v>164.92</v>
      </c>
      <c r="D95">
        <v>165.34</v>
      </c>
      <c r="E95">
        <v>163.52000000000001</v>
      </c>
      <c r="F95" t="s">
        <v>1227</v>
      </c>
      <c r="G95" s="8">
        <v>-2.7000000000000001E-3</v>
      </c>
      <c r="H95" s="3">
        <f t="shared" si="1"/>
        <v>-2.6786801412395089E-3</v>
      </c>
    </row>
    <row r="96" spans="1:8" x14ac:dyDescent="0.3">
      <c r="A96" s="7">
        <v>45525</v>
      </c>
      <c r="B96">
        <v>164.86</v>
      </c>
      <c r="C96">
        <v>163.84</v>
      </c>
      <c r="D96">
        <v>165.38</v>
      </c>
      <c r="E96">
        <v>163.76</v>
      </c>
      <c r="F96" t="s">
        <v>1226</v>
      </c>
      <c r="G96" s="8">
        <v>6.3E-3</v>
      </c>
      <c r="H96" s="3">
        <f t="shared" si="1"/>
        <v>6.3484312049812974E-3</v>
      </c>
    </row>
    <row r="97" spans="1:8" x14ac:dyDescent="0.3">
      <c r="A97" s="7">
        <v>45526</v>
      </c>
      <c r="B97">
        <v>164.88</v>
      </c>
      <c r="C97">
        <v>164.78</v>
      </c>
      <c r="D97">
        <v>166.18</v>
      </c>
      <c r="E97">
        <v>164.78</v>
      </c>
      <c r="F97" t="s">
        <v>1225</v>
      </c>
      <c r="G97" s="8">
        <v>1E-4</v>
      </c>
      <c r="H97" s="3">
        <f t="shared" si="1"/>
        <v>1.2131505519819008E-4</v>
      </c>
    </row>
    <row r="98" spans="1:8" x14ac:dyDescent="0.3">
      <c r="A98" s="7">
        <v>45527</v>
      </c>
      <c r="B98">
        <v>167.1</v>
      </c>
      <c r="C98">
        <v>165.22</v>
      </c>
      <c r="D98">
        <v>167.68</v>
      </c>
      <c r="E98">
        <v>165.2</v>
      </c>
      <c r="F98" t="s">
        <v>1224</v>
      </c>
      <c r="G98" s="8">
        <v>1.35E-2</v>
      </c>
      <c r="H98" s="3">
        <f t="shared" si="1"/>
        <v>1.3464337700145546E-2</v>
      </c>
    </row>
    <row r="99" spans="1:8" x14ac:dyDescent="0.3">
      <c r="A99" s="7">
        <v>45530</v>
      </c>
      <c r="B99">
        <v>167.8</v>
      </c>
      <c r="C99">
        <v>166.26</v>
      </c>
      <c r="D99">
        <v>167.8</v>
      </c>
      <c r="E99">
        <v>165.72</v>
      </c>
      <c r="F99" t="s">
        <v>1223</v>
      </c>
      <c r="G99" s="8">
        <v>4.1999999999999997E-3</v>
      </c>
      <c r="H99" s="3">
        <f t="shared" si="1"/>
        <v>4.1891083183722699E-3</v>
      </c>
    </row>
    <row r="100" spans="1:8" x14ac:dyDescent="0.3">
      <c r="A100" s="7">
        <v>45531</v>
      </c>
      <c r="B100">
        <v>167.12</v>
      </c>
      <c r="C100">
        <v>167.84</v>
      </c>
      <c r="D100">
        <v>168.32</v>
      </c>
      <c r="E100">
        <v>166.98</v>
      </c>
      <c r="F100" t="s">
        <v>1222</v>
      </c>
      <c r="G100" s="8">
        <v>-4.1000000000000003E-3</v>
      </c>
      <c r="H100" s="3">
        <f t="shared" si="1"/>
        <v>-4.0524433849821184E-3</v>
      </c>
    </row>
    <row r="101" spans="1:8" x14ac:dyDescent="0.3">
      <c r="A101" s="7">
        <v>45532</v>
      </c>
      <c r="B101">
        <v>168.22</v>
      </c>
      <c r="C101">
        <v>168</v>
      </c>
      <c r="D101">
        <v>169.62</v>
      </c>
      <c r="E101">
        <v>167.46</v>
      </c>
      <c r="F101" t="s">
        <v>1221</v>
      </c>
      <c r="G101" s="8">
        <v>6.6E-3</v>
      </c>
      <c r="H101" s="3">
        <f t="shared" si="1"/>
        <v>6.5820966969840633E-3</v>
      </c>
    </row>
    <row r="102" spans="1:8" x14ac:dyDescent="0.3">
      <c r="A102" s="7">
        <v>45533</v>
      </c>
      <c r="B102">
        <v>170.22</v>
      </c>
      <c r="C102">
        <v>168.28</v>
      </c>
      <c r="D102">
        <v>170.22</v>
      </c>
      <c r="E102">
        <v>167.88</v>
      </c>
      <c r="F102" t="s">
        <v>1220</v>
      </c>
      <c r="G102" s="8">
        <v>1.1900000000000001E-2</v>
      </c>
      <c r="H102" s="3">
        <f t="shared" si="1"/>
        <v>1.1889192723814057E-2</v>
      </c>
    </row>
    <row r="103" spans="1:8" x14ac:dyDescent="0.3">
      <c r="A103" s="7">
        <v>45534</v>
      </c>
      <c r="B103">
        <v>169.92</v>
      </c>
      <c r="C103">
        <v>170.14</v>
      </c>
      <c r="D103">
        <v>171.02</v>
      </c>
      <c r="E103">
        <v>169.78</v>
      </c>
      <c r="F103" t="s">
        <v>264</v>
      </c>
      <c r="G103" s="8">
        <v>-1.8E-3</v>
      </c>
      <c r="H103" s="3">
        <f t="shared" si="1"/>
        <v>-1.7624250969334732E-3</v>
      </c>
    </row>
    <row r="104" spans="1:8" x14ac:dyDescent="0.3">
      <c r="A104" s="7">
        <v>45537</v>
      </c>
      <c r="B104">
        <v>170.56</v>
      </c>
      <c r="C104">
        <v>169.94</v>
      </c>
      <c r="D104">
        <v>170.88</v>
      </c>
      <c r="E104">
        <v>167.34</v>
      </c>
      <c r="F104" t="s">
        <v>1219</v>
      </c>
      <c r="G104" s="8">
        <v>3.8E-3</v>
      </c>
      <c r="H104" s="3">
        <f t="shared" si="1"/>
        <v>3.7664783427495685E-3</v>
      </c>
    </row>
    <row r="105" spans="1:8" x14ac:dyDescent="0.3">
      <c r="A105" s="7">
        <v>45538</v>
      </c>
      <c r="B105">
        <v>168.12</v>
      </c>
      <c r="C105">
        <v>170.76</v>
      </c>
      <c r="D105">
        <v>171.48</v>
      </c>
      <c r="E105">
        <v>167.36</v>
      </c>
      <c r="F105" t="s">
        <v>268</v>
      </c>
      <c r="G105" s="8">
        <v>-1.43E-2</v>
      </c>
      <c r="H105" s="3">
        <f t="shared" si="1"/>
        <v>-1.4305816135084415E-2</v>
      </c>
    </row>
    <row r="106" spans="1:8" x14ac:dyDescent="0.3">
      <c r="A106" s="7">
        <v>45539</v>
      </c>
      <c r="B106">
        <v>166.72</v>
      </c>
      <c r="C106">
        <v>164.8</v>
      </c>
      <c r="D106">
        <v>167.64</v>
      </c>
      <c r="E106">
        <v>164.54</v>
      </c>
      <c r="F106" t="s">
        <v>1218</v>
      </c>
      <c r="G106" s="8">
        <v>-8.3000000000000001E-3</v>
      </c>
      <c r="H106" s="3">
        <f t="shared" si="1"/>
        <v>-8.3273852010469218E-3</v>
      </c>
    </row>
    <row r="107" spans="1:8" x14ac:dyDescent="0.3">
      <c r="A107" s="7">
        <v>45540</v>
      </c>
      <c r="B107">
        <v>165.22</v>
      </c>
      <c r="C107">
        <v>166.1</v>
      </c>
      <c r="D107">
        <v>167.5</v>
      </c>
      <c r="E107">
        <v>164.46</v>
      </c>
      <c r="F107" t="s">
        <v>1217</v>
      </c>
      <c r="G107" s="8">
        <v>-8.9999999999999993E-3</v>
      </c>
      <c r="H107" s="3">
        <f t="shared" si="1"/>
        <v>-8.9971209213052239E-3</v>
      </c>
    </row>
    <row r="108" spans="1:8" x14ac:dyDescent="0.3">
      <c r="A108" s="7">
        <v>45541</v>
      </c>
      <c r="B108">
        <v>161.13999999999999</v>
      </c>
      <c r="C108">
        <v>164.98</v>
      </c>
      <c r="D108">
        <v>166.32</v>
      </c>
      <c r="E108">
        <v>160.97999999999999</v>
      </c>
      <c r="F108" t="s">
        <v>127</v>
      </c>
      <c r="G108" s="8">
        <v>-2.47E-2</v>
      </c>
      <c r="H108" s="3">
        <f t="shared" si="1"/>
        <v>-2.4694346931364297E-2</v>
      </c>
    </row>
    <row r="109" spans="1:8" x14ac:dyDescent="0.3">
      <c r="A109" s="7">
        <v>45544</v>
      </c>
      <c r="B109">
        <v>162.6</v>
      </c>
      <c r="C109">
        <v>162.6</v>
      </c>
      <c r="D109">
        <v>163.96</v>
      </c>
      <c r="E109">
        <v>161.69999999999999</v>
      </c>
      <c r="F109" t="s">
        <v>1216</v>
      </c>
      <c r="G109" s="8">
        <v>9.1000000000000004E-3</v>
      </c>
      <c r="H109" s="3">
        <f t="shared" si="1"/>
        <v>9.0604443341193441E-3</v>
      </c>
    </row>
    <row r="110" spans="1:8" x14ac:dyDescent="0.3">
      <c r="A110" s="7">
        <v>45545</v>
      </c>
      <c r="B110">
        <v>162.36000000000001</v>
      </c>
      <c r="C110">
        <v>162.4</v>
      </c>
      <c r="D110">
        <v>163.44</v>
      </c>
      <c r="E110">
        <v>161.04</v>
      </c>
      <c r="F110" t="s">
        <v>1215</v>
      </c>
      <c r="G110" s="8">
        <v>-1.5E-3</v>
      </c>
      <c r="H110" s="3">
        <f t="shared" si="1"/>
        <v>-1.4760147601474705E-3</v>
      </c>
    </row>
    <row r="111" spans="1:8" x14ac:dyDescent="0.3">
      <c r="A111" s="7">
        <v>45546</v>
      </c>
      <c r="B111">
        <v>162.13999999999999</v>
      </c>
      <c r="C111">
        <v>162.46</v>
      </c>
      <c r="D111">
        <v>164.8</v>
      </c>
      <c r="E111">
        <v>160.24</v>
      </c>
      <c r="F111" t="s">
        <v>1214</v>
      </c>
      <c r="G111" s="8">
        <v>-1.4E-3</v>
      </c>
      <c r="H111" s="3">
        <f t="shared" si="1"/>
        <v>-1.3550135501356753E-3</v>
      </c>
    </row>
    <row r="112" spans="1:8" x14ac:dyDescent="0.3">
      <c r="A112" s="7">
        <v>45547</v>
      </c>
      <c r="B112">
        <v>164.3</v>
      </c>
      <c r="C112">
        <v>163.96</v>
      </c>
      <c r="D112">
        <v>165.7</v>
      </c>
      <c r="E112">
        <v>162.16</v>
      </c>
      <c r="F112" t="s">
        <v>1213</v>
      </c>
      <c r="G112" s="8">
        <v>1.3299999999999999E-2</v>
      </c>
      <c r="H112" s="3">
        <f t="shared" si="1"/>
        <v>1.3321820648822147E-2</v>
      </c>
    </row>
    <row r="113" spans="1:8" x14ac:dyDescent="0.3">
      <c r="A113" s="7">
        <v>45548</v>
      </c>
      <c r="B113">
        <v>164.06</v>
      </c>
      <c r="C113">
        <v>164.56</v>
      </c>
      <c r="D113">
        <v>165.06</v>
      </c>
      <c r="E113">
        <v>163.1</v>
      </c>
      <c r="F113" t="s">
        <v>1212</v>
      </c>
      <c r="G113" s="8">
        <v>-1.5E-3</v>
      </c>
      <c r="H113" s="3">
        <f t="shared" si="1"/>
        <v>-1.4607425441266475E-3</v>
      </c>
    </row>
    <row r="114" spans="1:8" x14ac:dyDescent="0.3">
      <c r="A114" s="7">
        <v>45551</v>
      </c>
      <c r="B114">
        <v>162.9</v>
      </c>
      <c r="C114">
        <v>163.68</v>
      </c>
      <c r="D114">
        <v>164.48</v>
      </c>
      <c r="E114">
        <v>162.68</v>
      </c>
      <c r="F114" t="s">
        <v>1211</v>
      </c>
      <c r="G114" s="8">
        <v>-7.1000000000000004E-3</v>
      </c>
      <c r="H114" s="3">
        <f t="shared" si="1"/>
        <v>-7.0705839327075415E-3</v>
      </c>
    </row>
    <row r="115" spans="1:8" x14ac:dyDescent="0.3">
      <c r="A115" s="7">
        <v>45552</v>
      </c>
      <c r="B115">
        <v>166.36</v>
      </c>
      <c r="C115">
        <v>164.02</v>
      </c>
      <c r="D115">
        <v>167.52</v>
      </c>
      <c r="E115">
        <v>163.26</v>
      </c>
      <c r="F115" t="s">
        <v>265</v>
      </c>
      <c r="G115" s="8">
        <v>2.12E-2</v>
      </c>
      <c r="H115" s="3">
        <f t="shared" si="1"/>
        <v>2.1240024554941783E-2</v>
      </c>
    </row>
    <row r="116" spans="1:8" x14ac:dyDescent="0.3">
      <c r="A116" s="7">
        <v>45553</v>
      </c>
      <c r="B116">
        <v>165.72</v>
      </c>
      <c r="C116">
        <v>166.52</v>
      </c>
      <c r="D116">
        <v>166.72</v>
      </c>
      <c r="E116">
        <v>165.3</v>
      </c>
      <c r="F116" t="s">
        <v>1210</v>
      </c>
      <c r="G116" s="8">
        <v>-3.8E-3</v>
      </c>
      <c r="H116" s="3">
        <f t="shared" si="1"/>
        <v>-3.8470786246694866E-3</v>
      </c>
    </row>
    <row r="117" spans="1:8" x14ac:dyDescent="0.3">
      <c r="A117" s="7">
        <v>45554</v>
      </c>
      <c r="B117">
        <v>169.92</v>
      </c>
      <c r="C117">
        <v>168.32</v>
      </c>
      <c r="D117">
        <v>170.52</v>
      </c>
      <c r="E117">
        <v>167.18</v>
      </c>
      <c r="F117" t="s">
        <v>168</v>
      </c>
      <c r="G117" s="8">
        <v>2.53E-2</v>
      </c>
      <c r="H117" s="3">
        <f t="shared" si="1"/>
        <v>2.5343953656770335E-2</v>
      </c>
    </row>
    <row r="118" spans="1:8" x14ac:dyDescent="0.3">
      <c r="A118" s="7">
        <v>45555</v>
      </c>
      <c r="B118">
        <v>166.66</v>
      </c>
      <c r="C118">
        <v>169.78</v>
      </c>
      <c r="D118">
        <v>169.96</v>
      </c>
      <c r="E118">
        <v>166.42</v>
      </c>
      <c r="F118" t="s">
        <v>312</v>
      </c>
      <c r="G118" s="8">
        <v>-1.9199999999999998E-2</v>
      </c>
      <c r="H118" s="3">
        <f t="shared" si="1"/>
        <v>-1.9185499058380406E-2</v>
      </c>
    </row>
    <row r="119" spans="1:8" x14ac:dyDescent="0.3">
      <c r="A119" s="7">
        <v>45558</v>
      </c>
      <c r="B119">
        <v>167.5</v>
      </c>
      <c r="C119">
        <v>167.1</v>
      </c>
      <c r="D119">
        <v>167.84</v>
      </c>
      <c r="E119">
        <v>165.4</v>
      </c>
      <c r="F119" t="s">
        <v>1209</v>
      </c>
      <c r="G119" s="8">
        <v>5.0000000000000001E-3</v>
      </c>
      <c r="H119" s="3">
        <f t="shared" si="1"/>
        <v>5.0402016080643985E-3</v>
      </c>
    </row>
    <row r="120" spans="1:8" x14ac:dyDescent="0.3">
      <c r="A120" s="7">
        <v>45559</v>
      </c>
      <c r="B120">
        <v>170.34</v>
      </c>
      <c r="C120">
        <v>170</v>
      </c>
      <c r="D120">
        <v>173.3</v>
      </c>
      <c r="E120">
        <v>163.06</v>
      </c>
      <c r="F120" t="s">
        <v>247</v>
      </c>
      <c r="G120" s="8">
        <v>1.7000000000000001E-2</v>
      </c>
      <c r="H120" s="3">
        <f t="shared" si="1"/>
        <v>1.6955223880597003E-2</v>
      </c>
    </row>
    <row r="121" spans="1:8" x14ac:dyDescent="0.3">
      <c r="A121" s="7">
        <v>45560</v>
      </c>
      <c r="B121">
        <v>172.54</v>
      </c>
      <c r="C121">
        <v>170</v>
      </c>
      <c r="D121">
        <v>173.6</v>
      </c>
      <c r="E121">
        <v>169.92</v>
      </c>
      <c r="F121" t="s">
        <v>166</v>
      </c>
      <c r="G121" s="8">
        <v>1.29E-2</v>
      </c>
      <c r="H121" s="3">
        <f t="shared" si="1"/>
        <v>1.2915345779030085E-2</v>
      </c>
    </row>
    <row r="122" spans="1:8" x14ac:dyDescent="0.3">
      <c r="A122" s="7">
        <v>45561</v>
      </c>
      <c r="B122">
        <v>181.74</v>
      </c>
      <c r="C122">
        <v>175.18</v>
      </c>
      <c r="D122">
        <v>181.74</v>
      </c>
      <c r="E122">
        <v>175</v>
      </c>
      <c r="F122" t="s">
        <v>242</v>
      </c>
      <c r="G122" s="8">
        <v>5.33E-2</v>
      </c>
      <c r="H122" s="3">
        <f t="shared" si="1"/>
        <v>5.3320969050655087E-2</v>
      </c>
    </row>
    <row r="123" spans="1:8" x14ac:dyDescent="0.3">
      <c r="A123" s="7">
        <v>45562</v>
      </c>
      <c r="B123">
        <v>182.86</v>
      </c>
      <c r="C123">
        <v>181</v>
      </c>
      <c r="D123">
        <v>185</v>
      </c>
      <c r="E123">
        <v>180.44</v>
      </c>
      <c r="F123" t="s">
        <v>52</v>
      </c>
      <c r="G123" s="8">
        <v>6.1999999999999998E-3</v>
      </c>
      <c r="H123" s="3">
        <f t="shared" si="1"/>
        <v>6.1626499394740186E-3</v>
      </c>
    </row>
    <row r="124" spans="1:8" x14ac:dyDescent="0.3">
      <c r="A124" s="7">
        <v>45565</v>
      </c>
      <c r="B124">
        <v>181.34</v>
      </c>
      <c r="C124">
        <v>181.26</v>
      </c>
      <c r="D124">
        <v>183.58</v>
      </c>
      <c r="E124">
        <v>180.56</v>
      </c>
      <c r="F124" t="s">
        <v>181</v>
      </c>
      <c r="G124" s="8">
        <v>-8.3000000000000001E-3</v>
      </c>
      <c r="H124" s="3">
        <f t="shared" si="1"/>
        <v>-8.3123701192169275E-3</v>
      </c>
    </row>
    <row r="125" spans="1:8" x14ac:dyDescent="0.3">
      <c r="A125" s="7">
        <v>45566</v>
      </c>
      <c r="B125">
        <v>179.86</v>
      </c>
      <c r="C125">
        <v>181.92</v>
      </c>
      <c r="D125">
        <v>183.42</v>
      </c>
      <c r="E125">
        <v>177.92</v>
      </c>
      <c r="F125" t="s">
        <v>773</v>
      </c>
      <c r="G125" s="8">
        <v>-8.2000000000000007E-3</v>
      </c>
      <c r="H125" s="3">
        <f t="shared" si="1"/>
        <v>-8.1614646520348222E-3</v>
      </c>
    </row>
    <row r="126" spans="1:8" x14ac:dyDescent="0.3">
      <c r="A126" s="7">
        <v>45567</v>
      </c>
      <c r="B126">
        <v>180.62</v>
      </c>
      <c r="C126">
        <v>179.94</v>
      </c>
      <c r="D126">
        <v>181.26</v>
      </c>
      <c r="E126">
        <v>178.1</v>
      </c>
      <c r="F126" t="s">
        <v>1208</v>
      </c>
      <c r="G126" s="8">
        <v>4.1999999999999997E-3</v>
      </c>
      <c r="H126" s="3">
        <f t="shared" si="1"/>
        <v>4.2255087290115068E-3</v>
      </c>
    </row>
    <row r="127" spans="1:8" x14ac:dyDescent="0.3">
      <c r="A127" s="7">
        <v>45568</v>
      </c>
      <c r="B127">
        <v>179.58</v>
      </c>
      <c r="C127">
        <v>180.08</v>
      </c>
      <c r="D127">
        <v>180.38</v>
      </c>
      <c r="E127">
        <v>178.12</v>
      </c>
      <c r="F127" t="s">
        <v>1207</v>
      </c>
      <c r="G127" s="8">
        <v>-5.7999999999999996E-3</v>
      </c>
      <c r="H127" s="3">
        <f t="shared" si="1"/>
        <v>-5.7579448566049685E-3</v>
      </c>
    </row>
    <row r="128" spans="1:8" x14ac:dyDescent="0.3">
      <c r="A128" s="7">
        <v>45569</v>
      </c>
      <c r="B128">
        <v>182.88</v>
      </c>
      <c r="C128">
        <v>179.18</v>
      </c>
      <c r="D128">
        <v>183.52</v>
      </c>
      <c r="E128">
        <v>178.44</v>
      </c>
      <c r="F128" t="s">
        <v>772</v>
      </c>
      <c r="G128" s="8">
        <v>1.84E-2</v>
      </c>
      <c r="H128" s="3">
        <f t="shared" si="1"/>
        <v>1.8376211159371714E-2</v>
      </c>
    </row>
    <row r="129" spans="1:8" x14ac:dyDescent="0.3">
      <c r="A129" s="7">
        <v>45572</v>
      </c>
      <c r="B129">
        <v>184.38</v>
      </c>
      <c r="C129">
        <v>182.76</v>
      </c>
      <c r="D129">
        <v>184.38</v>
      </c>
      <c r="E129">
        <v>181.62</v>
      </c>
      <c r="F129" t="s">
        <v>1206</v>
      </c>
      <c r="G129" s="8">
        <v>8.2000000000000007E-3</v>
      </c>
      <c r="H129" s="3">
        <f t="shared" si="1"/>
        <v>8.2020997375327198E-3</v>
      </c>
    </row>
    <row r="130" spans="1:8" x14ac:dyDescent="0.3">
      <c r="A130" s="7">
        <v>45573</v>
      </c>
      <c r="B130">
        <v>180.18</v>
      </c>
      <c r="C130">
        <v>180.88</v>
      </c>
      <c r="D130">
        <v>182.36</v>
      </c>
      <c r="E130">
        <v>178.82</v>
      </c>
      <c r="F130" t="s">
        <v>261</v>
      </c>
      <c r="G130" s="8">
        <v>-2.2800000000000001E-2</v>
      </c>
      <c r="H130" s="3">
        <f t="shared" si="1"/>
        <v>-2.277904328018221E-2</v>
      </c>
    </row>
    <row r="131" spans="1:8" x14ac:dyDescent="0.3">
      <c r="A131" s="7">
        <v>45574</v>
      </c>
      <c r="B131">
        <v>184.46</v>
      </c>
      <c r="C131">
        <v>180.76</v>
      </c>
      <c r="D131">
        <v>185.16</v>
      </c>
      <c r="E131">
        <v>179.82</v>
      </c>
      <c r="F131" t="s">
        <v>1072</v>
      </c>
      <c r="G131" s="8">
        <v>2.3800000000000002E-2</v>
      </c>
      <c r="H131" s="3">
        <f t="shared" si="1"/>
        <v>2.375402375402369E-2</v>
      </c>
    </row>
    <row r="132" spans="1:8" x14ac:dyDescent="0.3">
      <c r="A132" s="7">
        <v>45575</v>
      </c>
      <c r="B132">
        <v>183.36</v>
      </c>
      <c r="C132">
        <v>183.44</v>
      </c>
      <c r="D132">
        <v>184.68</v>
      </c>
      <c r="E132">
        <v>181.78</v>
      </c>
      <c r="F132" t="s">
        <v>1205</v>
      </c>
      <c r="G132" s="8">
        <v>-6.0000000000000001E-3</v>
      </c>
      <c r="H132" s="3">
        <f t="shared" ref="H132:H195" si="2">(B132/B131)-1</f>
        <v>-5.9633524883443423E-3</v>
      </c>
    </row>
    <row r="133" spans="1:8" x14ac:dyDescent="0.3">
      <c r="A133" s="7">
        <v>45576</v>
      </c>
      <c r="B133">
        <v>185.84</v>
      </c>
      <c r="C133">
        <v>183.38</v>
      </c>
      <c r="D133">
        <v>185.84</v>
      </c>
      <c r="E133">
        <v>183.26</v>
      </c>
      <c r="F133" t="s">
        <v>67</v>
      </c>
      <c r="G133" s="8">
        <v>1.35E-2</v>
      </c>
      <c r="H133" s="3">
        <f t="shared" si="2"/>
        <v>1.352530541012209E-2</v>
      </c>
    </row>
    <row r="134" spans="1:8" x14ac:dyDescent="0.3">
      <c r="A134" s="7">
        <v>45579</v>
      </c>
      <c r="B134">
        <v>185.26</v>
      </c>
      <c r="C134">
        <v>185.36</v>
      </c>
      <c r="D134">
        <v>185.9</v>
      </c>
      <c r="E134">
        <v>183.7</v>
      </c>
      <c r="F134" t="s">
        <v>1204</v>
      </c>
      <c r="G134" s="8">
        <v>-3.0999999999999999E-3</v>
      </c>
      <c r="H134" s="3">
        <f t="shared" si="2"/>
        <v>-3.120964270340143E-3</v>
      </c>
    </row>
    <row r="135" spans="1:8" x14ac:dyDescent="0.3">
      <c r="A135" s="7">
        <v>45580</v>
      </c>
      <c r="B135">
        <v>182.84</v>
      </c>
      <c r="C135">
        <v>185.98</v>
      </c>
      <c r="D135">
        <v>185.98</v>
      </c>
      <c r="E135">
        <v>182.3</v>
      </c>
      <c r="F135" t="s">
        <v>327</v>
      </c>
      <c r="G135" s="8">
        <v>-1.3100000000000001E-2</v>
      </c>
      <c r="H135" s="3">
        <f t="shared" si="2"/>
        <v>-1.3062722660045267E-2</v>
      </c>
    </row>
    <row r="136" spans="1:8" x14ac:dyDescent="0.3">
      <c r="A136" s="7">
        <v>45581</v>
      </c>
      <c r="B136">
        <v>181</v>
      </c>
      <c r="C136">
        <v>181.82</v>
      </c>
      <c r="D136">
        <v>183.18</v>
      </c>
      <c r="E136">
        <v>180.94</v>
      </c>
      <c r="F136" t="s">
        <v>273</v>
      </c>
      <c r="G136" s="8">
        <v>-1.01E-2</v>
      </c>
      <c r="H136" s="3">
        <f t="shared" si="2"/>
        <v>-1.0063443447823284E-2</v>
      </c>
    </row>
    <row r="137" spans="1:8" x14ac:dyDescent="0.3">
      <c r="A137" s="7">
        <v>45582</v>
      </c>
      <c r="B137">
        <v>184.28</v>
      </c>
      <c r="C137">
        <v>180.22</v>
      </c>
      <c r="D137">
        <v>184.96</v>
      </c>
      <c r="E137">
        <v>180.22</v>
      </c>
      <c r="F137" t="s">
        <v>137</v>
      </c>
      <c r="G137" s="8">
        <v>1.8100000000000002E-2</v>
      </c>
      <c r="H137" s="3">
        <f t="shared" si="2"/>
        <v>1.8121546961326063E-2</v>
      </c>
    </row>
    <row r="138" spans="1:8" x14ac:dyDescent="0.3">
      <c r="A138" s="7">
        <v>45583</v>
      </c>
      <c r="B138">
        <v>185.6</v>
      </c>
      <c r="C138">
        <v>183.56</v>
      </c>
      <c r="D138">
        <v>186.06</v>
      </c>
      <c r="E138">
        <v>183.22</v>
      </c>
      <c r="F138" t="s">
        <v>1203</v>
      </c>
      <c r="G138" s="8">
        <v>7.1999999999999998E-3</v>
      </c>
      <c r="H138" s="3">
        <f t="shared" si="2"/>
        <v>7.1630128065987009E-3</v>
      </c>
    </row>
    <row r="139" spans="1:8" x14ac:dyDescent="0.3">
      <c r="A139" s="7">
        <v>45586</v>
      </c>
      <c r="B139">
        <v>185.1</v>
      </c>
      <c r="C139">
        <v>185.14</v>
      </c>
      <c r="D139">
        <v>186.42</v>
      </c>
      <c r="E139">
        <v>183.76</v>
      </c>
      <c r="F139" t="s">
        <v>1202</v>
      </c>
      <c r="G139" s="8">
        <v>-2.7000000000000001E-3</v>
      </c>
      <c r="H139" s="3">
        <f t="shared" si="2"/>
        <v>-2.6939655172413257E-3</v>
      </c>
    </row>
    <row r="140" spans="1:8" x14ac:dyDescent="0.3">
      <c r="A140" s="7">
        <v>45587</v>
      </c>
      <c r="B140">
        <v>183.5</v>
      </c>
      <c r="C140">
        <v>184.54</v>
      </c>
      <c r="D140">
        <v>185</v>
      </c>
      <c r="E140">
        <v>182.72</v>
      </c>
      <c r="F140" t="s">
        <v>1201</v>
      </c>
      <c r="G140" s="8">
        <v>-8.6E-3</v>
      </c>
      <c r="H140" s="3">
        <f t="shared" si="2"/>
        <v>-8.6439762290653199E-3</v>
      </c>
    </row>
    <row r="141" spans="1:8" x14ac:dyDescent="0.3">
      <c r="A141" s="7">
        <v>45588</v>
      </c>
      <c r="B141">
        <v>181.2</v>
      </c>
      <c r="C141">
        <v>182.86</v>
      </c>
      <c r="D141">
        <v>183.5</v>
      </c>
      <c r="E141">
        <v>181.2</v>
      </c>
      <c r="F141" t="s">
        <v>1200</v>
      </c>
      <c r="G141" s="8">
        <v>-1.2500000000000001E-2</v>
      </c>
      <c r="H141" s="3">
        <f t="shared" si="2"/>
        <v>-1.2534059945504161E-2</v>
      </c>
    </row>
    <row r="142" spans="1:8" x14ac:dyDescent="0.3">
      <c r="A142" s="7">
        <v>45589</v>
      </c>
      <c r="B142">
        <v>179.46</v>
      </c>
      <c r="C142">
        <v>180.44</v>
      </c>
      <c r="D142">
        <v>182.1</v>
      </c>
      <c r="E142">
        <v>179.46</v>
      </c>
      <c r="F142" t="s">
        <v>1199</v>
      </c>
      <c r="G142" s="8">
        <v>-9.5999999999999992E-3</v>
      </c>
      <c r="H142" s="3">
        <f t="shared" si="2"/>
        <v>-9.6026490066224435E-3</v>
      </c>
    </row>
    <row r="143" spans="1:8" x14ac:dyDescent="0.3">
      <c r="A143" s="7">
        <v>45590</v>
      </c>
      <c r="B143">
        <v>180.42</v>
      </c>
      <c r="C143">
        <v>179.5</v>
      </c>
      <c r="D143">
        <v>181.46</v>
      </c>
      <c r="E143">
        <v>178.56</v>
      </c>
      <c r="F143" t="s">
        <v>1198</v>
      </c>
      <c r="G143" s="8">
        <v>5.3E-3</v>
      </c>
      <c r="H143" s="3">
        <f t="shared" si="2"/>
        <v>5.3493814777665349E-3</v>
      </c>
    </row>
    <row r="144" spans="1:8" x14ac:dyDescent="0.3">
      <c r="A144" s="7">
        <v>45593</v>
      </c>
      <c r="B144">
        <v>181.84</v>
      </c>
      <c r="C144">
        <v>181.58</v>
      </c>
      <c r="D144">
        <v>182.06</v>
      </c>
      <c r="E144">
        <v>179.06</v>
      </c>
      <c r="F144" t="s">
        <v>1197</v>
      </c>
      <c r="G144" s="8">
        <v>7.9000000000000008E-3</v>
      </c>
      <c r="H144" s="3">
        <f t="shared" si="2"/>
        <v>7.8705243321139928E-3</v>
      </c>
    </row>
    <row r="145" spans="1:8" x14ac:dyDescent="0.3">
      <c r="A145" s="7">
        <v>45594</v>
      </c>
      <c r="B145">
        <v>181.06</v>
      </c>
      <c r="C145">
        <v>182.2</v>
      </c>
      <c r="D145">
        <v>183.04</v>
      </c>
      <c r="E145">
        <v>180.56</v>
      </c>
      <c r="F145" t="s">
        <v>1196</v>
      </c>
      <c r="G145" s="8">
        <v>-4.3E-3</v>
      </c>
      <c r="H145" s="3">
        <f t="shared" si="2"/>
        <v>-4.2894852617686441E-3</v>
      </c>
    </row>
    <row r="146" spans="1:8" x14ac:dyDescent="0.3">
      <c r="A146" s="7">
        <v>45595</v>
      </c>
      <c r="B146">
        <v>179.48</v>
      </c>
      <c r="C146">
        <v>179</v>
      </c>
      <c r="D146">
        <v>180.72</v>
      </c>
      <c r="E146">
        <v>178.66</v>
      </c>
      <c r="F146" t="s">
        <v>1195</v>
      </c>
      <c r="G146" s="8">
        <v>-8.6999999999999994E-3</v>
      </c>
      <c r="H146" s="3">
        <f t="shared" si="2"/>
        <v>-8.7263890423064927E-3</v>
      </c>
    </row>
    <row r="147" spans="1:8" x14ac:dyDescent="0.3">
      <c r="A147" s="7">
        <v>45596</v>
      </c>
      <c r="B147">
        <v>178.4</v>
      </c>
      <c r="C147">
        <v>176.34</v>
      </c>
      <c r="D147">
        <v>179.9</v>
      </c>
      <c r="E147">
        <v>176.06</v>
      </c>
      <c r="F147" t="s">
        <v>222</v>
      </c>
      <c r="G147" s="8">
        <v>-6.0000000000000001E-3</v>
      </c>
      <c r="H147" s="3">
        <f t="shared" si="2"/>
        <v>-6.0173835524848229E-3</v>
      </c>
    </row>
    <row r="148" spans="1:8" x14ac:dyDescent="0.3">
      <c r="A148" s="7">
        <v>45597</v>
      </c>
      <c r="B148">
        <v>181.52</v>
      </c>
      <c r="C148">
        <v>179.32</v>
      </c>
      <c r="D148">
        <v>181.68</v>
      </c>
      <c r="E148">
        <v>179</v>
      </c>
      <c r="F148" t="s">
        <v>768</v>
      </c>
      <c r="G148" s="8">
        <v>1.7500000000000002E-2</v>
      </c>
      <c r="H148" s="3">
        <f t="shared" si="2"/>
        <v>1.7488789237668279E-2</v>
      </c>
    </row>
    <row r="149" spans="1:8" x14ac:dyDescent="0.3">
      <c r="A149" s="7">
        <v>45600</v>
      </c>
      <c r="B149">
        <v>181.3</v>
      </c>
      <c r="C149">
        <v>182</v>
      </c>
      <c r="D149">
        <v>182.5</v>
      </c>
      <c r="E149">
        <v>180.9</v>
      </c>
      <c r="F149" t="s">
        <v>1194</v>
      </c>
      <c r="G149" s="8">
        <v>-1.1999999999999999E-3</v>
      </c>
      <c r="H149" s="3">
        <f t="shared" si="2"/>
        <v>-1.2119876597620483E-3</v>
      </c>
    </row>
    <row r="150" spans="1:8" x14ac:dyDescent="0.3">
      <c r="A150" s="7">
        <v>45601</v>
      </c>
      <c r="B150">
        <v>184</v>
      </c>
      <c r="C150">
        <v>181.92</v>
      </c>
      <c r="D150">
        <v>184.38</v>
      </c>
      <c r="E150">
        <v>180.56</v>
      </c>
      <c r="F150" t="s">
        <v>1193</v>
      </c>
      <c r="G150" s="8">
        <v>1.49E-2</v>
      </c>
      <c r="H150" s="3">
        <f t="shared" si="2"/>
        <v>1.4892443463871974E-2</v>
      </c>
    </row>
    <row r="151" spans="1:8" x14ac:dyDescent="0.3">
      <c r="A151" s="7">
        <v>45602</v>
      </c>
      <c r="B151">
        <v>184.1</v>
      </c>
      <c r="C151">
        <v>185.8</v>
      </c>
      <c r="D151">
        <v>190.96</v>
      </c>
      <c r="E151">
        <v>183.9</v>
      </c>
      <c r="F151" t="s">
        <v>205</v>
      </c>
      <c r="G151" s="8">
        <v>5.0000000000000001E-4</v>
      </c>
      <c r="H151" s="3">
        <f t="shared" si="2"/>
        <v>5.4347826086953432E-4</v>
      </c>
    </row>
    <row r="152" spans="1:8" x14ac:dyDescent="0.3">
      <c r="A152" s="7">
        <v>45603</v>
      </c>
      <c r="B152">
        <v>187.98</v>
      </c>
      <c r="C152">
        <v>184.9</v>
      </c>
      <c r="D152">
        <v>188.92</v>
      </c>
      <c r="E152">
        <v>183.12</v>
      </c>
      <c r="F152" t="s">
        <v>229</v>
      </c>
      <c r="G152" s="8">
        <v>2.1100000000000001E-2</v>
      </c>
      <c r="H152" s="3">
        <f t="shared" si="2"/>
        <v>2.1075502444323657E-2</v>
      </c>
    </row>
    <row r="153" spans="1:8" x14ac:dyDescent="0.3">
      <c r="A153" s="7">
        <v>45604</v>
      </c>
      <c r="B153">
        <v>183.08</v>
      </c>
      <c r="C153">
        <v>188.76</v>
      </c>
      <c r="D153">
        <v>188.92</v>
      </c>
      <c r="E153">
        <v>182.66</v>
      </c>
      <c r="F153" t="s">
        <v>130</v>
      </c>
      <c r="G153" s="8">
        <v>-2.6100000000000002E-2</v>
      </c>
      <c r="H153" s="3">
        <f t="shared" si="2"/>
        <v>-2.6066602830088215E-2</v>
      </c>
    </row>
    <row r="154" spans="1:8" x14ac:dyDescent="0.3">
      <c r="A154" s="7">
        <v>45607</v>
      </c>
      <c r="B154">
        <v>185.84</v>
      </c>
      <c r="C154">
        <v>185.06</v>
      </c>
      <c r="D154">
        <v>187.76</v>
      </c>
      <c r="E154">
        <v>184.96</v>
      </c>
      <c r="F154" t="s">
        <v>1071</v>
      </c>
      <c r="G154" s="8">
        <v>1.5100000000000001E-2</v>
      </c>
      <c r="H154" s="3">
        <f t="shared" si="2"/>
        <v>1.5075376884422065E-2</v>
      </c>
    </row>
    <row r="155" spans="1:8" x14ac:dyDescent="0.3">
      <c r="A155" s="7">
        <v>45608</v>
      </c>
      <c r="B155">
        <v>177.94</v>
      </c>
      <c r="C155">
        <v>183.42</v>
      </c>
      <c r="D155">
        <v>184.5</v>
      </c>
      <c r="E155">
        <v>177.22</v>
      </c>
      <c r="F155" t="s">
        <v>221</v>
      </c>
      <c r="G155" s="8">
        <v>-4.2500000000000003E-2</v>
      </c>
      <c r="H155" s="3">
        <f t="shared" si="2"/>
        <v>-4.2509685751183857E-2</v>
      </c>
    </row>
    <row r="156" spans="1:8" x14ac:dyDescent="0.3">
      <c r="A156" s="7">
        <v>45609</v>
      </c>
      <c r="B156">
        <v>179.4</v>
      </c>
      <c r="C156">
        <v>178.34</v>
      </c>
      <c r="D156">
        <v>180.26</v>
      </c>
      <c r="E156">
        <v>176.78</v>
      </c>
      <c r="F156" t="s">
        <v>256</v>
      </c>
      <c r="G156" s="8">
        <v>8.2000000000000007E-3</v>
      </c>
      <c r="H156" s="3">
        <f t="shared" si="2"/>
        <v>8.2050129257054127E-3</v>
      </c>
    </row>
    <row r="157" spans="1:8" x14ac:dyDescent="0.3">
      <c r="A157" s="7">
        <v>45610</v>
      </c>
      <c r="B157">
        <v>188.2</v>
      </c>
      <c r="C157">
        <v>185.6</v>
      </c>
      <c r="D157">
        <v>195.5</v>
      </c>
      <c r="E157">
        <v>185.28</v>
      </c>
      <c r="F157" t="s">
        <v>112</v>
      </c>
      <c r="G157" s="8">
        <v>4.9099999999999998E-2</v>
      </c>
      <c r="H157" s="3">
        <f t="shared" si="2"/>
        <v>4.9052396878483728E-2</v>
      </c>
    </row>
    <row r="158" spans="1:8" x14ac:dyDescent="0.3">
      <c r="A158" s="7">
        <v>45611</v>
      </c>
      <c r="B158">
        <v>187.4</v>
      </c>
      <c r="C158">
        <v>187.28</v>
      </c>
      <c r="D158">
        <v>189.2</v>
      </c>
      <c r="E158">
        <v>185.86</v>
      </c>
      <c r="F158" t="s">
        <v>89</v>
      </c>
      <c r="G158" s="8">
        <v>-4.3E-3</v>
      </c>
      <c r="H158" s="3">
        <f t="shared" si="2"/>
        <v>-4.2507970244419768E-3</v>
      </c>
    </row>
    <row r="159" spans="1:8" x14ac:dyDescent="0.3">
      <c r="A159" s="7">
        <v>45614</v>
      </c>
      <c r="B159">
        <v>184</v>
      </c>
      <c r="C159">
        <v>188</v>
      </c>
      <c r="D159">
        <v>188.66</v>
      </c>
      <c r="E159">
        <v>183.74</v>
      </c>
      <c r="F159" t="s">
        <v>101</v>
      </c>
      <c r="G159" s="8">
        <v>-1.8100000000000002E-2</v>
      </c>
      <c r="H159" s="3">
        <f t="shared" si="2"/>
        <v>-1.8143009605122717E-2</v>
      </c>
    </row>
    <row r="160" spans="1:8" x14ac:dyDescent="0.3">
      <c r="A160" s="7">
        <v>45615</v>
      </c>
      <c r="B160">
        <v>177.84</v>
      </c>
      <c r="C160">
        <v>182.28</v>
      </c>
      <c r="D160">
        <v>182.98</v>
      </c>
      <c r="E160">
        <v>175.16</v>
      </c>
      <c r="F160" t="s">
        <v>174</v>
      </c>
      <c r="G160" s="8">
        <v>-3.3500000000000002E-2</v>
      </c>
      <c r="H160" s="3">
        <f t="shared" si="2"/>
        <v>-3.347826086956518E-2</v>
      </c>
    </row>
    <row r="161" spans="1:8" x14ac:dyDescent="0.3">
      <c r="A161" s="7">
        <v>45616</v>
      </c>
      <c r="B161">
        <v>176.56</v>
      </c>
      <c r="C161">
        <v>179.5</v>
      </c>
      <c r="D161">
        <v>179.5</v>
      </c>
      <c r="E161">
        <v>175.92</v>
      </c>
      <c r="F161" t="s">
        <v>69</v>
      </c>
      <c r="G161" s="8">
        <v>-7.1999999999999998E-3</v>
      </c>
      <c r="H161" s="3">
        <f t="shared" si="2"/>
        <v>-7.1974808816913649E-3</v>
      </c>
    </row>
    <row r="162" spans="1:8" x14ac:dyDescent="0.3">
      <c r="A162" s="7">
        <v>45617</v>
      </c>
      <c r="B162">
        <v>176</v>
      </c>
      <c r="C162">
        <v>176.74</v>
      </c>
      <c r="D162">
        <v>177.18</v>
      </c>
      <c r="E162">
        <v>175.06</v>
      </c>
      <c r="F162" t="s">
        <v>116</v>
      </c>
      <c r="G162" s="8">
        <v>-3.2000000000000002E-3</v>
      </c>
      <c r="H162" s="3">
        <f t="shared" si="2"/>
        <v>-3.1717263253284722E-3</v>
      </c>
    </row>
    <row r="163" spans="1:8" x14ac:dyDescent="0.3">
      <c r="A163" s="7">
        <v>45618</v>
      </c>
      <c r="B163">
        <v>177.56</v>
      </c>
      <c r="C163">
        <v>176.58</v>
      </c>
      <c r="D163">
        <v>177.82</v>
      </c>
      <c r="E163">
        <v>173.72</v>
      </c>
      <c r="F163" t="s">
        <v>102</v>
      </c>
      <c r="G163" s="8">
        <v>8.8999999999999999E-3</v>
      </c>
      <c r="H163" s="3">
        <f t="shared" si="2"/>
        <v>8.8636363636362958E-3</v>
      </c>
    </row>
    <row r="164" spans="1:8" x14ac:dyDescent="0.3">
      <c r="A164" s="7">
        <v>45621</v>
      </c>
      <c r="B164">
        <v>180.82</v>
      </c>
      <c r="C164">
        <v>178.64</v>
      </c>
      <c r="D164">
        <v>181.22</v>
      </c>
      <c r="E164">
        <v>177.92</v>
      </c>
      <c r="F164" t="s">
        <v>141</v>
      </c>
      <c r="G164" s="8">
        <v>1.84E-2</v>
      </c>
      <c r="H164" s="3">
        <f t="shared" si="2"/>
        <v>1.835999098896135E-2</v>
      </c>
    </row>
    <row r="165" spans="1:8" x14ac:dyDescent="0.3">
      <c r="A165" s="7">
        <v>45622</v>
      </c>
      <c r="B165">
        <v>180.32</v>
      </c>
      <c r="C165">
        <v>179.36</v>
      </c>
      <c r="D165">
        <v>180.88</v>
      </c>
      <c r="E165">
        <v>178.32</v>
      </c>
      <c r="F165" t="s">
        <v>1192</v>
      </c>
      <c r="G165" s="8">
        <v>-2.8E-3</v>
      </c>
      <c r="H165" s="3">
        <f t="shared" si="2"/>
        <v>-2.7651808428271751E-3</v>
      </c>
    </row>
    <row r="166" spans="1:8" x14ac:dyDescent="0.3">
      <c r="A166" s="7">
        <v>45623</v>
      </c>
      <c r="B166">
        <v>178.98</v>
      </c>
      <c r="C166">
        <v>180.36</v>
      </c>
      <c r="D166">
        <v>180.92</v>
      </c>
      <c r="E166">
        <v>178.58</v>
      </c>
      <c r="F166" t="s">
        <v>1191</v>
      </c>
      <c r="G166" s="8">
        <v>-7.4000000000000003E-3</v>
      </c>
      <c r="H166" s="3">
        <f t="shared" si="2"/>
        <v>-7.4312333629104055E-3</v>
      </c>
    </row>
    <row r="167" spans="1:8" x14ac:dyDescent="0.3">
      <c r="A167" s="7">
        <v>45624</v>
      </c>
      <c r="B167">
        <v>180.88</v>
      </c>
      <c r="C167">
        <v>180.1</v>
      </c>
      <c r="D167">
        <v>180.98</v>
      </c>
      <c r="E167">
        <v>179.48</v>
      </c>
      <c r="F167" t="s">
        <v>1190</v>
      </c>
      <c r="G167" s="8">
        <v>1.06E-2</v>
      </c>
      <c r="H167" s="3">
        <f t="shared" si="2"/>
        <v>1.0615711252653925E-2</v>
      </c>
    </row>
    <row r="168" spans="1:8" x14ac:dyDescent="0.3">
      <c r="A168" s="7">
        <v>45625</v>
      </c>
      <c r="B168">
        <v>183.16</v>
      </c>
      <c r="C168">
        <v>180.78</v>
      </c>
      <c r="D168">
        <v>184.14</v>
      </c>
      <c r="E168">
        <v>180.26</v>
      </c>
      <c r="F168" t="s">
        <v>175</v>
      </c>
      <c r="G168" s="8">
        <v>1.26E-2</v>
      </c>
      <c r="H168" s="3">
        <f t="shared" si="2"/>
        <v>1.2605042016806678E-2</v>
      </c>
    </row>
    <row r="169" spans="1:8" x14ac:dyDescent="0.3">
      <c r="A169" s="7">
        <v>45628</v>
      </c>
      <c r="B169">
        <v>188.12</v>
      </c>
      <c r="C169">
        <v>182.46</v>
      </c>
      <c r="D169">
        <v>188.12</v>
      </c>
      <c r="E169">
        <v>181.92</v>
      </c>
      <c r="F169" t="s">
        <v>263</v>
      </c>
      <c r="G169" s="8">
        <v>2.7099999999999999E-2</v>
      </c>
      <c r="H169" s="3">
        <f t="shared" si="2"/>
        <v>2.7080148504040169E-2</v>
      </c>
    </row>
    <row r="170" spans="1:8" x14ac:dyDescent="0.3">
      <c r="A170" s="7">
        <v>45629</v>
      </c>
      <c r="B170">
        <v>190.2</v>
      </c>
      <c r="C170">
        <v>188.88</v>
      </c>
      <c r="D170">
        <v>191.14</v>
      </c>
      <c r="E170">
        <v>188.46</v>
      </c>
      <c r="F170" t="s">
        <v>89</v>
      </c>
      <c r="G170" s="8">
        <v>1.11E-2</v>
      </c>
      <c r="H170" s="3">
        <f t="shared" si="2"/>
        <v>1.1056772273017046E-2</v>
      </c>
    </row>
    <row r="171" spans="1:8" x14ac:dyDescent="0.3">
      <c r="A171" s="7">
        <v>45630</v>
      </c>
      <c r="B171">
        <v>191.9</v>
      </c>
      <c r="C171">
        <v>191.86</v>
      </c>
      <c r="D171">
        <v>193.7</v>
      </c>
      <c r="E171">
        <v>190.56</v>
      </c>
      <c r="F171" t="s">
        <v>102</v>
      </c>
      <c r="G171" s="8">
        <v>8.8999999999999999E-3</v>
      </c>
      <c r="H171" s="3">
        <f t="shared" si="2"/>
        <v>8.9379600420611549E-3</v>
      </c>
    </row>
    <row r="172" spans="1:8" x14ac:dyDescent="0.3">
      <c r="A172" s="7">
        <v>45631</v>
      </c>
      <c r="B172">
        <v>193.06</v>
      </c>
      <c r="C172">
        <v>191.92</v>
      </c>
      <c r="D172">
        <v>193.5</v>
      </c>
      <c r="E172">
        <v>191.52</v>
      </c>
      <c r="F172" t="s">
        <v>172</v>
      </c>
      <c r="G172" s="8">
        <v>6.0000000000000001E-3</v>
      </c>
      <c r="H172" s="3">
        <f t="shared" si="2"/>
        <v>6.0448150078165064E-3</v>
      </c>
    </row>
    <row r="173" spans="1:8" x14ac:dyDescent="0.3">
      <c r="A173" s="7">
        <v>45632</v>
      </c>
      <c r="B173">
        <v>193.7</v>
      </c>
      <c r="C173">
        <v>192.5</v>
      </c>
      <c r="D173">
        <v>194.32</v>
      </c>
      <c r="E173">
        <v>192.08</v>
      </c>
      <c r="F173" t="s">
        <v>1189</v>
      </c>
      <c r="G173" s="8">
        <v>3.3E-3</v>
      </c>
      <c r="H173" s="3">
        <f t="shared" si="2"/>
        <v>3.3150315963947907E-3</v>
      </c>
    </row>
    <row r="174" spans="1:8" x14ac:dyDescent="0.3">
      <c r="A174" s="7">
        <v>45635</v>
      </c>
      <c r="B174">
        <v>194.14</v>
      </c>
      <c r="C174">
        <v>195.54</v>
      </c>
      <c r="D174">
        <v>195.66</v>
      </c>
      <c r="E174">
        <v>193.4</v>
      </c>
      <c r="F174" t="s">
        <v>78</v>
      </c>
      <c r="G174" s="8">
        <v>2.3E-3</v>
      </c>
      <c r="H174" s="3">
        <f t="shared" si="2"/>
        <v>2.2715539494062575E-3</v>
      </c>
    </row>
    <row r="175" spans="1:8" x14ac:dyDescent="0.3">
      <c r="A175" s="7">
        <v>45636</v>
      </c>
      <c r="B175">
        <v>192.88</v>
      </c>
      <c r="C175">
        <v>193.3</v>
      </c>
      <c r="D175">
        <v>194.5</v>
      </c>
      <c r="E175">
        <v>192.18</v>
      </c>
      <c r="F175" t="s">
        <v>129</v>
      </c>
      <c r="G175" s="8">
        <v>-6.4999999999999997E-3</v>
      </c>
      <c r="H175" s="3">
        <f t="shared" si="2"/>
        <v>-6.4901617389512278E-3</v>
      </c>
    </row>
    <row r="176" spans="1:8" x14ac:dyDescent="0.3">
      <c r="A176" s="7">
        <v>45637</v>
      </c>
      <c r="B176">
        <v>195.52</v>
      </c>
      <c r="C176">
        <v>193.4</v>
      </c>
      <c r="D176">
        <v>196.7</v>
      </c>
      <c r="E176">
        <v>193.14</v>
      </c>
      <c r="F176" t="s">
        <v>167</v>
      </c>
      <c r="G176" s="8">
        <v>1.37E-2</v>
      </c>
      <c r="H176" s="3">
        <f t="shared" si="2"/>
        <v>1.3687266694317746E-2</v>
      </c>
    </row>
    <row r="177" spans="1:8" x14ac:dyDescent="0.3">
      <c r="A177" s="7">
        <v>45638</v>
      </c>
      <c r="B177">
        <v>194</v>
      </c>
      <c r="C177">
        <v>195.7</v>
      </c>
      <c r="D177">
        <v>196.3</v>
      </c>
      <c r="E177">
        <v>193.3</v>
      </c>
      <c r="F177" t="s">
        <v>1188</v>
      </c>
      <c r="G177" s="8">
        <v>-7.7999999999999996E-3</v>
      </c>
      <c r="H177" s="3">
        <f t="shared" si="2"/>
        <v>-7.7741407528642004E-3</v>
      </c>
    </row>
    <row r="178" spans="1:8" x14ac:dyDescent="0.3">
      <c r="A178" s="7">
        <v>45639</v>
      </c>
      <c r="B178">
        <v>191.38</v>
      </c>
      <c r="C178">
        <v>193.8</v>
      </c>
      <c r="D178">
        <v>194.64</v>
      </c>
      <c r="E178">
        <v>190.26</v>
      </c>
      <c r="F178" t="s">
        <v>265</v>
      </c>
      <c r="G178" s="8">
        <v>-1.35E-2</v>
      </c>
      <c r="H178" s="3">
        <f t="shared" si="2"/>
        <v>-1.3505154639175232E-2</v>
      </c>
    </row>
    <row r="179" spans="1:8" x14ac:dyDescent="0.3">
      <c r="A179" s="7">
        <v>45642</v>
      </c>
      <c r="B179">
        <v>190.32</v>
      </c>
      <c r="C179">
        <v>191.46</v>
      </c>
      <c r="D179">
        <v>192.46</v>
      </c>
      <c r="E179">
        <v>189.8</v>
      </c>
      <c r="F179" t="s">
        <v>1187</v>
      </c>
      <c r="G179" s="8">
        <v>-5.4999999999999997E-3</v>
      </c>
      <c r="H179" s="3">
        <f t="shared" si="2"/>
        <v>-5.5387187793918269E-3</v>
      </c>
    </row>
    <row r="180" spans="1:8" x14ac:dyDescent="0.3">
      <c r="A180" s="7">
        <v>45643</v>
      </c>
      <c r="B180">
        <v>192.92</v>
      </c>
      <c r="C180">
        <v>189.68</v>
      </c>
      <c r="D180">
        <v>194.1</v>
      </c>
      <c r="E180">
        <v>189.56</v>
      </c>
      <c r="F180" t="s">
        <v>277</v>
      </c>
      <c r="G180" s="8">
        <v>1.37E-2</v>
      </c>
      <c r="H180" s="3">
        <f t="shared" si="2"/>
        <v>1.3661202185792254E-2</v>
      </c>
    </row>
    <row r="181" spans="1:8" x14ac:dyDescent="0.3">
      <c r="A181" s="7">
        <v>45644</v>
      </c>
      <c r="B181">
        <v>194.72</v>
      </c>
      <c r="C181">
        <v>192.28</v>
      </c>
      <c r="D181">
        <v>196.2</v>
      </c>
      <c r="E181">
        <v>191.62</v>
      </c>
      <c r="F181" t="s">
        <v>282</v>
      </c>
      <c r="G181" s="8">
        <v>9.2999999999999992E-3</v>
      </c>
      <c r="H181" s="3">
        <f t="shared" si="2"/>
        <v>9.3302923491602741E-3</v>
      </c>
    </row>
    <row r="182" spans="1:8" x14ac:dyDescent="0.3">
      <c r="A182" s="7">
        <v>45645</v>
      </c>
      <c r="B182">
        <v>189.44</v>
      </c>
      <c r="C182">
        <v>191.04</v>
      </c>
      <c r="D182">
        <v>193.02</v>
      </c>
      <c r="E182">
        <v>189.44</v>
      </c>
      <c r="F182" t="s">
        <v>773</v>
      </c>
      <c r="G182" s="8">
        <v>-2.7099999999999999E-2</v>
      </c>
      <c r="H182" s="3">
        <f t="shared" si="2"/>
        <v>-2.7115858668857906E-2</v>
      </c>
    </row>
    <row r="183" spans="1:8" x14ac:dyDescent="0.3">
      <c r="A183" s="7">
        <v>45646</v>
      </c>
      <c r="B183">
        <v>189.26</v>
      </c>
      <c r="C183">
        <v>187.74</v>
      </c>
      <c r="D183">
        <v>189.62</v>
      </c>
      <c r="E183">
        <v>186.48</v>
      </c>
      <c r="F183" t="s">
        <v>48</v>
      </c>
      <c r="G183" s="8">
        <v>-1E-3</v>
      </c>
      <c r="H183" s="3">
        <f t="shared" si="2"/>
        <v>-9.5016891891896993E-4</v>
      </c>
    </row>
    <row r="184" spans="1:8" x14ac:dyDescent="0.3">
      <c r="A184" s="7">
        <v>45649</v>
      </c>
      <c r="B184">
        <v>188.98</v>
      </c>
      <c r="C184">
        <v>189.16</v>
      </c>
      <c r="D184">
        <v>190.18</v>
      </c>
      <c r="E184">
        <v>188.2</v>
      </c>
      <c r="F184" t="s">
        <v>1186</v>
      </c>
      <c r="G184" s="8">
        <v>-1.5E-3</v>
      </c>
      <c r="H184" s="3">
        <f t="shared" si="2"/>
        <v>-1.4794462643982209E-3</v>
      </c>
    </row>
    <row r="185" spans="1:8" x14ac:dyDescent="0.3">
      <c r="A185" s="7">
        <v>45653</v>
      </c>
      <c r="B185">
        <v>189.6</v>
      </c>
      <c r="C185">
        <v>187.8</v>
      </c>
      <c r="D185">
        <v>189.68</v>
      </c>
      <c r="E185">
        <v>187.48</v>
      </c>
      <c r="F185" t="s">
        <v>1185</v>
      </c>
      <c r="G185" s="8">
        <v>3.3E-3</v>
      </c>
      <c r="H185" s="3">
        <f t="shared" si="2"/>
        <v>3.2807704518997838E-3</v>
      </c>
    </row>
    <row r="186" spans="1:8" x14ac:dyDescent="0.3">
      <c r="A186" s="7">
        <v>45656</v>
      </c>
      <c r="B186">
        <v>188.56</v>
      </c>
      <c r="C186">
        <v>188.26</v>
      </c>
      <c r="D186">
        <v>189.64</v>
      </c>
      <c r="E186">
        <v>188.06</v>
      </c>
      <c r="F186" t="s">
        <v>1184</v>
      </c>
      <c r="G186" s="8">
        <v>-5.4999999999999997E-3</v>
      </c>
      <c r="H186" s="3">
        <f t="shared" si="2"/>
        <v>-5.4852320675105037E-3</v>
      </c>
    </row>
    <row r="187" spans="1:8" x14ac:dyDescent="0.3">
      <c r="A187" s="7">
        <v>45659</v>
      </c>
      <c r="B187">
        <v>189.12</v>
      </c>
      <c r="C187">
        <v>188.46</v>
      </c>
      <c r="D187">
        <v>190</v>
      </c>
      <c r="E187">
        <v>186.76</v>
      </c>
      <c r="F187" t="s">
        <v>1183</v>
      </c>
      <c r="G187" s="8">
        <v>3.0000000000000001E-3</v>
      </c>
      <c r="H187" s="3">
        <f t="shared" si="2"/>
        <v>2.9698769622401588E-3</v>
      </c>
    </row>
    <row r="188" spans="1:8" x14ac:dyDescent="0.3">
      <c r="A188" s="7">
        <v>45660</v>
      </c>
      <c r="B188">
        <v>186.78</v>
      </c>
      <c r="C188">
        <v>188.58</v>
      </c>
      <c r="D188">
        <v>189.04</v>
      </c>
      <c r="E188">
        <v>186.2</v>
      </c>
      <c r="F188" t="s">
        <v>1182</v>
      </c>
      <c r="G188" s="8">
        <v>-1.24E-2</v>
      </c>
      <c r="H188" s="3">
        <f t="shared" si="2"/>
        <v>-1.2373096446700482E-2</v>
      </c>
    </row>
    <row r="189" spans="1:8" x14ac:dyDescent="0.3">
      <c r="A189" s="7">
        <v>45663</v>
      </c>
      <c r="B189">
        <v>193.08</v>
      </c>
      <c r="C189">
        <v>187.68</v>
      </c>
      <c r="D189">
        <v>194.04</v>
      </c>
      <c r="E189">
        <v>187.28</v>
      </c>
      <c r="F189" t="s">
        <v>264</v>
      </c>
      <c r="G189" s="8">
        <v>3.3700000000000001E-2</v>
      </c>
      <c r="H189" s="3">
        <f t="shared" si="2"/>
        <v>3.3729521362030335E-2</v>
      </c>
    </row>
    <row r="190" spans="1:8" x14ac:dyDescent="0.3">
      <c r="A190" s="7">
        <v>45664</v>
      </c>
      <c r="B190">
        <v>193.54</v>
      </c>
      <c r="C190">
        <v>193.42</v>
      </c>
      <c r="D190">
        <v>194.72</v>
      </c>
      <c r="E190">
        <v>192.42</v>
      </c>
      <c r="F190" t="s">
        <v>263</v>
      </c>
      <c r="G190" s="8">
        <v>2.3999999999999998E-3</v>
      </c>
      <c r="H190" s="3">
        <f t="shared" si="2"/>
        <v>2.3824321524754666E-3</v>
      </c>
    </row>
    <row r="191" spans="1:8" x14ac:dyDescent="0.3">
      <c r="A191" s="7">
        <v>45665</v>
      </c>
      <c r="B191">
        <v>195.64</v>
      </c>
      <c r="C191">
        <v>193.22</v>
      </c>
      <c r="D191">
        <v>195.78</v>
      </c>
      <c r="E191">
        <v>193</v>
      </c>
      <c r="F191" t="s">
        <v>129</v>
      </c>
      <c r="G191" s="8">
        <v>1.09E-2</v>
      </c>
      <c r="H191" s="3">
        <f t="shared" si="2"/>
        <v>1.0850470187041328E-2</v>
      </c>
    </row>
    <row r="192" spans="1:8" x14ac:dyDescent="0.3">
      <c r="A192" s="7">
        <v>45666</v>
      </c>
      <c r="B192">
        <v>196.6</v>
      </c>
      <c r="C192">
        <v>194.8</v>
      </c>
      <c r="D192">
        <v>196.92</v>
      </c>
      <c r="E192">
        <v>193.62</v>
      </c>
      <c r="F192" t="s">
        <v>1181</v>
      </c>
      <c r="G192" s="8">
        <v>4.8999999999999998E-3</v>
      </c>
      <c r="H192" s="3">
        <f t="shared" si="2"/>
        <v>4.9069719893681807E-3</v>
      </c>
    </row>
    <row r="193" spans="1:8" x14ac:dyDescent="0.3">
      <c r="A193" s="7">
        <v>45667</v>
      </c>
      <c r="B193">
        <v>194.5</v>
      </c>
      <c r="C193">
        <v>196</v>
      </c>
      <c r="D193">
        <v>197.1</v>
      </c>
      <c r="E193">
        <v>193.9</v>
      </c>
      <c r="F193" t="s">
        <v>1180</v>
      </c>
      <c r="G193" s="8">
        <v>-1.0699999999999999E-2</v>
      </c>
      <c r="H193" s="3">
        <f t="shared" si="2"/>
        <v>-1.0681586978636748E-2</v>
      </c>
    </row>
    <row r="194" spans="1:8" x14ac:dyDescent="0.3">
      <c r="A194" s="7">
        <v>45670</v>
      </c>
      <c r="B194">
        <v>193.18</v>
      </c>
      <c r="C194">
        <v>193.38</v>
      </c>
      <c r="D194">
        <v>193.98</v>
      </c>
      <c r="E194">
        <v>190.92</v>
      </c>
      <c r="F194" t="s">
        <v>1071</v>
      </c>
      <c r="G194" s="8">
        <v>-6.7999999999999996E-3</v>
      </c>
      <c r="H194" s="3">
        <f t="shared" si="2"/>
        <v>-6.7866323907455062E-3</v>
      </c>
    </row>
    <row r="195" spans="1:8" x14ac:dyDescent="0.3">
      <c r="A195" s="7">
        <v>45671</v>
      </c>
      <c r="B195">
        <v>193.96</v>
      </c>
      <c r="C195">
        <v>194.6</v>
      </c>
      <c r="D195">
        <v>195.96</v>
      </c>
      <c r="E195">
        <v>193.8</v>
      </c>
      <c r="F195" t="s">
        <v>1179</v>
      </c>
      <c r="G195" s="8">
        <v>4.0000000000000001E-3</v>
      </c>
      <c r="H195" s="3">
        <f t="shared" si="2"/>
        <v>4.0376850605652326E-3</v>
      </c>
    </row>
    <row r="196" spans="1:8" x14ac:dyDescent="0.3">
      <c r="A196" s="7">
        <v>45672</v>
      </c>
      <c r="B196">
        <v>195.58</v>
      </c>
      <c r="C196">
        <v>193.94</v>
      </c>
      <c r="D196">
        <v>197.2</v>
      </c>
      <c r="E196">
        <v>192.94</v>
      </c>
      <c r="F196" t="s">
        <v>768</v>
      </c>
      <c r="G196" s="8">
        <v>8.3999999999999995E-3</v>
      </c>
      <c r="H196" s="3">
        <f t="shared" ref="H196:H250" si="3">(B196/B195)-1</f>
        <v>8.3522375747577815E-3</v>
      </c>
    </row>
    <row r="197" spans="1:8" x14ac:dyDescent="0.3">
      <c r="A197" s="7">
        <v>45673</v>
      </c>
      <c r="B197">
        <v>195.16</v>
      </c>
      <c r="C197">
        <v>197.16</v>
      </c>
      <c r="D197">
        <v>197.18</v>
      </c>
      <c r="E197">
        <v>194.08</v>
      </c>
      <c r="F197" t="s">
        <v>768</v>
      </c>
      <c r="G197" s="8">
        <v>-2.0999999999999999E-3</v>
      </c>
      <c r="H197" s="3">
        <f t="shared" si="3"/>
        <v>-2.1474588403722628E-3</v>
      </c>
    </row>
    <row r="198" spans="1:8" x14ac:dyDescent="0.3">
      <c r="A198" s="7">
        <v>45674</v>
      </c>
      <c r="B198">
        <v>200.85</v>
      </c>
      <c r="C198">
        <v>196.8</v>
      </c>
      <c r="D198">
        <v>200.9</v>
      </c>
      <c r="E198">
        <v>196.64</v>
      </c>
      <c r="F198" t="s">
        <v>174</v>
      </c>
      <c r="G198" s="8">
        <v>2.92E-2</v>
      </c>
      <c r="H198" s="3">
        <f t="shared" si="3"/>
        <v>2.9155564664890443E-2</v>
      </c>
    </row>
    <row r="199" spans="1:8" x14ac:dyDescent="0.3">
      <c r="A199" s="7">
        <v>45677</v>
      </c>
      <c r="B199">
        <v>201.8</v>
      </c>
      <c r="C199">
        <v>201</v>
      </c>
      <c r="D199">
        <v>202.8</v>
      </c>
      <c r="E199">
        <v>200.85</v>
      </c>
      <c r="F199" t="s">
        <v>1178</v>
      </c>
      <c r="G199" s="8">
        <v>4.7000000000000002E-3</v>
      </c>
      <c r="H199" s="3">
        <f t="shared" si="3"/>
        <v>4.729897933781535E-3</v>
      </c>
    </row>
    <row r="200" spans="1:8" x14ac:dyDescent="0.3">
      <c r="A200" s="7">
        <v>45678</v>
      </c>
      <c r="B200">
        <v>204.15</v>
      </c>
      <c r="C200">
        <v>201.35</v>
      </c>
      <c r="D200">
        <v>204.6</v>
      </c>
      <c r="E200">
        <v>201.35</v>
      </c>
      <c r="F200" t="s">
        <v>1177</v>
      </c>
      <c r="G200" s="8">
        <v>1.1599999999999999E-2</v>
      </c>
      <c r="H200" s="3">
        <f t="shared" si="3"/>
        <v>1.1645193260654052E-2</v>
      </c>
    </row>
    <row r="201" spans="1:8" x14ac:dyDescent="0.3">
      <c r="A201" s="7">
        <v>45679</v>
      </c>
      <c r="B201">
        <v>207.15</v>
      </c>
      <c r="C201">
        <v>205.25</v>
      </c>
      <c r="D201">
        <v>208.25</v>
      </c>
      <c r="E201">
        <v>205.1</v>
      </c>
      <c r="F201" t="s">
        <v>137</v>
      </c>
      <c r="G201" s="8">
        <v>1.47E-2</v>
      </c>
      <c r="H201" s="3">
        <f t="shared" si="3"/>
        <v>1.4695077149154967E-2</v>
      </c>
    </row>
    <row r="202" spans="1:8" x14ac:dyDescent="0.3">
      <c r="A202" s="7">
        <v>45680</v>
      </c>
      <c r="B202">
        <v>209</v>
      </c>
      <c r="C202">
        <v>208.05</v>
      </c>
      <c r="D202">
        <v>209.4</v>
      </c>
      <c r="E202">
        <v>207.05</v>
      </c>
      <c r="F202" t="s">
        <v>273</v>
      </c>
      <c r="G202" s="8">
        <v>8.8999999999999999E-3</v>
      </c>
      <c r="H202" s="3">
        <f t="shared" si="3"/>
        <v>8.9307265266713731E-3</v>
      </c>
    </row>
    <row r="203" spans="1:8" x14ac:dyDescent="0.3">
      <c r="A203" s="7">
        <v>45681</v>
      </c>
      <c r="B203">
        <v>208.45</v>
      </c>
      <c r="C203">
        <v>209.25</v>
      </c>
      <c r="D203">
        <v>210.05</v>
      </c>
      <c r="E203">
        <v>208</v>
      </c>
      <c r="F203" t="s">
        <v>327</v>
      </c>
      <c r="G203" s="8">
        <v>-2.5999999999999999E-3</v>
      </c>
      <c r="H203" s="3">
        <f t="shared" si="3"/>
        <v>-2.6315789473684292E-3</v>
      </c>
    </row>
    <row r="204" spans="1:8" x14ac:dyDescent="0.3">
      <c r="A204" s="7">
        <v>45684</v>
      </c>
      <c r="B204">
        <v>201.4</v>
      </c>
      <c r="C204">
        <v>201.2</v>
      </c>
      <c r="D204">
        <v>203.05</v>
      </c>
      <c r="E204">
        <v>197.26</v>
      </c>
      <c r="F204" t="s">
        <v>199</v>
      </c>
      <c r="G204" s="8">
        <v>-3.3799999999999997E-2</v>
      </c>
      <c r="H204" s="3">
        <f t="shared" si="3"/>
        <v>-3.3821060206284392E-2</v>
      </c>
    </row>
    <row r="205" spans="1:8" x14ac:dyDescent="0.3">
      <c r="A205" s="7">
        <v>45685</v>
      </c>
      <c r="B205">
        <v>200.05</v>
      </c>
      <c r="C205">
        <v>201.65</v>
      </c>
      <c r="D205">
        <v>201.9</v>
      </c>
      <c r="E205">
        <v>197.82</v>
      </c>
      <c r="F205" t="s">
        <v>175</v>
      </c>
      <c r="G205" s="8">
        <v>-6.7000000000000002E-3</v>
      </c>
      <c r="H205" s="3">
        <f t="shared" si="3"/>
        <v>-6.7030784508440577E-3</v>
      </c>
    </row>
    <row r="206" spans="1:8" x14ac:dyDescent="0.3">
      <c r="A206" s="7">
        <v>45686</v>
      </c>
      <c r="B206">
        <v>203.35</v>
      </c>
      <c r="C206">
        <v>201.8</v>
      </c>
      <c r="D206">
        <v>204.25</v>
      </c>
      <c r="E206">
        <v>201.35</v>
      </c>
      <c r="F206" t="s">
        <v>265</v>
      </c>
      <c r="G206" s="8">
        <v>1.6500000000000001E-2</v>
      </c>
      <c r="H206" s="3">
        <f t="shared" si="3"/>
        <v>1.6495876030992118E-2</v>
      </c>
    </row>
    <row r="207" spans="1:8" x14ac:dyDescent="0.3">
      <c r="A207" s="7">
        <v>45687</v>
      </c>
      <c r="B207">
        <v>205.15</v>
      </c>
      <c r="C207">
        <v>204.85</v>
      </c>
      <c r="D207">
        <v>207.75</v>
      </c>
      <c r="E207">
        <v>203.9</v>
      </c>
      <c r="F207" t="s">
        <v>1176</v>
      </c>
      <c r="G207" s="8">
        <v>8.8999999999999999E-3</v>
      </c>
      <c r="H207" s="3">
        <f t="shared" si="3"/>
        <v>8.8517334644702128E-3</v>
      </c>
    </row>
    <row r="208" spans="1:8" x14ac:dyDescent="0.3">
      <c r="A208" s="7">
        <v>45688</v>
      </c>
      <c r="B208">
        <v>207.45</v>
      </c>
      <c r="C208">
        <v>206</v>
      </c>
      <c r="D208">
        <v>207.7</v>
      </c>
      <c r="E208">
        <v>204.55</v>
      </c>
      <c r="F208" t="s">
        <v>773</v>
      </c>
      <c r="G208" s="8">
        <v>1.12E-2</v>
      </c>
      <c r="H208" s="3">
        <f t="shared" si="3"/>
        <v>1.1211308798440012E-2</v>
      </c>
    </row>
    <row r="209" spans="1:8" x14ac:dyDescent="0.3">
      <c r="A209" s="7">
        <v>45691</v>
      </c>
      <c r="B209">
        <v>202.1</v>
      </c>
      <c r="C209">
        <v>201.25</v>
      </c>
      <c r="D209">
        <v>202.8</v>
      </c>
      <c r="E209">
        <v>199.6</v>
      </c>
      <c r="F209" t="s">
        <v>74</v>
      </c>
      <c r="G209" s="8">
        <v>-2.58E-2</v>
      </c>
      <c r="H209" s="3">
        <f t="shared" si="3"/>
        <v>-2.5789346830561555E-2</v>
      </c>
    </row>
    <row r="210" spans="1:8" x14ac:dyDescent="0.3">
      <c r="A210" s="7">
        <v>45692</v>
      </c>
      <c r="B210">
        <v>201.85</v>
      </c>
      <c r="C210">
        <v>202.15</v>
      </c>
      <c r="D210">
        <v>203.7</v>
      </c>
      <c r="E210">
        <v>200</v>
      </c>
      <c r="F210" t="s">
        <v>1175</v>
      </c>
      <c r="G210" s="8">
        <v>-1.1999999999999999E-3</v>
      </c>
      <c r="H210" s="3">
        <f t="shared" si="3"/>
        <v>-1.2370113805046934E-3</v>
      </c>
    </row>
    <row r="211" spans="1:8" x14ac:dyDescent="0.3">
      <c r="A211" s="7">
        <v>45693</v>
      </c>
      <c r="B211">
        <v>201.25</v>
      </c>
      <c r="C211">
        <v>200</v>
      </c>
      <c r="D211">
        <v>201.25</v>
      </c>
      <c r="E211">
        <v>199.2</v>
      </c>
      <c r="F211" t="s">
        <v>268</v>
      </c>
      <c r="G211" s="8">
        <v>-3.0000000000000001E-3</v>
      </c>
      <c r="H211" s="3">
        <f t="shared" si="3"/>
        <v>-2.9725043349021485E-3</v>
      </c>
    </row>
    <row r="212" spans="1:8" x14ac:dyDescent="0.3">
      <c r="A212" s="7">
        <v>45694</v>
      </c>
      <c r="B212">
        <v>208.05</v>
      </c>
      <c r="C212">
        <v>202.9</v>
      </c>
      <c r="D212">
        <v>208.5</v>
      </c>
      <c r="E212">
        <v>201.7</v>
      </c>
      <c r="F212" t="s">
        <v>66</v>
      </c>
      <c r="G212" s="8">
        <v>3.3799999999999997E-2</v>
      </c>
      <c r="H212" s="3">
        <f t="shared" si="3"/>
        <v>3.3788819875776532E-2</v>
      </c>
    </row>
    <row r="213" spans="1:8" x14ac:dyDescent="0.3">
      <c r="A213" s="7">
        <v>45695</v>
      </c>
      <c r="B213">
        <v>207.45</v>
      </c>
      <c r="C213">
        <v>208.2</v>
      </c>
      <c r="D213">
        <v>209.25</v>
      </c>
      <c r="E213">
        <v>206.4</v>
      </c>
      <c r="F213" t="s">
        <v>137</v>
      </c>
      <c r="G213" s="8">
        <v>-2.8999999999999998E-3</v>
      </c>
      <c r="H213" s="3">
        <f t="shared" si="3"/>
        <v>-2.8839221341024901E-3</v>
      </c>
    </row>
    <row r="214" spans="1:8" x14ac:dyDescent="0.3">
      <c r="A214" s="7">
        <v>45698</v>
      </c>
      <c r="B214">
        <v>211.15</v>
      </c>
      <c r="C214">
        <v>207.55</v>
      </c>
      <c r="D214">
        <v>212.2</v>
      </c>
      <c r="E214">
        <v>206.55</v>
      </c>
      <c r="F214" t="s">
        <v>134</v>
      </c>
      <c r="G214" s="8">
        <v>1.78E-2</v>
      </c>
      <c r="H214" s="3">
        <f t="shared" si="3"/>
        <v>1.7835623041696946E-2</v>
      </c>
    </row>
    <row r="215" spans="1:8" x14ac:dyDescent="0.3">
      <c r="A215" s="7">
        <v>45699</v>
      </c>
      <c r="B215">
        <v>214.9</v>
      </c>
      <c r="C215">
        <v>210.75</v>
      </c>
      <c r="D215">
        <v>214.9</v>
      </c>
      <c r="E215">
        <v>210.25</v>
      </c>
      <c r="F215" t="s">
        <v>165</v>
      </c>
      <c r="G215" s="8">
        <v>1.78E-2</v>
      </c>
      <c r="H215" s="3">
        <f t="shared" si="3"/>
        <v>1.7759886336727426E-2</v>
      </c>
    </row>
    <row r="216" spans="1:8" x14ac:dyDescent="0.3">
      <c r="A216" s="7">
        <v>45700</v>
      </c>
      <c r="B216">
        <v>212.05</v>
      </c>
      <c r="C216">
        <v>213.45</v>
      </c>
      <c r="D216">
        <v>214.5</v>
      </c>
      <c r="E216">
        <v>209.95</v>
      </c>
      <c r="F216" t="s">
        <v>68</v>
      </c>
      <c r="G216" s="8">
        <v>-1.3299999999999999E-2</v>
      </c>
      <c r="H216" s="3">
        <f t="shared" si="3"/>
        <v>-1.3261982317356868E-2</v>
      </c>
    </row>
    <row r="217" spans="1:8" x14ac:dyDescent="0.3">
      <c r="A217" s="7">
        <v>45701</v>
      </c>
      <c r="B217">
        <v>227.45</v>
      </c>
      <c r="C217">
        <v>226.95</v>
      </c>
      <c r="D217">
        <v>228.1</v>
      </c>
      <c r="E217">
        <v>220.95</v>
      </c>
      <c r="F217" t="s">
        <v>386</v>
      </c>
      <c r="G217" s="8">
        <v>7.2599999999999998E-2</v>
      </c>
      <c r="H217" s="3">
        <f t="shared" si="3"/>
        <v>7.262438104220692E-2</v>
      </c>
    </row>
    <row r="218" spans="1:8" x14ac:dyDescent="0.3">
      <c r="A218" s="7">
        <v>45702</v>
      </c>
      <c r="B218">
        <v>225.2</v>
      </c>
      <c r="C218">
        <v>227.15</v>
      </c>
      <c r="D218">
        <v>227.15</v>
      </c>
      <c r="E218">
        <v>222.5</v>
      </c>
      <c r="F218" t="s">
        <v>207</v>
      </c>
      <c r="G218" s="8">
        <v>-9.9000000000000008E-3</v>
      </c>
      <c r="H218" s="3">
        <f t="shared" si="3"/>
        <v>-9.8922840184656469E-3</v>
      </c>
    </row>
    <row r="219" spans="1:8" x14ac:dyDescent="0.3">
      <c r="A219" s="7">
        <v>45705</v>
      </c>
      <c r="B219">
        <v>227</v>
      </c>
      <c r="C219">
        <v>224.2</v>
      </c>
      <c r="D219">
        <v>227</v>
      </c>
      <c r="E219">
        <v>224.2</v>
      </c>
      <c r="F219" t="s">
        <v>166</v>
      </c>
      <c r="G219" s="8">
        <v>8.0000000000000002E-3</v>
      </c>
      <c r="H219" s="3">
        <f t="shared" si="3"/>
        <v>7.9928952042629398E-3</v>
      </c>
    </row>
    <row r="220" spans="1:8" x14ac:dyDescent="0.3">
      <c r="A220" s="7">
        <v>45706</v>
      </c>
      <c r="B220">
        <v>226.2</v>
      </c>
      <c r="C220">
        <v>227</v>
      </c>
      <c r="D220">
        <v>227.9</v>
      </c>
      <c r="E220">
        <v>225.15</v>
      </c>
      <c r="F220" t="s">
        <v>175</v>
      </c>
      <c r="G220" s="8">
        <v>-3.5000000000000001E-3</v>
      </c>
      <c r="H220" s="3">
        <f t="shared" si="3"/>
        <v>-3.5242290748899174E-3</v>
      </c>
    </row>
    <row r="221" spans="1:8" x14ac:dyDescent="0.3">
      <c r="A221" s="7">
        <v>45707</v>
      </c>
      <c r="B221">
        <v>220.35</v>
      </c>
      <c r="C221">
        <v>225.85</v>
      </c>
      <c r="D221">
        <v>228.3</v>
      </c>
      <c r="E221">
        <v>220.35</v>
      </c>
      <c r="F221" t="s">
        <v>229</v>
      </c>
      <c r="G221" s="8">
        <v>-2.5899999999999999E-2</v>
      </c>
      <c r="H221" s="3">
        <f t="shared" si="3"/>
        <v>-2.5862068965517238E-2</v>
      </c>
    </row>
    <row r="222" spans="1:8" x14ac:dyDescent="0.3">
      <c r="A222" s="7">
        <v>45708</v>
      </c>
      <c r="B222">
        <v>221.25</v>
      </c>
      <c r="C222">
        <v>222.2</v>
      </c>
      <c r="D222">
        <v>224.1</v>
      </c>
      <c r="E222">
        <v>220.7</v>
      </c>
      <c r="F222" t="s">
        <v>1174</v>
      </c>
      <c r="G222" s="8">
        <v>4.1000000000000003E-3</v>
      </c>
      <c r="H222" s="3">
        <f t="shared" si="3"/>
        <v>4.0844111640572223E-3</v>
      </c>
    </row>
    <row r="223" spans="1:8" x14ac:dyDescent="0.3">
      <c r="A223" s="7">
        <v>45709</v>
      </c>
      <c r="B223">
        <v>221.45</v>
      </c>
      <c r="C223">
        <v>222.15</v>
      </c>
      <c r="D223">
        <v>223.45</v>
      </c>
      <c r="E223">
        <v>220.4</v>
      </c>
      <c r="F223" t="s">
        <v>262</v>
      </c>
      <c r="G223" s="8">
        <v>8.9999999999999998E-4</v>
      </c>
      <c r="H223" s="3">
        <f t="shared" si="3"/>
        <v>9.0395480225979874E-4</v>
      </c>
    </row>
    <row r="224" spans="1:8" x14ac:dyDescent="0.3">
      <c r="A224" s="7">
        <v>45712</v>
      </c>
      <c r="B224">
        <v>218.1</v>
      </c>
      <c r="C224">
        <v>225.5</v>
      </c>
      <c r="D224">
        <v>225.5</v>
      </c>
      <c r="E224">
        <v>216.7</v>
      </c>
      <c r="F224" t="s">
        <v>89</v>
      </c>
      <c r="G224" s="8">
        <v>-1.5100000000000001E-2</v>
      </c>
      <c r="H224" s="3">
        <f t="shared" si="3"/>
        <v>-1.5127568299841965E-2</v>
      </c>
    </row>
    <row r="225" spans="1:8" x14ac:dyDescent="0.3">
      <c r="A225" s="7">
        <v>45713</v>
      </c>
      <c r="B225">
        <v>216.6</v>
      </c>
      <c r="C225">
        <v>215.5</v>
      </c>
      <c r="D225">
        <v>218.5</v>
      </c>
      <c r="E225">
        <v>215.1</v>
      </c>
      <c r="F225" t="s">
        <v>175</v>
      </c>
      <c r="G225" s="8">
        <v>-6.8999999999999999E-3</v>
      </c>
      <c r="H225" s="3">
        <f t="shared" si="3"/>
        <v>-6.8775790921595803E-3</v>
      </c>
    </row>
    <row r="226" spans="1:8" x14ac:dyDescent="0.3">
      <c r="A226" s="7">
        <v>45714</v>
      </c>
      <c r="B226">
        <v>223.45</v>
      </c>
      <c r="C226">
        <v>221</v>
      </c>
      <c r="D226">
        <v>224.4</v>
      </c>
      <c r="E226">
        <v>220.25</v>
      </c>
      <c r="F226" t="s">
        <v>78</v>
      </c>
      <c r="G226" s="8">
        <v>3.1600000000000003E-2</v>
      </c>
      <c r="H226" s="3">
        <f t="shared" si="3"/>
        <v>3.1625115420129246E-2</v>
      </c>
    </row>
    <row r="227" spans="1:8" x14ac:dyDescent="0.3">
      <c r="A227" s="7">
        <v>45715</v>
      </c>
      <c r="B227">
        <v>220.6</v>
      </c>
      <c r="C227">
        <v>221.65</v>
      </c>
      <c r="D227">
        <v>222.4</v>
      </c>
      <c r="E227">
        <v>218.05</v>
      </c>
      <c r="F227" t="s">
        <v>116</v>
      </c>
      <c r="G227" s="8">
        <v>-1.2800000000000001E-2</v>
      </c>
      <c r="H227" s="3">
        <f t="shared" si="3"/>
        <v>-1.2754531215036891E-2</v>
      </c>
    </row>
    <row r="228" spans="1:8" x14ac:dyDescent="0.3">
      <c r="A228" s="7">
        <v>45716</v>
      </c>
      <c r="B228">
        <v>221.2</v>
      </c>
      <c r="C228">
        <v>217.65</v>
      </c>
      <c r="D228">
        <v>221.25</v>
      </c>
      <c r="E228">
        <v>217.3</v>
      </c>
      <c r="F228" t="s">
        <v>138</v>
      </c>
      <c r="G228" s="8">
        <v>2.7000000000000001E-3</v>
      </c>
      <c r="H228" s="3">
        <f t="shared" si="3"/>
        <v>2.7198549410698547E-3</v>
      </c>
    </row>
    <row r="229" spans="1:8" x14ac:dyDescent="0.3">
      <c r="A229" s="7">
        <v>45719</v>
      </c>
      <c r="B229">
        <v>225.95</v>
      </c>
      <c r="C229">
        <v>221.5</v>
      </c>
      <c r="D229">
        <v>227.95</v>
      </c>
      <c r="E229">
        <v>219.4</v>
      </c>
      <c r="F229" t="s">
        <v>188</v>
      </c>
      <c r="G229" s="8">
        <v>2.1499999999999998E-2</v>
      </c>
      <c r="H229" s="3">
        <f t="shared" si="3"/>
        <v>2.147377938517181E-2</v>
      </c>
    </row>
    <row r="230" spans="1:8" x14ac:dyDescent="0.3">
      <c r="A230" s="7">
        <v>45720</v>
      </c>
      <c r="B230">
        <v>213.3</v>
      </c>
      <c r="C230">
        <v>219.7</v>
      </c>
      <c r="D230">
        <v>220.75</v>
      </c>
      <c r="E230">
        <v>213.15</v>
      </c>
      <c r="F230" t="s">
        <v>82</v>
      </c>
      <c r="G230" s="8">
        <v>-5.6000000000000001E-2</v>
      </c>
      <c r="H230" s="3">
        <f t="shared" si="3"/>
        <v>-5.598583757468456E-2</v>
      </c>
    </row>
    <row r="231" spans="1:8" x14ac:dyDescent="0.3">
      <c r="A231" s="7">
        <v>45721</v>
      </c>
      <c r="B231">
        <v>231.55</v>
      </c>
      <c r="C231">
        <v>230</v>
      </c>
      <c r="D231">
        <v>232.7</v>
      </c>
      <c r="E231">
        <v>223.1</v>
      </c>
      <c r="F231" t="s">
        <v>56</v>
      </c>
      <c r="G231" s="8">
        <v>8.5599999999999996E-2</v>
      </c>
      <c r="H231" s="3">
        <f t="shared" si="3"/>
        <v>8.5560243788091794E-2</v>
      </c>
    </row>
    <row r="232" spans="1:8" x14ac:dyDescent="0.3">
      <c r="A232" s="7">
        <v>45722</v>
      </c>
      <c r="B232">
        <v>243</v>
      </c>
      <c r="C232">
        <v>233.85</v>
      </c>
      <c r="D232">
        <v>244.85</v>
      </c>
      <c r="E232">
        <v>232.5</v>
      </c>
      <c r="F232" t="s">
        <v>302</v>
      </c>
      <c r="G232" s="8">
        <v>4.9399999999999999E-2</v>
      </c>
      <c r="H232" s="3">
        <f t="shared" si="3"/>
        <v>4.944936298855529E-2</v>
      </c>
    </row>
    <row r="233" spans="1:8" x14ac:dyDescent="0.3">
      <c r="A233" s="7">
        <v>45723</v>
      </c>
      <c r="B233">
        <v>234.3</v>
      </c>
      <c r="C233">
        <v>238.55</v>
      </c>
      <c r="D233">
        <v>240.85</v>
      </c>
      <c r="E233">
        <v>232.55</v>
      </c>
      <c r="F233" t="s">
        <v>80</v>
      </c>
      <c r="G233" s="8">
        <v>-3.5799999999999998E-2</v>
      </c>
      <c r="H233" s="3">
        <f t="shared" si="3"/>
        <v>-3.5802469135802428E-2</v>
      </c>
    </row>
    <row r="234" spans="1:8" x14ac:dyDescent="0.3">
      <c r="A234" s="7">
        <v>45726</v>
      </c>
      <c r="B234">
        <v>228.4</v>
      </c>
      <c r="C234">
        <v>235.15</v>
      </c>
      <c r="D234">
        <v>236.3</v>
      </c>
      <c r="E234">
        <v>222.55</v>
      </c>
      <c r="F234" t="s">
        <v>217</v>
      </c>
      <c r="G234" s="8">
        <v>-2.52E-2</v>
      </c>
      <c r="H234" s="3">
        <f t="shared" si="3"/>
        <v>-2.5181391378574447E-2</v>
      </c>
    </row>
    <row r="235" spans="1:8" x14ac:dyDescent="0.3">
      <c r="A235" s="7">
        <v>45727</v>
      </c>
      <c r="B235">
        <v>223.2</v>
      </c>
      <c r="C235">
        <v>231.9</v>
      </c>
      <c r="D235">
        <v>232.25</v>
      </c>
      <c r="E235">
        <v>223.2</v>
      </c>
      <c r="F235" t="s">
        <v>202</v>
      </c>
      <c r="G235" s="8">
        <v>-2.2800000000000001E-2</v>
      </c>
      <c r="H235" s="3">
        <f t="shared" si="3"/>
        <v>-2.2767075306479923E-2</v>
      </c>
    </row>
    <row r="236" spans="1:8" x14ac:dyDescent="0.3">
      <c r="A236" s="7">
        <v>45728</v>
      </c>
      <c r="B236">
        <v>226.85</v>
      </c>
      <c r="C236">
        <v>227.3</v>
      </c>
      <c r="D236">
        <v>231.5</v>
      </c>
      <c r="E236">
        <v>226.15</v>
      </c>
      <c r="F236" t="s">
        <v>107</v>
      </c>
      <c r="G236" s="8">
        <v>1.6400000000000001E-2</v>
      </c>
      <c r="H236" s="3">
        <f t="shared" si="3"/>
        <v>1.6353046594982157E-2</v>
      </c>
    </row>
    <row r="237" spans="1:8" x14ac:dyDescent="0.3">
      <c r="A237" s="7">
        <v>45729</v>
      </c>
      <c r="B237">
        <v>226.5</v>
      </c>
      <c r="C237">
        <v>226.2</v>
      </c>
      <c r="D237">
        <v>227.95</v>
      </c>
      <c r="E237">
        <v>223.4</v>
      </c>
      <c r="F237" t="s">
        <v>59</v>
      </c>
      <c r="G237" s="8">
        <v>-1.5E-3</v>
      </c>
      <c r="H237" s="3">
        <f t="shared" si="3"/>
        <v>-1.5428697377121159E-3</v>
      </c>
    </row>
    <row r="238" spans="1:8" x14ac:dyDescent="0.3">
      <c r="A238" s="7">
        <v>45730</v>
      </c>
      <c r="B238">
        <v>231.75</v>
      </c>
      <c r="C238">
        <v>224.8</v>
      </c>
      <c r="D238">
        <v>233.55</v>
      </c>
      <c r="E238">
        <v>224.2</v>
      </c>
      <c r="F238" t="s">
        <v>179</v>
      </c>
      <c r="G238" s="8">
        <v>2.3199999999999998E-2</v>
      </c>
      <c r="H238" s="3">
        <f t="shared" si="3"/>
        <v>2.3178807947019875E-2</v>
      </c>
    </row>
    <row r="239" spans="1:8" x14ac:dyDescent="0.3">
      <c r="A239" s="7">
        <v>45733</v>
      </c>
      <c r="B239">
        <v>234.3</v>
      </c>
      <c r="C239">
        <v>232.3</v>
      </c>
      <c r="D239">
        <v>234.3</v>
      </c>
      <c r="E239">
        <v>229.7</v>
      </c>
      <c r="F239" t="s">
        <v>119</v>
      </c>
      <c r="G239" s="8">
        <v>1.0999999999999999E-2</v>
      </c>
      <c r="H239" s="3">
        <f t="shared" si="3"/>
        <v>1.1003236245954673E-2</v>
      </c>
    </row>
    <row r="240" spans="1:8" x14ac:dyDescent="0.3">
      <c r="A240" s="7">
        <v>45734</v>
      </c>
      <c r="B240">
        <v>237</v>
      </c>
      <c r="C240">
        <v>236.55</v>
      </c>
      <c r="D240">
        <v>241.9</v>
      </c>
      <c r="E240">
        <v>235.5</v>
      </c>
      <c r="F240" t="s">
        <v>181</v>
      </c>
      <c r="G240" s="8">
        <v>1.15E-2</v>
      </c>
      <c r="H240" s="3">
        <f t="shared" si="3"/>
        <v>1.1523687580025532E-2</v>
      </c>
    </row>
    <row r="241" spans="1:8" x14ac:dyDescent="0.3">
      <c r="A241" s="7">
        <v>45735</v>
      </c>
      <c r="B241">
        <v>236.7</v>
      </c>
      <c r="C241">
        <v>231</v>
      </c>
      <c r="D241">
        <v>240.7</v>
      </c>
      <c r="E241">
        <v>230.35</v>
      </c>
      <c r="F241" t="s">
        <v>168</v>
      </c>
      <c r="G241" s="8">
        <v>-1.2999999999999999E-3</v>
      </c>
      <c r="H241" s="3">
        <f t="shared" si="3"/>
        <v>-1.2658227848101333E-3</v>
      </c>
    </row>
    <row r="242" spans="1:8" x14ac:dyDescent="0.3">
      <c r="A242" s="7">
        <v>45736</v>
      </c>
      <c r="B242">
        <v>234.45</v>
      </c>
      <c r="C242">
        <v>236.25</v>
      </c>
      <c r="D242">
        <v>239.6</v>
      </c>
      <c r="E242">
        <v>233.8</v>
      </c>
      <c r="F242" t="s">
        <v>72</v>
      </c>
      <c r="G242" s="8">
        <v>-9.4999999999999998E-3</v>
      </c>
      <c r="H242" s="3">
        <f t="shared" si="3"/>
        <v>-9.5057034220532577E-3</v>
      </c>
    </row>
    <row r="243" spans="1:8" x14ac:dyDescent="0.3">
      <c r="A243" s="7">
        <v>45737</v>
      </c>
      <c r="B243">
        <v>228.85</v>
      </c>
      <c r="C243">
        <v>232.25</v>
      </c>
      <c r="D243">
        <v>233.3</v>
      </c>
      <c r="E243">
        <v>227.15</v>
      </c>
      <c r="F243" t="s">
        <v>778</v>
      </c>
      <c r="G243" s="8">
        <v>-2.3900000000000001E-2</v>
      </c>
      <c r="H243" s="3">
        <f t="shared" si="3"/>
        <v>-2.3885689912561237E-2</v>
      </c>
    </row>
    <row r="244" spans="1:8" x14ac:dyDescent="0.3">
      <c r="A244" s="7">
        <v>45740</v>
      </c>
      <c r="B244">
        <v>225.35</v>
      </c>
      <c r="C244">
        <v>229.8</v>
      </c>
      <c r="D244">
        <v>230.15</v>
      </c>
      <c r="E244">
        <v>224.7</v>
      </c>
      <c r="F244" t="s">
        <v>266</v>
      </c>
      <c r="G244" s="8">
        <v>-1.5299999999999999E-2</v>
      </c>
      <c r="H244" s="3">
        <f t="shared" si="3"/>
        <v>-1.5293860607384802E-2</v>
      </c>
    </row>
    <row r="245" spans="1:8" x14ac:dyDescent="0.3">
      <c r="A245" s="7">
        <v>45741</v>
      </c>
      <c r="B245">
        <v>228.9</v>
      </c>
      <c r="C245">
        <v>225.05</v>
      </c>
      <c r="D245">
        <v>230.1</v>
      </c>
      <c r="E245">
        <v>222.95</v>
      </c>
      <c r="F245" t="s">
        <v>69</v>
      </c>
      <c r="G245" s="8">
        <v>1.5800000000000002E-2</v>
      </c>
      <c r="H245" s="3">
        <f t="shared" si="3"/>
        <v>1.5753272686931385E-2</v>
      </c>
    </row>
    <row r="246" spans="1:8" x14ac:dyDescent="0.3">
      <c r="A246" s="7">
        <v>45742</v>
      </c>
      <c r="B246">
        <v>224.5</v>
      </c>
      <c r="C246">
        <v>230.6</v>
      </c>
      <c r="D246">
        <v>231.2</v>
      </c>
      <c r="E246">
        <v>223.2</v>
      </c>
      <c r="F246" t="s">
        <v>127</v>
      </c>
      <c r="G246" s="8">
        <v>-1.9199999999999998E-2</v>
      </c>
      <c r="H246" s="3">
        <f t="shared" si="3"/>
        <v>-1.9222367846221111E-2</v>
      </c>
    </row>
    <row r="247" spans="1:8" x14ac:dyDescent="0.3">
      <c r="A247" s="7">
        <v>45743</v>
      </c>
      <c r="B247">
        <v>221.55</v>
      </c>
      <c r="C247">
        <v>223.45</v>
      </c>
      <c r="D247">
        <v>225.7</v>
      </c>
      <c r="E247">
        <v>220.15</v>
      </c>
      <c r="F247" t="s">
        <v>139</v>
      </c>
      <c r="G247" s="8">
        <v>-1.3100000000000001E-2</v>
      </c>
      <c r="H247" s="3">
        <f t="shared" si="3"/>
        <v>-1.3140311804008875E-2</v>
      </c>
    </row>
    <row r="248" spans="1:8" x14ac:dyDescent="0.3">
      <c r="A248" s="7">
        <v>45744</v>
      </c>
      <c r="B248">
        <v>216</v>
      </c>
      <c r="C248">
        <v>219.25</v>
      </c>
      <c r="D248">
        <v>219.8</v>
      </c>
      <c r="E248">
        <v>214.75</v>
      </c>
      <c r="F248" t="s">
        <v>106</v>
      </c>
      <c r="G248" s="8">
        <v>-2.5100000000000001E-2</v>
      </c>
      <c r="H248" s="3">
        <f t="shared" si="3"/>
        <v>-2.5050778605281043E-2</v>
      </c>
    </row>
    <row r="249" spans="1:8" x14ac:dyDescent="0.3">
      <c r="A249" s="7">
        <v>45747</v>
      </c>
      <c r="B249">
        <v>211.9</v>
      </c>
      <c r="C249">
        <v>214.95</v>
      </c>
      <c r="D249">
        <v>215.55</v>
      </c>
      <c r="E249">
        <v>208</v>
      </c>
      <c r="F249" t="s">
        <v>123</v>
      </c>
      <c r="G249" s="8">
        <v>-1.9E-2</v>
      </c>
      <c r="H249" s="3">
        <f t="shared" si="3"/>
        <v>-1.8981481481481488E-2</v>
      </c>
    </row>
    <row r="250" spans="1:8" x14ac:dyDescent="0.3">
      <c r="A250" s="7">
        <v>45748</v>
      </c>
      <c r="B250">
        <v>214.75</v>
      </c>
      <c r="C250">
        <v>214.35</v>
      </c>
      <c r="D250">
        <v>216.35</v>
      </c>
      <c r="E250">
        <v>211.7</v>
      </c>
      <c r="F250" t="s">
        <v>89</v>
      </c>
      <c r="G250" s="8">
        <v>1.34E-2</v>
      </c>
      <c r="H250" s="3">
        <f t="shared" si="3"/>
        <v>1.3449740443605362E-2</v>
      </c>
    </row>
    <row r="251" spans="1:8" x14ac:dyDescent="0.3">
      <c r="A251" s="7">
        <v>45749</v>
      </c>
      <c r="B251">
        <v>214.75</v>
      </c>
      <c r="C251">
        <v>213.3</v>
      </c>
      <c r="D251">
        <v>214.9</v>
      </c>
      <c r="E251">
        <v>210.7</v>
      </c>
      <c r="F251" t="s">
        <v>1173</v>
      </c>
      <c r="G251" s="8">
        <v>0</v>
      </c>
      <c r="H251" s="3">
        <f>(B251/B250)-1</f>
        <v>0</v>
      </c>
    </row>
    <row r="252" spans="1:8" x14ac:dyDescent="0.3">
      <c r="A252" s="7">
        <v>45750</v>
      </c>
      <c r="B252">
        <v>197.48</v>
      </c>
      <c r="C252">
        <v>204.95</v>
      </c>
      <c r="D252">
        <v>208.45</v>
      </c>
      <c r="E252">
        <v>195.74</v>
      </c>
      <c r="F252" t="s">
        <v>71</v>
      </c>
      <c r="G252" s="8">
        <v>-8.0399999999999999E-2</v>
      </c>
      <c r="H252" s="3">
        <f t="shared" ref="H252:H253" si="4">(B252/B251)-1</f>
        <v>-8.0419091967404044E-2</v>
      </c>
    </row>
    <row r="253" spans="1:8" x14ac:dyDescent="0.3">
      <c r="A253" s="7">
        <v>45751</v>
      </c>
      <c r="B253">
        <v>185.62</v>
      </c>
      <c r="C253">
        <v>194.22</v>
      </c>
      <c r="D253">
        <v>194.84</v>
      </c>
      <c r="E253">
        <v>180.1</v>
      </c>
      <c r="F253" t="s">
        <v>211</v>
      </c>
      <c r="G253" s="8">
        <v>-6.0100000000000001E-2</v>
      </c>
      <c r="H253" s="3">
        <f t="shared" si="4"/>
        <v>-6.0056714604010408E-2</v>
      </c>
    </row>
  </sheetData>
  <autoFilter ref="A1:G253" xr:uid="{8F647985-2DA0-4C89-9AA3-4E56635B0CEC}">
    <sortState xmlns:xlrd2="http://schemas.microsoft.com/office/spreadsheetml/2017/richdata2" ref="A2:G253">
      <sortCondition ref="A1:A253"/>
    </sortState>
  </autoFilter>
  <sortState xmlns:xlrd2="http://schemas.microsoft.com/office/spreadsheetml/2017/richdata2" ref="A2:G251">
    <sortCondition ref="A2:A25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94EC8-3649-494A-B699-20936EDAF403}">
  <sheetPr codeName="Hoja24">
    <tabColor theme="7" tint="0.59999389629810485"/>
  </sheetPr>
  <dimension ref="A1:L255"/>
  <sheetViews>
    <sheetView topLeftCell="A77" workbookViewId="0">
      <selection activeCell="A77" sqref="A77"/>
    </sheetView>
  </sheetViews>
  <sheetFormatPr baseColWidth="10" defaultRowHeight="14.4" x14ac:dyDescent="0.3"/>
  <sheetData>
    <row r="1" spans="1:12" ht="15.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K1" s="1" t="s">
        <v>8</v>
      </c>
      <c r="L1" s="1" t="s">
        <v>9</v>
      </c>
    </row>
    <row r="2" spans="1:12" x14ac:dyDescent="0.3">
      <c r="A2" t="s">
        <v>1919</v>
      </c>
      <c r="B2">
        <v>16.920000000000002</v>
      </c>
      <c r="C2">
        <v>17.324999999999999</v>
      </c>
      <c r="D2">
        <v>17.454999999999998</v>
      </c>
      <c r="E2">
        <v>16.734999999999999</v>
      </c>
      <c r="F2" t="s">
        <v>92</v>
      </c>
      <c r="G2" s="8">
        <v>-2.1700000000000001E-2</v>
      </c>
      <c r="H2" s="3" t="s">
        <v>11</v>
      </c>
      <c r="J2" t="s">
        <v>12</v>
      </c>
      <c r="K2" s="4">
        <f>AVERAGE(H3:H249)</f>
        <v>1.502673267566913E-3</v>
      </c>
      <c r="L2" s="5">
        <f>_xlfn.STDEV.S(H3:H249)</f>
        <v>1.148081401781316E-2</v>
      </c>
    </row>
    <row r="3" spans="1:12" x14ac:dyDescent="0.3">
      <c r="A3" t="s">
        <v>1920</v>
      </c>
      <c r="B3">
        <v>16.934999999999999</v>
      </c>
      <c r="C3">
        <v>16.95</v>
      </c>
      <c r="D3">
        <v>17.16</v>
      </c>
      <c r="E3">
        <v>16.89</v>
      </c>
      <c r="F3" t="s">
        <v>210</v>
      </c>
      <c r="G3" s="8">
        <v>8.9999999999999998E-4</v>
      </c>
      <c r="H3" s="3">
        <f>(B3/B2)-1</f>
        <v>8.8652482269480082E-4</v>
      </c>
      <c r="J3" t="s">
        <v>14</v>
      </c>
      <c r="K3" s="6">
        <f>K2*252</f>
        <v>0.37867366342686209</v>
      </c>
      <c r="L3" s="6">
        <f>L2*SQRT(252)</f>
        <v>0.18225227243830738</v>
      </c>
    </row>
    <row r="4" spans="1:12" x14ac:dyDescent="0.3">
      <c r="A4" t="s">
        <v>1921</v>
      </c>
      <c r="B4">
        <v>17.3</v>
      </c>
      <c r="C4">
        <v>17.02</v>
      </c>
      <c r="D4">
        <v>17.47</v>
      </c>
      <c r="E4">
        <v>16.934999999999999</v>
      </c>
      <c r="F4" t="s">
        <v>155</v>
      </c>
      <c r="G4" s="8">
        <v>2.1600000000000001E-2</v>
      </c>
      <c r="H4" s="3">
        <f t="shared" ref="H4:H67" si="0">(B4/B3)-1</f>
        <v>2.1552996752288278E-2</v>
      </c>
    </row>
    <row r="5" spans="1:12" x14ac:dyDescent="0.3">
      <c r="A5" t="s">
        <v>1922</v>
      </c>
      <c r="B5">
        <v>17.085000000000001</v>
      </c>
      <c r="C5">
        <v>17.29</v>
      </c>
      <c r="D5">
        <v>17.385000000000002</v>
      </c>
      <c r="E5">
        <v>17.015000000000001</v>
      </c>
      <c r="F5" t="s">
        <v>221</v>
      </c>
      <c r="G5" s="8">
        <v>-1.24E-2</v>
      </c>
      <c r="H5" s="3">
        <f t="shared" si="0"/>
        <v>-1.242774566473992E-2</v>
      </c>
    </row>
    <row r="6" spans="1:12" x14ac:dyDescent="0.3">
      <c r="A6" t="s">
        <v>1923</v>
      </c>
      <c r="B6">
        <v>17.164999999999999</v>
      </c>
      <c r="C6">
        <v>17</v>
      </c>
      <c r="D6">
        <v>17.274999999999999</v>
      </c>
      <c r="E6">
        <v>16.95</v>
      </c>
      <c r="F6" t="s">
        <v>221</v>
      </c>
      <c r="G6" s="8">
        <v>4.7000000000000002E-3</v>
      </c>
      <c r="H6" s="3">
        <f t="shared" si="0"/>
        <v>4.682470002926431E-3</v>
      </c>
    </row>
    <row r="7" spans="1:12" x14ac:dyDescent="0.3">
      <c r="A7" t="s">
        <v>1924</v>
      </c>
      <c r="B7">
        <v>17.295000000000002</v>
      </c>
      <c r="C7">
        <v>17.215</v>
      </c>
      <c r="D7">
        <v>17.355</v>
      </c>
      <c r="E7">
        <v>17.114999999999998</v>
      </c>
      <c r="F7" t="s">
        <v>1069</v>
      </c>
      <c r="G7" s="8">
        <v>7.6E-3</v>
      </c>
      <c r="H7" s="3">
        <f t="shared" si="0"/>
        <v>7.5735508301777443E-3</v>
      </c>
    </row>
    <row r="8" spans="1:12" x14ac:dyDescent="0.3">
      <c r="A8" t="s">
        <v>1925</v>
      </c>
      <c r="B8">
        <v>17.55</v>
      </c>
      <c r="C8">
        <v>17.39</v>
      </c>
      <c r="D8">
        <v>17.64</v>
      </c>
      <c r="E8">
        <v>17.36</v>
      </c>
      <c r="F8" t="s">
        <v>233</v>
      </c>
      <c r="G8" s="8">
        <v>1.47E-2</v>
      </c>
      <c r="H8" s="3">
        <f t="shared" si="0"/>
        <v>1.4744145706851564E-2</v>
      </c>
    </row>
    <row r="9" spans="1:12" x14ac:dyDescent="0.3">
      <c r="A9" t="s">
        <v>1926</v>
      </c>
      <c r="B9">
        <v>17.420000000000002</v>
      </c>
      <c r="C9">
        <v>17.579999999999998</v>
      </c>
      <c r="D9">
        <v>17.64</v>
      </c>
      <c r="E9">
        <v>17.329999999999998</v>
      </c>
      <c r="F9" t="s">
        <v>67</v>
      </c>
      <c r="G9" s="8">
        <v>-7.4000000000000003E-3</v>
      </c>
      <c r="H9" s="3">
        <f t="shared" si="0"/>
        <v>-7.4074074074073071E-3</v>
      </c>
    </row>
    <row r="10" spans="1:12" x14ac:dyDescent="0.3">
      <c r="A10" t="s">
        <v>1927</v>
      </c>
      <c r="B10">
        <v>17.145</v>
      </c>
      <c r="C10">
        <v>17.510000000000002</v>
      </c>
      <c r="D10">
        <v>17.535</v>
      </c>
      <c r="E10">
        <v>17.045000000000002</v>
      </c>
      <c r="F10" t="s">
        <v>92</v>
      </c>
      <c r="G10" s="8">
        <v>-1.5800000000000002E-2</v>
      </c>
      <c r="H10" s="3">
        <f t="shared" si="0"/>
        <v>-1.5786452353616642E-2</v>
      </c>
    </row>
    <row r="11" spans="1:12" x14ac:dyDescent="0.3">
      <c r="A11" t="s">
        <v>1928</v>
      </c>
      <c r="B11">
        <v>17.234999999999999</v>
      </c>
      <c r="C11">
        <v>17.184999999999999</v>
      </c>
      <c r="D11">
        <v>17.305</v>
      </c>
      <c r="E11">
        <v>17.085000000000001</v>
      </c>
      <c r="F11" t="s">
        <v>137</v>
      </c>
      <c r="G11" s="8">
        <v>5.1999999999999998E-3</v>
      </c>
      <c r="H11" s="3">
        <f t="shared" si="0"/>
        <v>5.249343832020914E-3</v>
      </c>
    </row>
    <row r="12" spans="1:12" x14ac:dyDescent="0.3">
      <c r="A12" t="s">
        <v>1929</v>
      </c>
      <c r="B12">
        <v>17.11</v>
      </c>
      <c r="C12">
        <v>17.175000000000001</v>
      </c>
      <c r="D12">
        <v>17.21</v>
      </c>
      <c r="E12">
        <v>17.024999999999999</v>
      </c>
      <c r="F12" t="s">
        <v>124</v>
      </c>
      <c r="G12" s="8">
        <v>-7.3000000000000001E-3</v>
      </c>
      <c r="H12" s="3">
        <f t="shared" si="0"/>
        <v>-7.2526834928923201E-3</v>
      </c>
    </row>
    <row r="13" spans="1:12" x14ac:dyDescent="0.3">
      <c r="A13" t="s">
        <v>1930</v>
      </c>
      <c r="B13">
        <v>16.934999999999999</v>
      </c>
      <c r="C13">
        <v>17.125</v>
      </c>
      <c r="D13">
        <v>17.125</v>
      </c>
      <c r="E13">
        <v>16.809999999999999</v>
      </c>
      <c r="F13" t="s">
        <v>78</v>
      </c>
      <c r="G13" s="8">
        <v>-1.0200000000000001E-2</v>
      </c>
      <c r="H13" s="3">
        <f t="shared" si="0"/>
        <v>-1.0227936879018129E-2</v>
      </c>
    </row>
    <row r="14" spans="1:12" x14ac:dyDescent="0.3">
      <c r="A14" t="s">
        <v>1931</v>
      </c>
      <c r="B14">
        <v>17.055</v>
      </c>
      <c r="C14">
        <v>16.940000000000001</v>
      </c>
      <c r="D14">
        <v>17.114999999999998</v>
      </c>
      <c r="E14">
        <v>16.93</v>
      </c>
      <c r="F14" t="s">
        <v>166</v>
      </c>
      <c r="G14" s="8">
        <v>7.1000000000000004E-3</v>
      </c>
      <c r="H14" s="3">
        <f t="shared" si="0"/>
        <v>7.0859167404784262E-3</v>
      </c>
    </row>
    <row r="15" spans="1:12" x14ac:dyDescent="0.3">
      <c r="A15" t="s">
        <v>1932</v>
      </c>
      <c r="B15">
        <v>17.135000000000002</v>
      </c>
      <c r="C15">
        <v>17.035</v>
      </c>
      <c r="D15">
        <v>17.195</v>
      </c>
      <c r="E15">
        <v>17.02</v>
      </c>
      <c r="F15" t="s">
        <v>251</v>
      </c>
      <c r="G15" s="8">
        <v>4.7000000000000002E-3</v>
      </c>
      <c r="H15" s="3">
        <f t="shared" si="0"/>
        <v>4.690706537672451E-3</v>
      </c>
    </row>
    <row r="16" spans="1:12" x14ac:dyDescent="0.3">
      <c r="A16" t="s">
        <v>1933</v>
      </c>
      <c r="B16">
        <v>17.100000000000001</v>
      </c>
      <c r="C16">
        <v>17.190000000000001</v>
      </c>
      <c r="D16">
        <v>17.32</v>
      </c>
      <c r="E16">
        <v>17.045000000000002</v>
      </c>
      <c r="F16" t="s">
        <v>1934</v>
      </c>
      <c r="G16" s="8">
        <v>-2E-3</v>
      </c>
      <c r="H16" s="3">
        <f t="shared" si="0"/>
        <v>-2.0426028596439716E-3</v>
      </c>
    </row>
    <row r="17" spans="1:8" x14ac:dyDescent="0.3">
      <c r="A17" t="s">
        <v>1935</v>
      </c>
      <c r="B17">
        <v>17.28</v>
      </c>
      <c r="C17">
        <v>17.125</v>
      </c>
      <c r="D17">
        <v>17.344999999999999</v>
      </c>
      <c r="E17">
        <v>17.11</v>
      </c>
      <c r="F17" t="s">
        <v>149</v>
      </c>
      <c r="G17" s="8">
        <v>1.0500000000000001E-2</v>
      </c>
      <c r="H17" s="3">
        <f t="shared" si="0"/>
        <v>1.0526315789473717E-2</v>
      </c>
    </row>
    <row r="18" spans="1:8" x14ac:dyDescent="0.3">
      <c r="A18" t="s">
        <v>1936</v>
      </c>
      <c r="B18">
        <v>17.234999999999999</v>
      </c>
      <c r="C18">
        <v>17.344999999999999</v>
      </c>
      <c r="D18">
        <v>17.535</v>
      </c>
      <c r="E18">
        <v>17.16</v>
      </c>
      <c r="F18" t="s">
        <v>221</v>
      </c>
      <c r="G18" s="8">
        <v>-2.5999999999999999E-3</v>
      </c>
      <c r="H18" s="3">
        <f t="shared" si="0"/>
        <v>-2.6041666666667407E-3</v>
      </c>
    </row>
    <row r="19" spans="1:8" x14ac:dyDescent="0.3">
      <c r="A19" t="s">
        <v>1937</v>
      </c>
      <c r="B19">
        <v>17.344999999999999</v>
      </c>
      <c r="C19">
        <v>17.274999999999999</v>
      </c>
      <c r="D19">
        <v>17.41</v>
      </c>
      <c r="E19">
        <v>17.239999999999998</v>
      </c>
      <c r="F19" t="s">
        <v>1938</v>
      </c>
      <c r="G19" s="8">
        <v>6.4000000000000003E-3</v>
      </c>
      <c r="H19" s="3">
        <f t="shared" si="0"/>
        <v>6.3823614737452683E-3</v>
      </c>
    </row>
    <row r="20" spans="1:8" x14ac:dyDescent="0.3">
      <c r="A20" t="s">
        <v>1939</v>
      </c>
      <c r="B20">
        <v>17.59</v>
      </c>
      <c r="C20">
        <v>17.37</v>
      </c>
      <c r="D20">
        <v>17.594999999999999</v>
      </c>
      <c r="E20">
        <v>17.36</v>
      </c>
      <c r="F20" t="s">
        <v>1940</v>
      </c>
      <c r="G20" s="8">
        <v>1.41E-2</v>
      </c>
      <c r="H20" s="3">
        <f t="shared" si="0"/>
        <v>1.4125108100317085E-2</v>
      </c>
    </row>
    <row r="21" spans="1:8" x14ac:dyDescent="0.3">
      <c r="A21" t="s">
        <v>1941</v>
      </c>
      <c r="B21">
        <v>17.649999999999999</v>
      </c>
      <c r="C21">
        <v>17.38</v>
      </c>
      <c r="D21">
        <v>17.7</v>
      </c>
      <c r="E21">
        <v>17.23</v>
      </c>
      <c r="F21" t="s">
        <v>99</v>
      </c>
      <c r="G21" s="8">
        <v>3.3999999999999998E-3</v>
      </c>
      <c r="H21" s="3">
        <f t="shared" si="0"/>
        <v>3.4110289937463456E-3</v>
      </c>
    </row>
    <row r="22" spans="1:8" x14ac:dyDescent="0.3">
      <c r="A22" t="s">
        <v>1942</v>
      </c>
      <c r="B22">
        <v>17.695</v>
      </c>
      <c r="C22">
        <v>17.675000000000001</v>
      </c>
      <c r="D22">
        <v>17.725000000000001</v>
      </c>
      <c r="E22">
        <v>17.324999999999999</v>
      </c>
      <c r="F22" t="s">
        <v>75</v>
      </c>
      <c r="G22" s="8">
        <v>2.5000000000000001E-3</v>
      </c>
      <c r="H22" s="3">
        <f t="shared" si="0"/>
        <v>2.5495750708215414E-3</v>
      </c>
    </row>
    <row r="23" spans="1:8" x14ac:dyDescent="0.3">
      <c r="A23" t="s">
        <v>1943</v>
      </c>
      <c r="B23">
        <v>17.989999999999998</v>
      </c>
      <c r="C23">
        <v>17.670000000000002</v>
      </c>
      <c r="D23">
        <v>18.164999999999999</v>
      </c>
      <c r="E23">
        <v>17.64</v>
      </c>
      <c r="F23" t="s">
        <v>82</v>
      </c>
      <c r="G23" s="8">
        <v>1.67E-2</v>
      </c>
      <c r="H23" s="3">
        <f t="shared" si="0"/>
        <v>1.6671376094941959E-2</v>
      </c>
    </row>
    <row r="24" spans="1:8" x14ac:dyDescent="0.3">
      <c r="A24" t="s">
        <v>1944</v>
      </c>
      <c r="B24">
        <v>17.835000000000001</v>
      </c>
      <c r="C24">
        <v>17.954999999999998</v>
      </c>
      <c r="D24">
        <v>17.989999999999998</v>
      </c>
      <c r="E24">
        <v>17.785</v>
      </c>
      <c r="F24" t="s">
        <v>1945</v>
      </c>
      <c r="G24" s="8">
        <v>-8.6E-3</v>
      </c>
      <c r="H24" s="3">
        <f t="shared" si="0"/>
        <v>-8.6158977209559451E-3</v>
      </c>
    </row>
    <row r="25" spans="1:8" x14ac:dyDescent="0.3">
      <c r="A25" t="s">
        <v>1946</v>
      </c>
      <c r="B25">
        <v>17.954999999999998</v>
      </c>
      <c r="C25">
        <v>17.88</v>
      </c>
      <c r="D25">
        <v>18.04</v>
      </c>
      <c r="E25">
        <v>17.850000000000001</v>
      </c>
      <c r="F25" t="s">
        <v>129</v>
      </c>
      <c r="G25" s="8">
        <v>6.7000000000000002E-3</v>
      </c>
      <c r="H25" s="3">
        <f t="shared" si="0"/>
        <v>6.728343145500304E-3</v>
      </c>
    </row>
    <row r="26" spans="1:8" x14ac:dyDescent="0.3">
      <c r="A26" t="s">
        <v>1947</v>
      </c>
      <c r="B26">
        <v>18.21</v>
      </c>
      <c r="C26">
        <v>17.965</v>
      </c>
      <c r="D26">
        <v>18.22</v>
      </c>
      <c r="E26">
        <v>17.965</v>
      </c>
      <c r="F26" t="s">
        <v>166</v>
      </c>
      <c r="G26" s="8">
        <v>1.4200000000000001E-2</v>
      </c>
      <c r="H26" s="3">
        <f t="shared" si="0"/>
        <v>1.4202172096908994E-2</v>
      </c>
    </row>
    <row r="27" spans="1:8" x14ac:dyDescent="0.3">
      <c r="A27" t="s">
        <v>1948</v>
      </c>
      <c r="B27">
        <v>18.23</v>
      </c>
      <c r="C27">
        <v>18.2</v>
      </c>
      <c r="D27">
        <v>18.335000000000001</v>
      </c>
      <c r="E27">
        <v>18.145</v>
      </c>
      <c r="F27" t="s">
        <v>1949</v>
      </c>
      <c r="G27" s="8">
        <v>1.1000000000000001E-3</v>
      </c>
      <c r="H27" s="3">
        <f t="shared" si="0"/>
        <v>1.0982976386599841E-3</v>
      </c>
    </row>
    <row r="28" spans="1:8" x14ac:dyDescent="0.3">
      <c r="A28" t="s">
        <v>1950</v>
      </c>
      <c r="B28">
        <v>18.234999999999999</v>
      </c>
      <c r="C28">
        <v>18.18</v>
      </c>
      <c r="D28">
        <v>18.265000000000001</v>
      </c>
      <c r="E28">
        <v>18.105</v>
      </c>
      <c r="F28" t="s">
        <v>129</v>
      </c>
      <c r="G28" s="8">
        <v>2.9999999999999997E-4</v>
      </c>
      <c r="H28" s="3">
        <f t="shared" si="0"/>
        <v>2.7427317608341717E-4</v>
      </c>
    </row>
    <row r="29" spans="1:8" x14ac:dyDescent="0.3">
      <c r="A29" t="s">
        <v>1951</v>
      </c>
      <c r="B29">
        <v>18.34</v>
      </c>
      <c r="C29">
        <v>18.260000000000002</v>
      </c>
      <c r="D29">
        <v>18.39</v>
      </c>
      <c r="E29">
        <v>18.22</v>
      </c>
      <c r="F29" t="s">
        <v>73</v>
      </c>
      <c r="G29" s="8">
        <v>5.7999999999999996E-3</v>
      </c>
      <c r="H29" s="3">
        <f t="shared" si="0"/>
        <v>5.7581573896352545E-3</v>
      </c>
    </row>
    <row r="30" spans="1:8" x14ac:dyDescent="0.3">
      <c r="A30" t="s">
        <v>1952</v>
      </c>
      <c r="B30">
        <v>18.260000000000002</v>
      </c>
      <c r="C30">
        <v>18.315000000000001</v>
      </c>
      <c r="D30">
        <v>18.324999999999999</v>
      </c>
      <c r="E30">
        <v>18.055</v>
      </c>
      <c r="F30" t="s">
        <v>1953</v>
      </c>
      <c r="G30" s="8">
        <v>-4.4000000000000003E-3</v>
      </c>
      <c r="H30" s="3">
        <f t="shared" si="0"/>
        <v>-4.362050163576825E-3</v>
      </c>
    </row>
    <row r="31" spans="1:8" x14ac:dyDescent="0.3">
      <c r="A31" t="s">
        <v>1954</v>
      </c>
      <c r="B31">
        <v>18.54</v>
      </c>
      <c r="C31">
        <v>18.260000000000002</v>
      </c>
      <c r="D31">
        <v>18.559999999999999</v>
      </c>
      <c r="E31">
        <v>18.059999999999999</v>
      </c>
      <c r="F31" t="s">
        <v>173</v>
      </c>
      <c r="G31" s="8">
        <v>1.5299999999999999E-2</v>
      </c>
      <c r="H31" s="3">
        <f t="shared" si="0"/>
        <v>1.5334063526834418E-2</v>
      </c>
    </row>
    <row r="32" spans="1:8" x14ac:dyDescent="0.3">
      <c r="A32" t="s">
        <v>1955</v>
      </c>
      <c r="B32">
        <v>18.22</v>
      </c>
      <c r="C32">
        <v>18.45</v>
      </c>
      <c r="D32">
        <v>18.5</v>
      </c>
      <c r="E32">
        <v>18.195</v>
      </c>
      <c r="F32" t="s">
        <v>104</v>
      </c>
      <c r="G32" s="8">
        <v>-1.7299999999999999E-2</v>
      </c>
      <c r="H32" s="3">
        <f t="shared" si="0"/>
        <v>-1.7259978425027023E-2</v>
      </c>
    </row>
    <row r="33" spans="1:8" x14ac:dyDescent="0.3">
      <c r="A33" t="s">
        <v>1956</v>
      </c>
      <c r="B33">
        <v>18.164999999999999</v>
      </c>
      <c r="C33">
        <v>18.149999999999999</v>
      </c>
      <c r="D33">
        <v>18.204999999999998</v>
      </c>
      <c r="E33">
        <v>18</v>
      </c>
      <c r="F33" t="s">
        <v>1957</v>
      </c>
      <c r="G33" s="8">
        <v>-3.0000000000000001E-3</v>
      </c>
      <c r="H33" s="3">
        <f t="shared" si="0"/>
        <v>-3.0186608122941827E-3</v>
      </c>
    </row>
    <row r="34" spans="1:8" x14ac:dyDescent="0.3">
      <c r="A34" t="s">
        <v>1958</v>
      </c>
      <c r="B34">
        <v>18.335000000000001</v>
      </c>
      <c r="C34">
        <v>18.145</v>
      </c>
      <c r="D34">
        <v>18.405000000000001</v>
      </c>
      <c r="E34">
        <v>18.09</v>
      </c>
      <c r="F34" t="s">
        <v>1959</v>
      </c>
      <c r="G34" s="8">
        <v>9.4000000000000004E-3</v>
      </c>
      <c r="H34" s="3">
        <f t="shared" si="0"/>
        <v>9.3586567575008051E-3</v>
      </c>
    </row>
    <row r="35" spans="1:8" x14ac:dyDescent="0.3">
      <c r="A35" t="s">
        <v>1960</v>
      </c>
      <c r="B35">
        <v>18.32</v>
      </c>
      <c r="C35">
        <v>18.39</v>
      </c>
      <c r="D35">
        <v>18.52</v>
      </c>
      <c r="E35">
        <v>18.260000000000002</v>
      </c>
      <c r="F35" t="s">
        <v>1961</v>
      </c>
      <c r="G35" s="8">
        <v>-8.0000000000000004E-4</v>
      </c>
      <c r="H35" s="3">
        <f t="shared" si="0"/>
        <v>-8.1810744477772701E-4</v>
      </c>
    </row>
    <row r="36" spans="1:8" x14ac:dyDescent="0.3">
      <c r="A36" t="s">
        <v>1962</v>
      </c>
      <c r="B36">
        <v>18.015000000000001</v>
      </c>
      <c r="C36">
        <v>18.260000000000002</v>
      </c>
      <c r="D36">
        <v>18.27</v>
      </c>
      <c r="E36">
        <v>18.010000000000002</v>
      </c>
      <c r="F36" t="s">
        <v>1963</v>
      </c>
      <c r="G36" s="8">
        <v>-1.66E-2</v>
      </c>
      <c r="H36" s="3">
        <f t="shared" si="0"/>
        <v>-1.6648471615720473E-2</v>
      </c>
    </row>
    <row r="37" spans="1:8" x14ac:dyDescent="0.3">
      <c r="A37" t="s">
        <v>1964</v>
      </c>
      <c r="B37">
        <v>18.13</v>
      </c>
      <c r="C37">
        <v>17.98</v>
      </c>
      <c r="D37">
        <v>18.245000000000001</v>
      </c>
      <c r="E37">
        <v>17.954999999999998</v>
      </c>
      <c r="F37" t="s">
        <v>263</v>
      </c>
      <c r="G37" s="8">
        <v>6.4000000000000003E-3</v>
      </c>
      <c r="H37" s="3">
        <f t="shared" si="0"/>
        <v>6.3835692478488859E-3</v>
      </c>
    </row>
    <row r="38" spans="1:8" x14ac:dyDescent="0.3">
      <c r="A38" t="s">
        <v>1965</v>
      </c>
      <c r="B38">
        <v>18.3</v>
      </c>
      <c r="C38">
        <v>18.105</v>
      </c>
      <c r="D38">
        <v>18.3</v>
      </c>
      <c r="E38">
        <v>17.88</v>
      </c>
      <c r="F38" t="s">
        <v>314</v>
      </c>
      <c r="G38" s="8">
        <v>9.4000000000000004E-3</v>
      </c>
      <c r="H38" s="3">
        <f t="shared" si="0"/>
        <v>9.3767236624380246E-3</v>
      </c>
    </row>
    <row r="39" spans="1:8" x14ac:dyDescent="0.3">
      <c r="A39" t="s">
        <v>1966</v>
      </c>
      <c r="B39">
        <v>18.52</v>
      </c>
      <c r="C39">
        <v>18.434999999999999</v>
      </c>
      <c r="D39">
        <v>18.59</v>
      </c>
      <c r="E39">
        <v>18.254999999999999</v>
      </c>
      <c r="F39" t="s">
        <v>1967</v>
      </c>
      <c r="G39" s="8">
        <v>1.2E-2</v>
      </c>
      <c r="H39" s="3">
        <f t="shared" si="0"/>
        <v>1.2021857923497192E-2</v>
      </c>
    </row>
    <row r="40" spans="1:8" x14ac:dyDescent="0.3">
      <c r="A40" t="s">
        <v>1968</v>
      </c>
      <c r="B40">
        <v>18.7</v>
      </c>
      <c r="C40">
        <v>18.510000000000002</v>
      </c>
      <c r="D40">
        <v>18.809999999999999</v>
      </c>
      <c r="E40">
        <v>18.510000000000002</v>
      </c>
      <c r="F40" t="s">
        <v>72</v>
      </c>
      <c r="G40" s="8">
        <v>9.7000000000000003E-3</v>
      </c>
      <c r="H40" s="3">
        <f t="shared" si="0"/>
        <v>9.7192224622029144E-3</v>
      </c>
    </row>
    <row r="41" spans="1:8" x14ac:dyDescent="0.3">
      <c r="A41" t="s">
        <v>1969</v>
      </c>
      <c r="B41">
        <v>18.645</v>
      </c>
      <c r="C41">
        <v>18.739999999999998</v>
      </c>
      <c r="D41">
        <v>18.850000000000001</v>
      </c>
      <c r="E41">
        <v>18.48</v>
      </c>
      <c r="F41" t="s">
        <v>264</v>
      </c>
      <c r="G41" s="8">
        <v>-2.8999999999999998E-3</v>
      </c>
      <c r="H41" s="3">
        <f t="shared" si="0"/>
        <v>-2.9411764705882248E-3</v>
      </c>
    </row>
    <row r="42" spans="1:8" x14ac:dyDescent="0.3">
      <c r="A42" t="s">
        <v>1970</v>
      </c>
      <c r="B42">
        <v>18.704999999999998</v>
      </c>
      <c r="C42">
        <v>18.645</v>
      </c>
      <c r="D42">
        <v>18.78</v>
      </c>
      <c r="E42">
        <v>18.555</v>
      </c>
      <c r="F42" t="s">
        <v>1971</v>
      </c>
      <c r="G42" s="8">
        <v>3.2000000000000002E-3</v>
      </c>
      <c r="H42" s="3">
        <f t="shared" si="0"/>
        <v>3.2180209171359664E-3</v>
      </c>
    </row>
    <row r="43" spans="1:8" x14ac:dyDescent="0.3">
      <c r="A43" t="s">
        <v>1972</v>
      </c>
      <c r="B43">
        <v>18.434999999999999</v>
      </c>
      <c r="C43">
        <v>18.59</v>
      </c>
      <c r="D43">
        <v>18.734999999999999</v>
      </c>
      <c r="E43">
        <v>18.34</v>
      </c>
      <c r="F43" t="s">
        <v>76</v>
      </c>
      <c r="G43" s="8">
        <v>-1.44E-2</v>
      </c>
      <c r="H43" s="3">
        <f t="shared" si="0"/>
        <v>-1.4434643143544479E-2</v>
      </c>
    </row>
    <row r="44" spans="1:8" x14ac:dyDescent="0.3">
      <c r="A44" t="s">
        <v>1973</v>
      </c>
      <c r="B44">
        <v>18.545000000000002</v>
      </c>
      <c r="C44">
        <v>18.395</v>
      </c>
      <c r="D44">
        <v>18.545000000000002</v>
      </c>
      <c r="E44">
        <v>18.295000000000002</v>
      </c>
      <c r="F44" t="s">
        <v>1974</v>
      </c>
      <c r="G44" s="8">
        <v>6.0000000000000001E-3</v>
      </c>
      <c r="H44" s="3">
        <f t="shared" si="0"/>
        <v>5.9669107675619504E-3</v>
      </c>
    </row>
    <row r="45" spans="1:8" x14ac:dyDescent="0.3">
      <c r="A45" t="s">
        <v>1975</v>
      </c>
      <c r="B45">
        <v>18.254999999999999</v>
      </c>
      <c r="C45">
        <v>18.55</v>
      </c>
      <c r="D45">
        <v>18.61</v>
      </c>
      <c r="E45">
        <v>18.065000000000001</v>
      </c>
      <c r="F45" t="s">
        <v>188</v>
      </c>
      <c r="G45" s="8">
        <v>-1.5599999999999999E-2</v>
      </c>
      <c r="H45" s="3">
        <f t="shared" si="0"/>
        <v>-1.5637638177406488E-2</v>
      </c>
    </row>
    <row r="46" spans="1:8" x14ac:dyDescent="0.3">
      <c r="A46" t="s">
        <v>1976</v>
      </c>
      <c r="B46">
        <v>18.38</v>
      </c>
      <c r="C46">
        <v>18.414999999999999</v>
      </c>
      <c r="D46">
        <v>18.625</v>
      </c>
      <c r="E46">
        <v>18.285</v>
      </c>
      <c r="F46" t="s">
        <v>119</v>
      </c>
      <c r="G46" s="8">
        <v>6.7999999999999996E-3</v>
      </c>
      <c r="H46" s="3">
        <f t="shared" si="0"/>
        <v>6.8474390577923927E-3</v>
      </c>
    </row>
    <row r="47" spans="1:8" x14ac:dyDescent="0.3">
      <c r="A47" t="s">
        <v>1977</v>
      </c>
      <c r="B47">
        <v>18.41</v>
      </c>
      <c r="C47">
        <v>18.350000000000001</v>
      </c>
      <c r="D47">
        <v>18.440000000000001</v>
      </c>
      <c r="E47">
        <v>18.12</v>
      </c>
      <c r="F47" t="s">
        <v>273</v>
      </c>
      <c r="G47" s="8">
        <v>1.6000000000000001E-3</v>
      </c>
      <c r="H47" s="3">
        <f t="shared" si="0"/>
        <v>1.6322089227420733E-3</v>
      </c>
    </row>
    <row r="48" spans="1:8" x14ac:dyDescent="0.3">
      <c r="A48" t="s">
        <v>1978</v>
      </c>
      <c r="B48">
        <v>18.62</v>
      </c>
      <c r="C48">
        <v>18.399999999999999</v>
      </c>
      <c r="D48">
        <v>18.64</v>
      </c>
      <c r="E48">
        <v>18.29</v>
      </c>
      <c r="F48" t="s">
        <v>173</v>
      </c>
      <c r="G48" s="8">
        <v>1.14E-2</v>
      </c>
      <c r="H48" s="3">
        <f t="shared" si="0"/>
        <v>1.1406844106463865E-2</v>
      </c>
    </row>
    <row r="49" spans="1:8" x14ac:dyDescent="0.3">
      <c r="A49" t="s">
        <v>1979</v>
      </c>
      <c r="B49">
        <v>18.465</v>
      </c>
      <c r="C49">
        <v>18.649999999999999</v>
      </c>
      <c r="D49">
        <v>18.71</v>
      </c>
      <c r="E49">
        <v>18.350000000000001</v>
      </c>
      <c r="F49" t="s">
        <v>175</v>
      </c>
      <c r="G49" s="8">
        <v>-8.3000000000000001E-3</v>
      </c>
      <c r="H49" s="3">
        <f t="shared" si="0"/>
        <v>-8.3243823845328135E-3</v>
      </c>
    </row>
    <row r="50" spans="1:8" x14ac:dyDescent="0.3">
      <c r="A50" t="s">
        <v>1980</v>
      </c>
      <c r="B50">
        <v>18.754999999999999</v>
      </c>
      <c r="C50">
        <v>18.43</v>
      </c>
      <c r="D50">
        <v>18.809999999999999</v>
      </c>
      <c r="E50">
        <v>18.43</v>
      </c>
      <c r="F50" t="s">
        <v>1106</v>
      </c>
      <c r="G50" s="8">
        <v>1.5699999999999999E-2</v>
      </c>
      <c r="H50" s="3">
        <f t="shared" si="0"/>
        <v>1.5705388572975876E-2</v>
      </c>
    </row>
    <row r="51" spans="1:8" x14ac:dyDescent="0.3">
      <c r="A51" t="s">
        <v>1981</v>
      </c>
      <c r="B51">
        <v>18.89</v>
      </c>
      <c r="C51">
        <v>18.71</v>
      </c>
      <c r="D51">
        <v>18.89</v>
      </c>
      <c r="E51">
        <v>18.66</v>
      </c>
      <c r="F51" t="s">
        <v>393</v>
      </c>
      <c r="G51" s="8">
        <v>7.1999999999999998E-3</v>
      </c>
      <c r="H51" s="3">
        <f t="shared" si="0"/>
        <v>7.1980805118636582E-3</v>
      </c>
    </row>
    <row r="52" spans="1:8" x14ac:dyDescent="0.3">
      <c r="A52" t="s">
        <v>1982</v>
      </c>
      <c r="B52">
        <v>19.010000000000002</v>
      </c>
      <c r="C52">
        <v>18.895</v>
      </c>
      <c r="D52">
        <v>19.094999999999999</v>
      </c>
      <c r="E52">
        <v>18.795000000000002</v>
      </c>
      <c r="F52" t="s">
        <v>137</v>
      </c>
      <c r="G52" s="8">
        <v>6.4000000000000003E-3</v>
      </c>
      <c r="H52" s="3">
        <f t="shared" si="0"/>
        <v>6.3525674960296374E-3</v>
      </c>
    </row>
    <row r="53" spans="1:8" x14ac:dyDescent="0.3">
      <c r="A53" t="s">
        <v>1983</v>
      </c>
      <c r="B53">
        <v>18.899999999999999</v>
      </c>
      <c r="C53">
        <v>19.07</v>
      </c>
      <c r="D53">
        <v>19.170000000000002</v>
      </c>
      <c r="E53">
        <v>18.895</v>
      </c>
      <c r="F53" t="s">
        <v>39</v>
      </c>
      <c r="G53" s="8">
        <v>-5.7999999999999996E-3</v>
      </c>
      <c r="H53" s="3">
        <f t="shared" si="0"/>
        <v>-5.7864281956866437E-3</v>
      </c>
    </row>
    <row r="54" spans="1:8" x14ac:dyDescent="0.3">
      <c r="A54" t="s">
        <v>1984</v>
      </c>
      <c r="B54">
        <v>19.055</v>
      </c>
      <c r="C54">
        <v>18.95</v>
      </c>
      <c r="D54">
        <v>19.149999999999999</v>
      </c>
      <c r="E54">
        <v>18.89</v>
      </c>
      <c r="F54" t="s">
        <v>268</v>
      </c>
      <c r="G54" s="8">
        <v>8.2000000000000007E-3</v>
      </c>
      <c r="H54" s="3">
        <f t="shared" si="0"/>
        <v>8.20105820105832E-3</v>
      </c>
    </row>
    <row r="55" spans="1:8" x14ac:dyDescent="0.3">
      <c r="A55" t="s">
        <v>1985</v>
      </c>
      <c r="B55">
        <v>19.175000000000001</v>
      </c>
      <c r="C55">
        <v>19.12</v>
      </c>
      <c r="D55">
        <v>19.175000000000001</v>
      </c>
      <c r="E55">
        <v>19.015000000000001</v>
      </c>
      <c r="F55" t="s">
        <v>1986</v>
      </c>
      <c r="G55" s="8">
        <v>6.3E-3</v>
      </c>
      <c r="H55" s="3">
        <f t="shared" si="0"/>
        <v>6.2975596956180713E-3</v>
      </c>
    </row>
    <row r="56" spans="1:8" x14ac:dyDescent="0.3">
      <c r="A56" t="s">
        <v>1987</v>
      </c>
      <c r="B56">
        <v>19.015000000000001</v>
      </c>
      <c r="C56">
        <v>19.2</v>
      </c>
      <c r="D56">
        <v>19.215</v>
      </c>
      <c r="E56">
        <v>18.88</v>
      </c>
      <c r="F56" t="s">
        <v>1988</v>
      </c>
      <c r="G56" s="8">
        <v>-8.3000000000000001E-3</v>
      </c>
      <c r="H56" s="3">
        <f t="shared" si="0"/>
        <v>-8.3441981747066629E-3</v>
      </c>
    </row>
    <row r="57" spans="1:8" x14ac:dyDescent="0.3">
      <c r="A57" t="s">
        <v>1989</v>
      </c>
      <c r="B57">
        <v>17.8</v>
      </c>
      <c r="C57">
        <v>18.465</v>
      </c>
      <c r="D57">
        <v>18.555</v>
      </c>
      <c r="E57">
        <v>17.8</v>
      </c>
      <c r="F57" t="s">
        <v>53</v>
      </c>
      <c r="G57" s="8">
        <v>-6.3899999999999998E-2</v>
      </c>
      <c r="H57" s="3">
        <f t="shared" si="0"/>
        <v>-6.3896923481462031E-2</v>
      </c>
    </row>
    <row r="58" spans="1:8" x14ac:dyDescent="0.3">
      <c r="A58" t="s">
        <v>1990</v>
      </c>
      <c r="B58">
        <v>17.535</v>
      </c>
      <c r="C58">
        <v>17.795000000000002</v>
      </c>
      <c r="D58">
        <v>17.885000000000002</v>
      </c>
      <c r="E58">
        <v>17.475000000000001</v>
      </c>
      <c r="F58" t="s">
        <v>197</v>
      </c>
      <c r="G58" s="8">
        <v>-1.49E-2</v>
      </c>
      <c r="H58" s="3">
        <f t="shared" si="0"/>
        <v>-1.4887640449438244E-2</v>
      </c>
    </row>
    <row r="59" spans="1:8" x14ac:dyDescent="0.3">
      <c r="A59" t="s">
        <v>1991</v>
      </c>
      <c r="B59">
        <v>17.815000000000001</v>
      </c>
      <c r="C59">
        <v>17.684999999999999</v>
      </c>
      <c r="D59">
        <v>17.97</v>
      </c>
      <c r="E59">
        <v>17.684999999999999</v>
      </c>
      <c r="F59" t="s">
        <v>1992</v>
      </c>
      <c r="G59" s="8">
        <v>1.6E-2</v>
      </c>
      <c r="H59" s="3">
        <f t="shared" si="0"/>
        <v>1.5968063872255467E-2</v>
      </c>
    </row>
    <row r="60" spans="1:8" x14ac:dyDescent="0.3">
      <c r="A60" t="s">
        <v>1993</v>
      </c>
      <c r="B60">
        <v>17.77</v>
      </c>
      <c r="C60">
        <v>17.73</v>
      </c>
      <c r="D60">
        <v>17.774999999999999</v>
      </c>
      <c r="E60">
        <v>17.535</v>
      </c>
      <c r="F60" t="s">
        <v>103</v>
      </c>
      <c r="G60" s="8">
        <v>-2.5000000000000001E-3</v>
      </c>
      <c r="H60" s="3">
        <f t="shared" si="0"/>
        <v>-2.5259612685939459E-3</v>
      </c>
    </row>
    <row r="61" spans="1:8" x14ac:dyDescent="0.3">
      <c r="A61" t="s">
        <v>1994</v>
      </c>
      <c r="B61">
        <v>17.795000000000002</v>
      </c>
      <c r="C61">
        <v>17.815000000000001</v>
      </c>
      <c r="D61">
        <v>17.914999999999999</v>
      </c>
      <c r="E61">
        <v>17.704999999999998</v>
      </c>
      <c r="F61" t="s">
        <v>265</v>
      </c>
      <c r="G61" s="8">
        <v>1.4E-3</v>
      </c>
      <c r="H61" s="3">
        <f t="shared" si="0"/>
        <v>1.4068655036578726E-3</v>
      </c>
    </row>
    <row r="62" spans="1:8" x14ac:dyDescent="0.3">
      <c r="A62" t="s">
        <v>1995</v>
      </c>
      <c r="B62">
        <v>18.074999999999999</v>
      </c>
      <c r="C62">
        <v>17.864999999999998</v>
      </c>
      <c r="D62">
        <v>18.074999999999999</v>
      </c>
      <c r="E62">
        <v>17.864999999999998</v>
      </c>
      <c r="F62" t="s">
        <v>1069</v>
      </c>
      <c r="G62" s="8">
        <v>1.5699999999999999E-2</v>
      </c>
      <c r="H62" s="3">
        <f t="shared" si="0"/>
        <v>1.5734756954200568E-2</v>
      </c>
    </row>
    <row r="63" spans="1:8" x14ac:dyDescent="0.3">
      <c r="A63" t="s">
        <v>1996</v>
      </c>
      <c r="B63">
        <v>18.3</v>
      </c>
      <c r="C63">
        <v>18.07</v>
      </c>
      <c r="D63">
        <v>18.364999999999998</v>
      </c>
      <c r="E63">
        <v>18.059999999999999</v>
      </c>
      <c r="F63" t="s">
        <v>177</v>
      </c>
      <c r="G63" s="8">
        <v>1.24E-2</v>
      </c>
      <c r="H63" s="3">
        <f t="shared" si="0"/>
        <v>1.2448132780083165E-2</v>
      </c>
    </row>
    <row r="64" spans="1:8" x14ac:dyDescent="0.3">
      <c r="A64" t="s">
        <v>1997</v>
      </c>
      <c r="B64">
        <v>18.22</v>
      </c>
      <c r="C64">
        <v>18.29</v>
      </c>
      <c r="D64">
        <v>18.364999999999998</v>
      </c>
      <c r="E64">
        <v>18.125</v>
      </c>
      <c r="F64" t="s">
        <v>1998</v>
      </c>
      <c r="G64" s="8">
        <v>-4.4000000000000003E-3</v>
      </c>
      <c r="H64" s="3">
        <f t="shared" si="0"/>
        <v>-4.3715846994536456E-3</v>
      </c>
    </row>
    <row r="65" spans="1:8" x14ac:dyDescent="0.3">
      <c r="A65" t="s">
        <v>1999</v>
      </c>
      <c r="B65">
        <v>17.920000000000002</v>
      </c>
      <c r="C65">
        <v>18.2</v>
      </c>
      <c r="D65">
        <v>18.2</v>
      </c>
      <c r="E65">
        <v>17.864999999999998</v>
      </c>
      <c r="F65" t="s">
        <v>282</v>
      </c>
      <c r="G65" s="8">
        <v>-1.6500000000000001E-2</v>
      </c>
      <c r="H65" s="3">
        <f t="shared" si="0"/>
        <v>-1.6465422612513603E-2</v>
      </c>
    </row>
    <row r="66" spans="1:8" x14ac:dyDescent="0.3">
      <c r="A66" t="s">
        <v>2000</v>
      </c>
      <c r="B66">
        <v>17.995000000000001</v>
      </c>
      <c r="C66">
        <v>17.795000000000002</v>
      </c>
      <c r="D66">
        <v>18.04</v>
      </c>
      <c r="E66">
        <v>17.765000000000001</v>
      </c>
      <c r="F66" t="s">
        <v>89</v>
      </c>
      <c r="G66" s="8">
        <v>4.1999999999999997E-3</v>
      </c>
      <c r="H66" s="3">
        <f t="shared" si="0"/>
        <v>4.1852678571427937E-3</v>
      </c>
    </row>
    <row r="67" spans="1:8" x14ac:dyDescent="0.3">
      <c r="A67" t="s">
        <v>2001</v>
      </c>
      <c r="B67">
        <v>18.309999999999999</v>
      </c>
      <c r="C67">
        <v>18.100000000000001</v>
      </c>
      <c r="D67">
        <v>18.405000000000001</v>
      </c>
      <c r="E67">
        <v>17.965</v>
      </c>
      <c r="F67" t="s">
        <v>263</v>
      </c>
      <c r="G67" s="8">
        <v>1.7500000000000002E-2</v>
      </c>
      <c r="H67" s="3">
        <f t="shared" si="0"/>
        <v>1.7504862461794835E-2</v>
      </c>
    </row>
    <row r="68" spans="1:8" x14ac:dyDescent="0.3">
      <c r="A68" t="s">
        <v>2002</v>
      </c>
      <c r="B68">
        <v>18.350000000000001</v>
      </c>
      <c r="C68">
        <v>18.364999999999998</v>
      </c>
      <c r="D68">
        <v>18.48</v>
      </c>
      <c r="E68">
        <v>18.29</v>
      </c>
      <c r="F68" t="s">
        <v>74</v>
      </c>
      <c r="G68" s="8">
        <v>2.2000000000000001E-3</v>
      </c>
      <c r="H68" s="3">
        <f t="shared" ref="H68:H131" si="1">(B68/B67)-1</f>
        <v>2.1845985800110768E-3</v>
      </c>
    </row>
    <row r="69" spans="1:8" x14ac:dyDescent="0.3">
      <c r="A69" t="s">
        <v>2003</v>
      </c>
      <c r="B69">
        <v>17.98</v>
      </c>
      <c r="C69">
        <v>18.34</v>
      </c>
      <c r="D69">
        <v>18.350000000000001</v>
      </c>
      <c r="E69">
        <v>17.98</v>
      </c>
      <c r="F69" t="s">
        <v>2004</v>
      </c>
      <c r="G69" s="8">
        <v>-2.0199999999999999E-2</v>
      </c>
      <c r="H69" s="3">
        <f t="shared" si="1"/>
        <v>-2.0163487738419694E-2</v>
      </c>
    </row>
    <row r="70" spans="1:8" x14ac:dyDescent="0.3">
      <c r="A70" t="s">
        <v>2005</v>
      </c>
      <c r="B70">
        <v>17.824999999999999</v>
      </c>
      <c r="C70">
        <v>17.91</v>
      </c>
      <c r="D70">
        <v>18.02</v>
      </c>
      <c r="E70">
        <v>17.715</v>
      </c>
      <c r="F70" t="s">
        <v>2006</v>
      </c>
      <c r="G70" s="8">
        <v>-8.6E-3</v>
      </c>
      <c r="H70" s="3">
        <f t="shared" si="1"/>
        <v>-8.6206896551724865E-3</v>
      </c>
    </row>
    <row r="71" spans="1:8" x14ac:dyDescent="0.3">
      <c r="A71" t="s">
        <v>2007</v>
      </c>
      <c r="B71">
        <v>17.850000000000001</v>
      </c>
      <c r="C71">
        <v>17.8</v>
      </c>
      <c r="D71">
        <v>17.89</v>
      </c>
      <c r="E71">
        <v>17.68</v>
      </c>
      <c r="F71" t="s">
        <v>2008</v>
      </c>
      <c r="G71" s="8">
        <v>1.4E-3</v>
      </c>
      <c r="H71" s="3">
        <f t="shared" si="1"/>
        <v>1.4025245441795509E-3</v>
      </c>
    </row>
    <row r="72" spans="1:8" x14ac:dyDescent="0.3">
      <c r="A72" t="s">
        <v>2009</v>
      </c>
      <c r="B72">
        <v>18.004999999999999</v>
      </c>
      <c r="C72">
        <v>17.864999999999998</v>
      </c>
      <c r="D72">
        <v>18.035</v>
      </c>
      <c r="E72">
        <v>17.864999999999998</v>
      </c>
      <c r="F72" t="s">
        <v>2010</v>
      </c>
      <c r="G72" s="8">
        <v>8.6999999999999994E-3</v>
      </c>
      <c r="H72" s="3">
        <f t="shared" si="1"/>
        <v>8.6834733893557114E-3</v>
      </c>
    </row>
    <row r="73" spans="1:8" x14ac:dyDescent="0.3">
      <c r="A73" t="s">
        <v>2011</v>
      </c>
      <c r="B73">
        <v>17.75</v>
      </c>
      <c r="C73">
        <v>17.899999999999999</v>
      </c>
      <c r="D73">
        <v>17.995000000000001</v>
      </c>
      <c r="E73">
        <v>17.7</v>
      </c>
      <c r="F73" t="s">
        <v>2012</v>
      </c>
      <c r="G73" s="8">
        <v>-1.4200000000000001E-2</v>
      </c>
      <c r="H73" s="3">
        <f t="shared" si="1"/>
        <v>-1.4162732574284909E-2</v>
      </c>
    </row>
    <row r="74" spans="1:8" x14ac:dyDescent="0.3">
      <c r="A74" t="s">
        <v>2013</v>
      </c>
      <c r="B74">
        <v>17.895</v>
      </c>
      <c r="C74">
        <v>17.905000000000001</v>
      </c>
      <c r="D74">
        <v>18.004999999999999</v>
      </c>
      <c r="E74">
        <v>17.844999999999999</v>
      </c>
      <c r="F74" t="s">
        <v>2014</v>
      </c>
      <c r="G74" s="8">
        <v>8.2000000000000007E-3</v>
      </c>
      <c r="H74" s="3">
        <f t="shared" si="1"/>
        <v>8.169014084506987E-3</v>
      </c>
    </row>
    <row r="75" spans="1:8" x14ac:dyDescent="0.3">
      <c r="A75" t="s">
        <v>2015</v>
      </c>
      <c r="B75">
        <v>17.905000000000001</v>
      </c>
      <c r="C75">
        <v>17.899999999999999</v>
      </c>
      <c r="D75">
        <v>17.954999999999998</v>
      </c>
      <c r="E75">
        <v>17.760000000000002</v>
      </c>
      <c r="F75" t="s">
        <v>1819</v>
      </c>
      <c r="G75" s="8">
        <v>5.9999999999999995E-4</v>
      </c>
      <c r="H75" s="3">
        <f t="shared" si="1"/>
        <v>5.5881531153967323E-4</v>
      </c>
    </row>
    <row r="76" spans="1:8" x14ac:dyDescent="0.3">
      <c r="A76" t="s">
        <v>2016</v>
      </c>
      <c r="B76">
        <v>17.989999999999998</v>
      </c>
      <c r="C76">
        <v>17.79</v>
      </c>
      <c r="D76">
        <v>18.260000000000002</v>
      </c>
      <c r="E76">
        <v>17.725000000000001</v>
      </c>
      <c r="F76" t="s">
        <v>772</v>
      </c>
      <c r="G76" s="8">
        <v>4.7000000000000002E-3</v>
      </c>
      <c r="H76" s="3">
        <f t="shared" si="1"/>
        <v>4.7472772968442101E-3</v>
      </c>
    </row>
    <row r="77" spans="1:8" x14ac:dyDescent="0.3">
      <c r="A77" t="s">
        <v>2017</v>
      </c>
      <c r="B77">
        <v>18.04</v>
      </c>
      <c r="C77">
        <v>17.96</v>
      </c>
      <c r="D77">
        <v>18.190000000000001</v>
      </c>
      <c r="E77">
        <v>17.86</v>
      </c>
      <c r="F77" t="s">
        <v>262</v>
      </c>
      <c r="G77" s="8">
        <v>2.8E-3</v>
      </c>
      <c r="H77" s="3">
        <f t="shared" si="1"/>
        <v>2.7793218454696955E-3</v>
      </c>
    </row>
    <row r="78" spans="1:8" x14ac:dyDescent="0.3">
      <c r="A78" t="s">
        <v>2018</v>
      </c>
      <c r="B78">
        <v>18.024999999999999</v>
      </c>
      <c r="C78">
        <v>18.055</v>
      </c>
      <c r="D78">
        <v>18.085000000000001</v>
      </c>
      <c r="E78">
        <v>17.885000000000002</v>
      </c>
      <c r="F78" t="s">
        <v>2019</v>
      </c>
      <c r="G78" s="8">
        <v>-8.0000000000000004E-4</v>
      </c>
      <c r="H78" s="3">
        <f t="shared" si="1"/>
        <v>-8.3148558758316948E-4</v>
      </c>
    </row>
    <row r="79" spans="1:8" x14ac:dyDescent="0.3">
      <c r="A79" t="s">
        <v>2020</v>
      </c>
      <c r="B79">
        <v>18.02</v>
      </c>
      <c r="C79">
        <v>18.05</v>
      </c>
      <c r="D79">
        <v>18.25</v>
      </c>
      <c r="E79">
        <v>17.96</v>
      </c>
      <c r="F79" t="s">
        <v>2021</v>
      </c>
      <c r="G79" s="8">
        <v>-2.9999999999999997E-4</v>
      </c>
      <c r="H79" s="3">
        <f t="shared" si="1"/>
        <v>-2.773925104021524E-4</v>
      </c>
    </row>
    <row r="80" spans="1:8" x14ac:dyDescent="0.3">
      <c r="A80" t="s">
        <v>2022</v>
      </c>
      <c r="B80">
        <v>18.015000000000001</v>
      </c>
      <c r="C80">
        <v>18.03</v>
      </c>
      <c r="D80">
        <v>18.100000000000001</v>
      </c>
      <c r="E80">
        <v>17.940000000000001</v>
      </c>
      <c r="F80" t="s">
        <v>2023</v>
      </c>
      <c r="G80" s="8">
        <v>-2.9999999999999997E-4</v>
      </c>
      <c r="H80" s="3">
        <f t="shared" si="1"/>
        <v>-2.7746947835727287E-4</v>
      </c>
    </row>
    <row r="81" spans="1:8" x14ac:dyDescent="0.3">
      <c r="A81" t="s">
        <v>2024</v>
      </c>
      <c r="B81">
        <v>17.899999999999999</v>
      </c>
      <c r="C81">
        <v>18.18</v>
      </c>
      <c r="D81">
        <v>18.18</v>
      </c>
      <c r="E81">
        <v>17.89</v>
      </c>
      <c r="F81" t="s">
        <v>268</v>
      </c>
      <c r="G81" s="8">
        <v>-6.4000000000000003E-3</v>
      </c>
      <c r="H81" s="3">
        <f t="shared" si="1"/>
        <v>-6.383569247849108E-3</v>
      </c>
    </row>
    <row r="82" spans="1:8" x14ac:dyDescent="0.3">
      <c r="A82" t="s">
        <v>2025</v>
      </c>
      <c r="B82">
        <v>17.97</v>
      </c>
      <c r="C82">
        <v>17.86</v>
      </c>
      <c r="D82">
        <v>17.97</v>
      </c>
      <c r="E82">
        <v>17.645</v>
      </c>
      <c r="F82" t="s">
        <v>104</v>
      </c>
      <c r="G82" s="8">
        <v>3.8999999999999998E-3</v>
      </c>
      <c r="H82" s="3">
        <f t="shared" si="1"/>
        <v>3.9106145251397439E-3</v>
      </c>
    </row>
    <row r="83" spans="1:8" x14ac:dyDescent="0.3">
      <c r="A83" t="s">
        <v>2026</v>
      </c>
      <c r="B83">
        <v>18.420000000000002</v>
      </c>
      <c r="C83">
        <v>17.905000000000001</v>
      </c>
      <c r="D83">
        <v>18.54</v>
      </c>
      <c r="E83">
        <v>17.905000000000001</v>
      </c>
      <c r="F83" t="s">
        <v>251</v>
      </c>
      <c r="G83" s="8">
        <v>2.5000000000000001E-2</v>
      </c>
      <c r="H83" s="3">
        <f t="shared" si="1"/>
        <v>2.5041736227045197E-2</v>
      </c>
    </row>
    <row r="84" spans="1:8" x14ac:dyDescent="0.3">
      <c r="A84" t="s">
        <v>2027</v>
      </c>
      <c r="B84">
        <v>17.53</v>
      </c>
      <c r="C84">
        <v>18.07</v>
      </c>
      <c r="D84">
        <v>18.3</v>
      </c>
      <c r="E84">
        <v>17.53</v>
      </c>
      <c r="F84" t="s">
        <v>201</v>
      </c>
      <c r="G84" s="8">
        <v>-4.8300000000000003E-2</v>
      </c>
      <c r="H84" s="3">
        <f t="shared" si="1"/>
        <v>-4.8317046688382215E-2</v>
      </c>
    </row>
    <row r="85" spans="1:8" x14ac:dyDescent="0.3">
      <c r="A85" t="s">
        <v>2028</v>
      </c>
      <c r="B85">
        <v>17.655000000000001</v>
      </c>
      <c r="C85">
        <v>17.515000000000001</v>
      </c>
      <c r="D85">
        <v>17.695</v>
      </c>
      <c r="E85">
        <v>17.395</v>
      </c>
      <c r="F85" t="s">
        <v>2029</v>
      </c>
      <c r="G85" s="8">
        <v>7.1000000000000004E-3</v>
      </c>
      <c r="H85" s="3">
        <f t="shared" si="1"/>
        <v>7.1306332002281092E-3</v>
      </c>
    </row>
    <row r="86" spans="1:8" x14ac:dyDescent="0.3">
      <c r="A86" t="s">
        <v>2030</v>
      </c>
      <c r="B86">
        <v>18.105</v>
      </c>
      <c r="C86">
        <v>17.704999999999998</v>
      </c>
      <c r="D86">
        <v>18.105</v>
      </c>
      <c r="E86">
        <v>17.63</v>
      </c>
      <c r="F86" t="s">
        <v>2031</v>
      </c>
      <c r="G86" s="8">
        <v>2.5499999999999998E-2</v>
      </c>
      <c r="H86" s="3">
        <f t="shared" si="1"/>
        <v>2.5488530161427381E-2</v>
      </c>
    </row>
    <row r="87" spans="1:8" x14ac:dyDescent="0.3">
      <c r="A87" t="s">
        <v>2032</v>
      </c>
      <c r="B87">
        <v>17.895</v>
      </c>
      <c r="C87">
        <v>18.079999999999998</v>
      </c>
      <c r="D87">
        <v>18.12</v>
      </c>
      <c r="E87">
        <v>17.86</v>
      </c>
      <c r="F87" t="s">
        <v>2033</v>
      </c>
      <c r="G87" s="8">
        <v>-1.1599999999999999E-2</v>
      </c>
      <c r="H87" s="3">
        <f t="shared" si="1"/>
        <v>-1.1599005799502904E-2</v>
      </c>
    </row>
    <row r="88" spans="1:8" x14ac:dyDescent="0.3">
      <c r="A88" t="s">
        <v>2034</v>
      </c>
      <c r="B88">
        <v>17.774999999999999</v>
      </c>
      <c r="C88">
        <v>17.934999999999999</v>
      </c>
      <c r="D88">
        <v>18.004999999999999</v>
      </c>
      <c r="E88">
        <v>17.649999999999999</v>
      </c>
      <c r="F88" t="s">
        <v>2035</v>
      </c>
      <c r="G88" s="8">
        <v>-6.7000000000000002E-3</v>
      </c>
      <c r="H88" s="3">
        <f t="shared" si="1"/>
        <v>-6.7057837384745245E-3</v>
      </c>
    </row>
    <row r="89" spans="1:8" x14ac:dyDescent="0.3">
      <c r="A89" t="s">
        <v>2036</v>
      </c>
      <c r="B89">
        <v>17.920000000000002</v>
      </c>
      <c r="C89">
        <v>17.850000000000001</v>
      </c>
      <c r="D89">
        <v>17.984999999999999</v>
      </c>
      <c r="E89">
        <v>17.84</v>
      </c>
      <c r="F89" t="s">
        <v>2037</v>
      </c>
      <c r="G89" s="8">
        <v>8.2000000000000007E-3</v>
      </c>
      <c r="H89" s="3">
        <f t="shared" si="1"/>
        <v>8.1575246132210566E-3</v>
      </c>
    </row>
    <row r="90" spans="1:8" x14ac:dyDescent="0.3">
      <c r="A90" t="s">
        <v>2038</v>
      </c>
      <c r="B90">
        <v>18.225000000000001</v>
      </c>
      <c r="C90">
        <v>17.934999999999999</v>
      </c>
      <c r="D90">
        <v>18.25</v>
      </c>
      <c r="E90">
        <v>17.925000000000001</v>
      </c>
      <c r="F90" t="s">
        <v>265</v>
      </c>
      <c r="G90" s="8">
        <v>1.7000000000000001E-2</v>
      </c>
      <c r="H90" s="3">
        <f t="shared" si="1"/>
        <v>1.7020089285714191E-2</v>
      </c>
    </row>
    <row r="91" spans="1:8" x14ac:dyDescent="0.3">
      <c r="A91" t="s">
        <v>2039</v>
      </c>
      <c r="B91">
        <v>18.195</v>
      </c>
      <c r="C91">
        <v>18.245000000000001</v>
      </c>
      <c r="D91">
        <v>18.32</v>
      </c>
      <c r="E91">
        <v>18.079999999999998</v>
      </c>
      <c r="F91" t="s">
        <v>2040</v>
      </c>
      <c r="G91" s="8">
        <v>-1.6000000000000001E-3</v>
      </c>
      <c r="H91" s="3">
        <f t="shared" si="1"/>
        <v>-1.6460905349794386E-3</v>
      </c>
    </row>
    <row r="92" spans="1:8" x14ac:dyDescent="0.3">
      <c r="A92" t="s">
        <v>2041</v>
      </c>
      <c r="B92">
        <v>18.135000000000002</v>
      </c>
      <c r="C92">
        <v>18.225000000000001</v>
      </c>
      <c r="D92">
        <v>18.350000000000001</v>
      </c>
      <c r="E92">
        <v>18.135000000000002</v>
      </c>
      <c r="F92" t="s">
        <v>2042</v>
      </c>
      <c r="G92" s="8">
        <v>-3.3E-3</v>
      </c>
      <c r="H92" s="3">
        <f t="shared" si="1"/>
        <v>-3.2976092333057982E-3</v>
      </c>
    </row>
    <row r="93" spans="1:8" x14ac:dyDescent="0.3">
      <c r="A93" t="s">
        <v>2043</v>
      </c>
      <c r="B93">
        <v>18.21</v>
      </c>
      <c r="C93">
        <v>18.190000000000001</v>
      </c>
      <c r="D93">
        <v>18.265000000000001</v>
      </c>
      <c r="E93">
        <v>18.13</v>
      </c>
      <c r="F93" t="s">
        <v>2044</v>
      </c>
      <c r="G93" s="8">
        <v>4.1000000000000003E-3</v>
      </c>
      <c r="H93" s="3">
        <f t="shared" si="1"/>
        <v>4.1356492969395475E-3</v>
      </c>
    </row>
    <row r="94" spans="1:8" x14ac:dyDescent="0.3">
      <c r="A94" t="s">
        <v>2045</v>
      </c>
      <c r="B94">
        <v>18.375</v>
      </c>
      <c r="C94">
        <v>18.2</v>
      </c>
      <c r="D94">
        <v>18.43</v>
      </c>
      <c r="E94">
        <v>18.18</v>
      </c>
      <c r="F94" t="s">
        <v>2046</v>
      </c>
      <c r="G94" s="8">
        <v>9.1000000000000004E-3</v>
      </c>
      <c r="H94" s="3">
        <f t="shared" si="1"/>
        <v>9.0609555189455904E-3</v>
      </c>
    </row>
    <row r="95" spans="1:8" x14ac:dyDescent="0.3">
      <c r="A95" t="s">
        <v>2047</v>
      </c>
      <c r="B95">
        <v>18.254999999999999</v>
      </c>
      <c r="C95">
        <v>18.420000000000002</v>
      </c>
      <c r="D95">
        <v>18.440000000000001</v>
      </c>
      <c r="E95">
        <v>18.175000000000001</v>
      </c>
      <c r="F95" t="s">
        <v>2048</v>
      </c>
      <c r="G95" s="8">
        <v>-6.4999999999999997E-3</v>
      </c>
      <c r="H95" s="3">
        <f t="shared" si="1"/>
        <v>-6.5306122448980375E-3</v>
      </c>
    </row>
    <row r="96" spans="1:8" x14ac:dyDescent="0.3">
      <c r="A96" t="s">
        <v>2049</v>
      </c>
      <c r="B96">
        <v>18.315000000000001</v>
      </c>
      <c r="C96">
        <v>18.21</v>
      </c>
      <c r="D96">
        <v>18.36</v>
      </c>
      <c r="E96">
        <v>18.204999999999998</v>
      </c>
      <c r="F96" t="s">
        <v>2050</v>
      </c>
      <c r="G96" s="8">
        <v>3.3E-3</v>
      </c>
      <c r="H96" s="3">
        <f t="shared" si="1"/>
        <v>3.2867707477404196E-3</v>
      </c>
    </row>
    <row r="97" spans="1:8" x14ac:dyDescent="0.3">
      <c r="A97" t="s">
        <v>2051</v>
      </c>
      <c r="B97">
        <v>18.515000000000001</v>
      </c>
      <c r="C97">
        <v>18.315000000000001</v>
      </c>
      <c r="D97">
        <v>18.565000000000001</v>
      </c>
      <c r="E97">
        <v>18.315000000000001</v>
      </c>
      <c r="F97" t="s">
        <v>2052</v>
      </c>
      <c r="G97" s="8">
        <v>1.09E-2</v>
      </c>
      <c r="H97" s="3">
        <f t="shared" si="1"/>
        <v>1.0920010920010936E-2</v>
      </c>
    </row>
    <row r="98" spans="1:8" x14ac:dyDescent="0.3">
      <c r="A98" t="s">
        <v>2053</v>
      </c>
      <c r="B98">
        <v>18.850000000000001</v>
      </c>
      <c r="C98">
        <v>18.54</v>
      </c>
      <c r="D98">
        <v>18.91</v>
      </c>
      <c r="E98">
        <v>18.52</v>
      </c>
      <c r="F98" t="s">
        <v>2054</v>
      </c>
      <c r="G98" s="8">
        <v>1.8100000000000002E-2</v>
      </c>
      <c r="H98" s="3">
        <f t="shared" si="1"/>
        <v>1.809343775317318E-2</v>
      </c>
    </row>
    <row r="99" spans="1:8" x14ac:dyDescent="0.3">
      <c r="A99" t="s">
        <v>2055</v>
      </c>
      <c r="B99">
        <v>18.86</v>
      </c>
      <c r="C99">
        <v>18.8</v>
      </c>
      <c r="D99">
        <v>18.975000000000001</v>
      </c>
      <c r="E99">
        <v>18.795000000000002</v>
      </c>
      <c r="F99" t="s">
        <v>2056</v>
      </c>
      <c r="G99" s="8">
        <v>5.0000000000000001E-4</v>
      </c>
      <c r="H99" s="3">
        <f t="shared" si="1"/>
        <v>5.3050397877973943E-4</v>
      </c>
    </row>
    <row r="100" spans="1:8" x14ac:dyDescent="0.3">
      <c r="A100" t="s">
        <v>2057</v>
      </c>
      <c r="B100">
        <v>18.855</v>
      </c>
      <c r="C100">
        <v>18.850000000000001</v>
      </c>
      <c r="D100">
        <v>18.93</v>
      </c>
      <c r="E100">
        <v>18.78</v>
      </c>
      <c r="F100" t="s">
        <v>2058</v>
      </c>
      <c r="G100" s="8">
        <v>-2.9999999999999997E-4</v>
      </c>
      <c r="H100" s="3">
        <f t="shared" si="1"/>
        <v>-2.6511134676554526E-4</v>
      </c>
    </row>
    <row r="101" spans="1:8" x14ac:dyDescent="0.3">
      <c r="A101" t="s">
        <v>2059</v>
      </c>
      <c r="B101">
        <v>19</v>
      </c>
      <c r="C101">
        <v>18.809999999999999</v>
      </c>
      <c r="D101">
        <v>19.05</v>
      </c>
      <c r="E101">
        <v>18.809999999999999</v>
      </c>
      <c r="F101" t="s">
        <v>2060</v>
      </c>
      <c r="G101" s="8">
        <v>7.7000000000000002E-3</v>
      </c>
      <c r="H101" s="3">
        <f t="shared" si="1"/>
        <v>7.6902678334658248E-3</v>
      </c>
    </row>
    <row r="102" spans="1:8" x14ac:dyDescent="0.3">
      <c r="A102" t="s">
        <v>2061</v>
      </c>
      <c r="B102">
        <v>19.015000000000001</v>
      </c>
      <c r="C102">
        <v>19</v>
      </c>
      <c r="D102">
        <v>19.184999999999999</v>
      </c>
      <c r="E102">
        <v>19</v>
      </c>
      <c r="F102" t="s">
        <v>2062</v>
      </c>
      <c r="G102" s="8">
        <v>8.0000000000000004E-4</v>
      </c>
      <c r="H102" s="3">
        <f t="shared" si="1"/>
        <v>7.8947368421045105E-4</v>
      </c>
    </row>
    <row r="103" spans="1:8" x14ac:dyDescent="0.3">
      <c r="A103" t="s">
        <v>2063</v>
      </c>
      <c r="B103">
        <v>19.100000000000001</v>
      </c>
      <c r="C103">
        <v>19.059999999999999</v>
      </c>
      <c r="D103">
        <v>19.234999999999999</v>
      </c>
      <c r="E103">
        <v>19.04</v>
      </c>
      <c r="F103" t="s">
        <v>132</v>
      </c>
      <c r="G103" s="8">
        <v>4.4999999999999997E-3</v>
      </c>
      <c r="H103" s="3">
        <f t="shared" si="1"/>
        <v>4.4701551406785001E-3</v>
      </c>
    </row>
    <row r="104" spans="1:8" x14ac:dyDescent="0.3">
      <c r="A104" t="s">
        <v>2064</v>
      </c>
      <c r="B104">
        <v>19.215</v>
      </c>
      <c r="C104">
        <v>19.059999999999999</v>
      </c>
      <c r="D104">
        <v>19.245000000000001</v>
      </c>
      <c r="E104">
        <v>19.059999999999999</v>
      </c>
      <c r="F104" t="s">
        <v>2065</v>
      </c>
      <c r="G104" s="8">
        <v>6.0000000000000001E-3</v>
      </c>
      <c r="H104" s="3">
        <f t="shared" si="1"/>
        <v>6.0209424083768059E-3</v>
      </c>
    </row>
    <row r="105" spans="1:8" x14ac:dyDescent="0.3">
      <c r="A105" t="s">
        <v>2066</v>
      </c>
      <c r="B105">
        <v>19.25</v>
      </c>
      <c r="C105">
        <v>19.2</v>
      </c>
      <c r="D105">
        <v>19.37</v>
      </c>
      <c r="E105">
        <v>19.170000000000002</v>
      </c>
      <c r="F105" t="s">
        <v>2067</v>
      </c>
      <c r="G105" s="8">
        <v>1.8E-3</v>
      </c>
      <c r="H105" s="3">
        <f t="shared" si="1"/>
        <v>1.8214936247722413E-3</v>
      </c>
    </row>
    <row r="106" spans="1:8" x14ac:dyDescent="0.3">
      <c r="A106" t="s">
        <v>2068</v>
      </c>
      <c r="B106">
        <v>19.105</v>
      </c>
      <c r="C106">
        <v>19.170000000000002</v>
      </c>
      <c r="D106">
        <v>19.23</v>
      </c>
      <c r="E106">
        <v>19.010000000000002</v>
      </c>
      <c r="F106" t="s">
        <v>2069</v>
      </c>
      <c r="G106" s="8">
        <v>-7.4999999999999997E-3</v>
      </c>
      <c r="H106" s="3">
        <f t="shared" si="1"/>
        <v>-7.5324675324675017E-3</v>
      </c>
    </row>
    <row r="107" spans="1:8" x14ac:dyDescent="0.3">
      <c r="A107" t="s">
        <v>2070</v>
      </c>
      <c r="B107">
        <v>19.28</v>
      </c>
      <c r="C107">
        <v>19.149999999999999</v>
      </c>
      <c r="D107">
        <v>19.34</v>
      </c>
      <c r="E107">
        <v>19.13</v>
      </c>
      <c r="F107" t="s">
        <v>2071</v>
      </c>
      <c r="G107" s="8">
        <v>9.1999999999999998E-3</v>
      </c>
      <c r="H107" s="3">
        <f t="shared" si="1"/>
        <v>9.1599057838263054E-3</v>
      </c>
    </row>
    <row r="108" spans="1:8" x14ac:dyDescent="0.3">
      <c r="A108" t="s">
        <v>2072</v>
      </c>
      <c r="B108">
        <v>19.445</v>
      </c>
      <c r="C108">
        <v>19.265000000000001</v>
      </c>
      <c r="D108">
        <v>19.475000000000001</v>
      </c>
      <c r="E108">
        <v>19.2</v>
      </c>
      <c r="F108" t="s">
        <v>2073</v>
      </c>
      <c r="G108" s="8">
        <v>8.6E-3</v>
      </c>
      <c r="H108" s="3">
        <f t="shared" si="1"/>
        <v>8.5580912863070235E-3</v>
      </c>
    </row>
    <row r="109" spans="1:8" x14ac:dyDescent="0.3">
      <c r="A109" t="s">
        <v>2074</v>
      </c>
      <c r="B109">
        <v>19.504999999999999</v>
      </c>
      <c r="C109">
        <v>19.43</v>
      </c>
      <c r="D109">
        <v>19.594999999999999</v>
      </c>
      <c r="E109">
        <v>19.420000000000002</v>
      </c>
      <c r="F109" t="s">
        <v>2075</v>
      </c>
      <c r="G109" s="8">
        <v>3.0999999999999999E-3</v>
      </c>
      <c r="H109" s="3">
        <f t="shared" si="1"/>
        <v>3.0856261249678774E-3</v>
      </c>
    </row>
    <row r="110" spans="1:8" x14ac:dyDescent="0.3">
      <c r="A110" t="s">
        <v>2076</v>
      </c>
      <c r="B110">
        <v>19.690000000000001</v>
      </c>
      <c r="C110">
        <v>19.55</v>
      </c>
      <c r="D110">
        <v>19.824999999999999</v>
      </c>
      <c r="E110">
        <v>19.535</v>
      </c>
      <c r="F110" t="s">
        <v>768</v>
      </c>
      <c r="G110" s="8">
        <v>9.4999999999999998E-3</v>
      </c>
      <c r="H110" s="3">
        <f t="shared" si="1"/>
        <v>9.4847475006409887E-3</v>
      </c>
    </row>
    <row r="111" spans="1:8" x14ac:dyDescent="0.3">
      <c r="A111" t="s">
        <v>2077</v>
      </c>
      <c r="B111">
        <v>19.675000000000001</v>
      </c>
      <c r="C111">
        <v>19.664999999999999</v>
      </c>
      <c r="D111">
        <v>19.8</v>
      </c>
      <c r="E111">
        <v>19.510000000000002</v>
      </c>
      <c r="F111" t="s">
        <v>2078</v>
      </c>
      <c r="G111" s="8">
        <v>-8.0000000000000004E-4</v>
      </c>
      <c r="H111" s="3">
        <f t="shared" si="1"/>
        <v>-7.6180802437786355E-4</v>
      </c>
    </row>
    <row r="112" spans="1:8" x14ac:dyDescent="0.3">
      <c r="A112" t="s">
        <v>2079</v>
      </c>
      <c r="B112">
        <v>19.72</v>
      </c>
      <c r="C112">
        <v>19.774999999999999</v>
      </c>
      <c r="D112">
        <v>19.86</v>
      </c>
      <c r="E112">
        <v>19.695</v>
      </c>
      <c r="F112" t="s">
        <v>2080</v>
      </c>
      <c r="G112" s="8">
        <v>2.3E-3</v>
      </c>
      <c r="H112" s="3">
        <f t="shared" si="1"/>
        <v>2.287166454891798E-3</v>
      </c>
    </row>
    <row r="113" spans="1:8" x14ac:dyDescent="0.3">
      <c r="A113" t="s">
        <v>2081</v>
      </c>
      <c r="B113">
        <v>19.88</v>
      </c>
      <c r="C113">
        <v>19.78</v>
      </c>
      <c r="D113">
        <v>19.940000000000001</v>
      </c>
      <c r="E113">
        <v>19.78</v>
      </c>
      <c r="F113" t="s">
        <v>166</v>
      </c>
      <c r="G113" s="8">
        <v>8.0999999999999996E-3</v>
      </c>
      <c r="H113" s="3">
        <f t="shared" si="1"/>
        <v>8.113590263691739E-3</v>
      </c>
    </row>
    <row r="114" spans="1:8" x14ac:dyDescent="0.3">
      <c r="A114" t="s">
        <v>2082</v>
      </c>
      <c r="B114">
        <v>19.835000000000001</v>
      </c>
      <c r="C114">
        <v>19.905000000000001</v>
      </c>
      <c r="D114">
        <v>19.97</v>
      </c>
      <c r="E114">
        <v>19.760000000000002</v>
      </c>
      <c r="F114" t="s">
        <v>2083</v>
      </c>
      <c r="G114" s="8">
        <v>-2.3E-3</v>
      </c>
      <c r="H114" s="3">
        <f t="shared" si="1"/>
        <v>-2.2635814889334638E-3</v>
      </c>
    </row>
    <row r="115" spans="1:8" x14ac:dyDescent="0.3">
      <c r="A115" t="s">
        <v>2084</v>
      </c>
      <c r="B115">
        <v>19.984999999999999</v>
      </c>
      <c r="C115">
        <v>19.914999999999999</v>
      </c>
      <c r="D115">
        <v>20.09</v>
      </c>
      <c r="E115">
        <v>19.82</v>
      </c>
      <c r="F115" t="s">
        <v>104</v>
      </c>
      <c r="G115" s="8">
        <v>7.6E-3</v>
      </c>
      <c r="H115" s="3">
        <f t="shared" si="1"/>
        <v>7.5623897151499975E-3</v>
      </c>
    </row>
    <row r="116" spans="1:8" x14ac:dyDescent="0.3">
      <c r="A116" t="s">
        <v>2085</v>
      </c>
      <c r="B116">
        <v>19.66</v>
      </c>
      <c r="C116">
        <v>20.02</v>
      </c>
      <c r="D116">
        <v>20.079999999999998</v>
      </c>
      <c r="E116">
        <v>19.645</v>
      </c>
      <c r="F116" t="s">
        <v>2086</v>
      </c>
      <c r="G116" s="8">
        <v>-1.6299999999999999E-2</v>
      </c>
      <c r="H116" s="3">
        <f t="shared" si="1"/>
        <v>-1.6262196647485627E-2</v>
      </c>
    </row>
    <row r="117" spans="1:8" x14ac:dyDescent="0.3">
      <c r="A117" t="s">
        <v>2087</v>
      </c>
      <c r="B117">
        <v>19.309999999999999</v>
      </c>
      <c r="C117">
        <v>19.75</v>
      </c>
      <c r="D117">
        <v>19.75</v>
      </c>
      <c r="E117">
        <v>19.234999999999999</v>
      </c>
      <c r="F117" t="s">
        <v>255</v>
      </c>
      <c r="G117" s="8">
        <v>-1.78E-2</v>
      </c>
      <c r="H117" s="3">
        <f t="shared" si="1"/>
        <v>-1.7802644964394765E-2</v>
      </c>
    </row>
    <row r="118" spans="1:8" x14ac:dyDescent="0.3">
      <c r="A118" t="s">
        <v>2088</v>
      </c>
      <c r="B118">
        <v>19.38</v>
      </c>
      <c r="C118">
        <v>19.245000000000001</v>
      </c>
      <c r="D118">
        <v>19.45</v>
      </c>
      <c r="E118">
        <v>19.2</v>
      </c>
      <c r="F118" t="s">
        <v>174</v>
      </c>
      <c r="G118" s="8">
        <v>3.5999999999999999E-3</v>
      </c>
      <c r="H118" s="3">
        <f t="shared" si="1"/>
        <v>3.6250647332989328E-3</v>
      </c>
    </row>
    <row r="119" spans="1:8" x14ac:dyDescent="0.3">
      <c r="A119" t="s">
        <v>2089</v>
      </c>
      <c r="B119">
        <v>19.649999999999999</v>
      </c>
      <c r="C119">
        <v>19.38</v>
      </c>
      <c r="D119">
        <v>19.690000000000001</v>
      </c>
      <c r="E119">
        <v>19.38</v>
      </c>
      <c r="F119" t="s">
        <v>2090</v>
      </c>
      <c r="G119" s="8">
        <v>1.3899999999999999E-2</v>
      </c>
      <c r="H119" s="3">
        <f t="shared" si="1"/>
        <v>1.393188854489158E-2</v>
      </c>
    </row>
    <row r="120" spans="1:8" x14ac:dyDescent="0.3">
      <c r="A120" t="s">
        <v>2091</v>
      </c>
      <c r="B120">
        <v>19.75</v>
      </c>
      <c r="C120">
        <v>19.655000000000001</v>
      </c>
      <c r="D120">
        <v>19.760000000000002</v>
      </c>
      <c r="E120">
        <v>19.484999999999999</v>
      </c>
      <c r="F120" t="s">
        <v>2092</v>
      </c>
      <c r="G120" s="8">
        <v>5.1000000000000004E-3</v>
      </c>
      <c r="H120" s="3">
        <f t="shared" si="1"/>
        <v>5.0890585241731845E-3</v>
      </c>
    </row>
    <row r="121" spans="1:8" x14ac:dyDescent="0.3">
      <c r="A121" t="s">
        <v>2093</v>
      </c>
      <c r="B121">
        <v>19.675000000000001</v>
      </c>
      <c r="C121">
        <v>19.725000000000001</v>
      </c>
      <c r="D121">
        <v>19.739999999999998</v>
      </c>
      <c r="E121">
        <v>19.535</v>
      </c>
      <c r="F121" t="s">
        <v>2094</v>
      </c>
      <c r="G121" s="8">
        <v>-3.8E-3</v>
      </c>
      <c r="H121" s="3">
        <f t="shared" si="1"/>
        <v>-3.797468354430289E-3</v>
      </c>
    </row>
    <row r="122" spans="1:8" x14ac:dyDescent="0.3">
      <c r="A122" t="s">
        <v>2095</v>
      </c>
      <c r="B122">
        <v>19.664999999999999</v>
      </c>
      <c r="C122">
        <v>19.78</v>
      </c>
      <c r="D122">
        <v>19.899999999999999</v>
      </c>
      <c r="E122">
        <v>19.524999999999999</v>
      </c>
      <c r="F122" t="s">
        <v>2096</v>
      </c>
      <c r="G122" s="8">
        <v>-5.0000000000000001E-4</v>
      </c>
      <c r="H122" s="3">
        <f t="shared" si="1"/>
        <v>-5.0825921219832537E-4</v>
      </c>
    </row>
    <row r="123" spans="1:8" x14ac:dyDescent="0.3">
      <c r="A123" t="s">
        <v>2097</v>
      </c>
      <c r="B123">
        <v>19.774999999999999</v>
      </c>
      <c r="C123">
        <v>19.635000000000002</v>
      </c>
      <c r="D123">
        <v>19.87</v>
      </c>
      <c r="E123">
        <v>19.63</v>
      </c>
      <c r="F123" t="s">
        <v>2098</v>
      </c>
      <c r="G123" s="8">
        <v>5.5999999999999999E-3</v>
      </c>
      <c r="H123" s="3">
        <f t="shared" si="1"/>
        <v>5.5936943808796435E-3</v>
      </c>
    </row>
    <row r="124" spans="1:8" x14ac:dyDescent="0.3">
      <c r="A124" t="s">
        <v>2099</v>
      </c>
      <c r="B124">
        <v>19.63</v>
      </c>
      <c r="C124">
        <v>19.655000000000001</v>
      </c>
      <c r="D124">
        <v>19.8</v>
      </c>
      <c r="E124">
        <v>19.565000000000001</v>
      </c>
      <c r="F124" t="s">
        <v>135</v>
      </c>
      <c r="G124" s="8">
        <v>-7.3000000000000001E-3</v>
      </c>
      <c r="H124" s="3">
        <f t="shared" si="1"/>
        <v>-7.3324905183311806E-3</v>
      </c>
    </row>
    <row r="125" spans="1:8" x14ac:dyDescent="0.3">
      <c r="A125" t="s">
        <v>2100</v>
      </c>
      <c r="B125">
        <v>19.8</v>
      </c>
      <c r="C125">
        <v>19.66</v>
      </c>
      <c r="D125">
        <v>19.815000000000001</v>
      </c>
      <c r="E125">
        <v>19.579999999999998</v>
      </c>
      <c r="F125" t="s">
        <v>2101</v>
      </c>
      <c r="G125" s="8">
        <v>8.6999999999999994E-3</v>
      </c>
      <c r="H125" s="3">
        <f t="shared" si="1"/>
        <v>8.6602139582272475E-3</v>
      </c>
    </row>
    <row r="126" spans="1:8" x14ac:dyDescent="0.3">
      <c r="A126" t="s">
        <v>2102</v>
      </c>
      <c r="B126">
        <v>19.52</v>
      </c>
      <c r="C126">
        <v>19.75</v>
      </c>
      <c r="D126">
        <v>19.760000000000002</v>
      </c>
      <c r="E126">
        <v>19.454999999999998</v>
      </c>
      <c r="F126" t="s">
        <v>2103</v>
      </c>
      <c r="G126" s="8">
        <v>-1.41E-2</v>
      </c>
      <c r="H126" s="3">
        <f t="shared" si="1"/>
        <v>-1.4141414141414232E-2</v>
      </c>
    </row>
    <row r="127" spans="1:8" x14ac:dyDescent="0.3">
      <c r="A127" t="s">
        <v>2104</v>
      </c>
      <c r="B127">
        <v>19.38</v>
      </c>
      <c r="C127">
        <v>19.47</v>
      </c>
      <c r="D127">
        <v>19.57</v>
      </c>
      <c r="E127">
        <v>19.32</v>
      </c>
      <c r="F127" t="s">
        <v>264</v>
      </c>
      <c r="G127" s="8">
        <v>-7.1999999999999998E-3</v>
      </c>
      <c r="H127" s="3">
        <f t="shared" si="1"/>
        <v>-7.1721311475410054E-3</v>
      </c>
    </row>
    <row r="128" spans="1:8" x14ac:dyDescent="0.3">
      <c r="A128" t="s">
        <v>2105</v>
      </c>
      <c r="B128">
        <v>19.18</v>
      </c>
      <c r="C128">
        <v>19.414999999999999</v>
      </c>
      <c r="D128">
        <v>19.47</v>
      </c>
      <c r="E128">
        <v>18.82</v>
      </c>
      <c r="F128" t="s">
        <v>79</v>
      </c>
      <c r="G128" s="8">
        <v>-1.03E-2</v>
      </c>
      <c r="H128" s="3">
        <f t="shared" si="1"/>
        <v>-1.0319917440660409E-2</v>
      </c>
    </row>
    <row r="129" spans="1:8" x14ac:dyDescent="0.3">
      <c r="A129" t="s">
        <v>2106</v>
      </c>
      <c r="B129">
        <v>19.04</v>
      </c>
      <c r="C129">
        <v>19.135000000000002</v>
      </c>
      <c r="D129">
        <v>19.225000000000001</v>
      </c>
      <c r="E129">
        <v>19.04</v>
      </c>
      <c r="F129" t="s">
        <v>2107</v>
      </c>
      <c r="G129" s="8">
        <v>-7.3000000000000001E-3</v>
      </c>
      <c r="H129" s="3">
        <f t="shared" si="1"/>
        <v>-7.2992700729926918E-3</v>
      </c>
    </row>
    <row r="130" spans="1:8" x14ac:dyDescent="0.3">
      <c r="A130" t="s">
        <v>2108</v>
      </c>
      <c r="B130">
        <v>19.265000000000001</v>
      </c>
      <c r="C130">
        <v>19.015000000000001</v>
      </c>
      <c r="D130">
        <v>19.265000000000001</v>
      </c>
      <c r="E130">
        <v>19.015000000000001</v>
      </c>
      <c r="F130" t="s">
        <v>2109</v>
      </c>
      <c r="G130" s="8">
        <v>1.18E-2</v>
      </c>
      <c r="H130" s="3">
        <f t="shared" si="1"/>
        <v>1.1817226890756372E-2</v>
      </c>
    </row>
    <row r="131" spans="1:8" x14ac:dyDescent="0.3">
      <c r="A131" t="s">
        <v>2110</v>
      </c>
      <c r="B131">
        <v>19.364999999999998</v>
      </c>
      <c r="C131">
        <v>19.25</v>
      </c>
      <c r="D131">
        <v>19.405000000000001</v>
      </c>
      <c r="E131">
        <v>19.234999999999999</v>
      </c>
      <c r="F131" t="s">
        <v>2111</v>
      </c>
      <c r="G131" s="8">
        <v>5.1999999999999998E-3</v>
      </c>
      <c r="H131" s="3">
        <f t="shared" si="1"/>
        <v>5.1907604464052071E-3</v>
      </c>
    </row>
    <row r="132" spans="1:8" x14ac:dyDescent="0.3">
      <c r="A132" t="s">
        <v>2112</v>
      </c>
      <c r="B132">
        <v>18.68</v>
      </c>
      <c r="C132">
        <v>19.170000000000002</v>
      </c>
      <c r="D132">
        <v>19.234999999999999</v>
      </c>
      <c r="E132">
        <v>18.68</v>
      </c>
      <c r="F132" t="s">
        <v>46</v>
      </c>
      <c r="G132" s="8">
        <v>-3.5400000000000001E-2</v>
      </c>
      <c r="H132" s="3">
        <f t="shared" ref="H132:H195" si="2">(B132/B131)-1</f>
        <v>-3.5373095791376152E-2</v>
      </c>
    </row>
    <row r="133" spans="1:8" x14ac:dyDescent="0.3">
      <c r="A133" t="s">
        <v>2113</v>
      </c>
      <c r="B133">
        <v>18.934999999999999</v>
      </c>
      <c r="C133">
        <v>18.73</v>
      </c>
      <c r="D133">
        <v>19.04</v>
      </c>
      <c r="E133">
        <v>18.670000000000002</v>
      </c>
      <c r="F133" t="s">
        <v>273</v>
      </c>
      <c r="G133" s="8">
        <v>1.37E-2</v>
      </c>
      <c r="H133" s="3">
        <f t="shared" si="2"/>
        <v>1.3650963597430454E-2</v>
      </c>
    </row>
    <row r="134" spans="1:8" x14ac:dyDescent="0.3">
      <c r="A134" t="s">
        <v>2114</v>
      </c>
      <c r="B134">
        <v>19.324999999999999</v>
      </c>
      <c r="C134">
        <v>18.984999999999999</v>
      </c>
      <c r="D134">
        <v>19.344999999999999</v>
      </c>
      <c r="E134">
        <v>18.965</v>
      </c>
      <c r="F134" t="s">
        <v>2115</v>
      </c>
      <c r="G134" s="8">
        <v>2.06E-2</v>
      </c>
      <c r="H134" s="3">
        <f t="shared" si="2"/>
        <v>2.0596778452601106E-2</v>
      </c>
    </row>
    <row r="135" spans="1:8" x14ac:dyDescent="0.3">
      <c r="A135" t="s">
        <v>2116</v>
      </c>
      <c r="B135">
        <v>19.664999999999999</v>
      </c>
      <c r="C135">
        <v>19.41</v>
      </c>
      <c r="D135">
        <v>19.809999999999999</v>
      </c>
      <c r="E135">
        <v>19.385000000000002</v>
      </c>
      <c r="F135" t="s">
        <v>2117</v>
      </c>
      <c r="G135" s="8">
        <v>1.7600000000000001E-2</v>
      </c>
      <c r="H135" s="3">
        <f t="shared" si="2"/>
        <v>1.7593790426908118E-2</v>
      </c>
    </row>
    <row r="136" spans="1:8" x14ac:dyDescent="0.3">
      <c r="A136" t="s">
        <v>2118</v>
      </c>
      <c r="B136">
        <v>19.875</v>
      </c>
      <c r="C136">
        <v>19.64</v>
      </c>
      <c r="D136">
        <v>19.895</v>
      </c>
      <c r="E136">
        <v>19.484999999999999</v>
      </c>
      <c r="F136" t="s">
        <v>103</v>
      </c>
      <c r="G136" s="8">
        <v>1.0699999999999999E-2</v>
      </c>
      <c r="H136" s="3">
        <f t="shared" si="2"/>
        <v>1.067887109077037E-2</v>
      </c>
    </row>
    <row r="137" spans="1:8" x14ac:dyDescent="0.3">
      <c r="A137" t="s">
        <v>2119</v>
      </c>
      <c r="B137">
        <v>19.704999999999998</v>
      </c>
      <c r="C137">
        <v>19.88</v>
      </c>
      <c r="D137">
        <v>19.98</v>
      </c>
      <c r="E137">
        <v>19.555</v>
      </c>
      <c r="F137" t="s">
        <v>127</v>
      </c>
      <c r="G137" s="8">
        <v>-8.6E-3</v>
      </c>
      <c r="H137" s="3">
        <f t="shared" si="2"/>
        <v>-8.5534591194968979E-3</v>
      </c>
    </row>
    <row r="138" spans="1:8" x14ac:dyDescent="0.3">
      <c r="A138" t="s">
        <v>2120</v>
      </c>
      <c r="B138">
        <v>19.664999999999999</v>
      </c>
      <c r="C138">
        <v>19.63</v>
      </c>
      <c r="D138">
        <v>19.695</v>
      </c>
      <c r="E138">
        <v>19.510000000000002</v>
      </c>
      <c r="F138" t="s">
        <v>1071</v>
      </c>
      <c r="G138" s="8">
        <v>-2E-3</v>
      </c>
      <c r="H138" s="3">
        <f t="shared" si="2"/>
        <v>-2.0299416391778013E-3</v>
      </c>
    </row>
    <row r="139" spans="1:8" x14ac:dyDescent="0.3">
      <c r="A139" t="s">
        <v>2121</v>
      </c>
      <c r="B139">
        <v>19.664999999999999</v>
      </c>
      <c r="C139">
        <v>19.625</v>
      </c>
      <c r="D139">
        <v>19.760000000000002</v>
      </c>
      <c r="E139">
        <v>19.535</v>
      </c>
      <c r="F139" t="s">
        <v>2122</v>
      </c>
      <c r="G139" s="8">
        <v>0</v>
      </c>
      <c r="H139" s="3">
        <f t="shared" si="2"/>
        <v>0</v>
      </c>
    </row>
    <row r="140" spans="1:8" x14ac:dyDescent="0.3">
      <c r="A140" t="s">
        <v>2123</v>
      </c>
      <c r="B140">
        <v>19.53</v>
      </c>
      <c r="C140">
        <v>19.64</v>
      </c>
      <c r="D140">
        <v>19.664999999999999</v>
      </c>
      <c r="E140">
        <v>19.254999999999999</v>
      </c>
      <c r="F140" t="s">
        <v>2124</v>
      </c>
      <c r="G140" s="8">
        <v>-6.8999999999999999E-3</v>
      </c>
      <c r="H140" s="3">
        <f t="shared" si="2"/>
        <v>-6.8649885583522696E-3</v>
      </c>
    </row>
    <row r="141" spans="1:8" x14ac:dyDescent="0.3">
      <c r="A141" t="s">
        <v>2125</v>
      </c>
      <c r="B141">
        <v>19.690000000000001</v>
      </c>
      <c r="C141">
        <v>19.61</v>
      </c>
      <c r="D141">
        <v>19.82</v>
      </c>
      <c r="E141">
        <v>19.61</v>
      </c>
      <c r="F141" t="s">
        <v>2126</v>
      </c>
      <c r="G141" s="8">
        <v>8.2000000000000007E-3</v>
      </c>
      <c r="H141" s="3">
        <f t="shared" si="2"/>
        <v>8.1925243215565935E-3</v>
      </c>
    </row>
    <row r="142" spans="1:8" x14ac:dyDescent="0.3">
      <c r="A142" t="s">
        <v>2127</v>
      </c>
      <c r="B142">
        <v>19.745000000000001</v>
      </c>
      <c r="C142">
        <v>19.690000000000001</v>
      </c>
      <c r="D142">
        <v>19.809999999999999</v>
      </c>
      <c r="E142">
        <v>19.664999999999999</v>
      </c>
      <c r="F142" t="s">
        <v>2128</v>
      </c>
      <c r="G142" s="8">
        <v>2.8E-3</v>
      </c>
      <c r="H142" s="3">
        <f t="shared" si="2"/>
        <v>2.7932960893854997E-3</v>
      </c>
    </row>
    <row r="143" spans="1:8" x14ac:dyDescent="0.3">
      <c r="A143" t="s">
        <v>2129</v>
      </c>
      <c r="B143">
        <v>19.68</v>
      </c>
      <c r="C143">
        <v>19.63</v>
      </c>
      <c r="D143">
        <v>19.765000000000001</v>
      </c>
      <c r="E143">
        <v>19.57</v>
      </c>
      <c r="F143" t="s">
        <v>2130</v>
      </c>
      <c r="G143" s="8">
        <v>-3.3E-3</v>
      </c>
      <c r="H143" s="3">
        <f t="shared" si="2"/>
        <v>-3.2919726513042091E-3</v>
      </c>
    </row>
    <row r="144" spans="1:8" x14ac:dyDescent="0.3">
      <c r="A144" t="s">
        <v>2131</v>
      </c>
      <c r="B144">
        <v>19.805</v>
      </c>
      <c r="C144">
        <v>19.754999999999999</v>
      </c>
      <c r="D144">
        <v>19.805</v>
      </c>
      <c r="E144">
        <v>19.645</v>
      </c>
      <c r="F144" t="s">
        <v>2132</v>
      </c>
      <c r="G144" s="8">
        <v>6.4000000000000003E-3</v>
      </c>
      <c r="H144" s="3">
        <f t="shared" si="2"/>
        <v>6.351626016260159E-3</v>
      </c>
    </row>
    <row r="145" spans="1:8" x14ac:dyDescent="0.3">
      <c r="A145" t="s">
        <v>2133</v>
      </c>
      <c r="B145">
        <v>19.704999999999998</v>
      </c>
      <c r="C145">
        <v>19.785</v>
      </c>
      <c r="D145">
        <v>19.844999999999999</v>
      </c>
      <c r="E145">
        <v>19.585000000000001</v>
      </c>
      <c r="F145" t="s">
        <v>2134</v>
      </c>
      <c r="G145" s="8">
        <v>-5.0000000000000001E-3</v>
      </c>
      <c r="H145" s="3">
        <f t="shared" si="2"/>
        <v>-5.0492299924261852E-3</v>
      </c>
    </row>
    <row r="146" spans="1:8" x14ac:dyDescent="0.3">
      <c r="A146" t="s">
        <v>2135</v>
      </c>
      <c r="B146">
        <v>19.63</v>
      </c>
      <c r="C146">
        <v>19.71</v>
      </c>
      <c r="D146">
        <v>19.795000000000002</v>
      </c>
      <c r="E146">
        <v>19.395</v>
      </c>
      <c r="F146" t="s">
        <v>270</v>
      </c>
      <c r="G146" s="8">
        <v>-3.8E-3</v>
      </c>
      <c r="H146" s="3">
        <f t="shared" si="2"/>
        <v>-3.8061405734585163E-3</v>
      </c>
    </row>
    <row r="147" spans="1:8" x14ac:dyDescent="0.3">
      <c r="A147" t="s">
        <v>2136</v>
      </c>
      <c r="B147">
        <v>19.805</v>
      </c>
      <c r="C147">
        <v>19.75</v>
      </c>
      <c r="D147">
        <v>19.895</v>
      </c>
      <c r="E147">
        <v>19.57</v>
      </c>
      <c r="F147" t="s">
        <v>282</v>
      </c>
      <c r="G147" s="8">
        <v>8.8999999999999999E-3</v>
      </c>
      <c r="H147" s="3">
        <f t="shared" si="2"/>
        <v>8.9149261334691143E-3</v>
      </c>
    </row>
    <row r="148" spans="1:8" x14ac:dyDescent="0.3">
      <c r="A148" t="s">
        <v>2137</v>
      </c>
      <c r="B148">
        <v>19.95</v>
      </c>
      <c r="C148">
        <v>19.760000000000002</v>
      </c>
      <c r="D148">
        <v>19.97</v>
      </c>
      <c r="E148">
        <v>19.745000000000001</v>
      </c>
      <c r="F148" t="s">
        <v>2138</v>
      </c>
      <c r="G148" s="8">
        <v>7.3000000000000001E-3</v>
      </c>
      <c r="H148" s="3">
        <f t="shared" si="2"/>
        <v>7.3213834890180074E-3</v>
      </c>
    </row>
    <row r="149" spans="1:8" x14ac:dyDescent="0.3">
      <c r="A149" t="s">
        <v>2139</v>
      </c>
      <c r="B149">
        <v>19.8</v>
      </c>
      <c r="C149">
        <v>19.899999999999999</v>
      </c>
      <c r="D149">
        <v>19.96</v>
      </c>
      <c r="E149">
        <v>19.8</v>
      </c>
      <c r="F149" t="s">
        <v>2140</v>
      </c>
      <c r="G149" s="8">
        <v>-7.4999999999999997E-3</v>
      </c>
      <c r="H149" s="3">
        <f t="shared" si="2"/>
        <v>-7.5187969924811471E-3</v>
      </c>
    </row>
    <row r="150" spans="1:8" x14ac:dyDescent="0.3">
      <c r="A150" t="s">
        <v>2141</v>
      </c>
      <c r="B150">
        <v>19.97</v>
      </c>
      <c r="C150">
        <v>19.829999999999998</v>
      </c>
      <c r="D150">
        <v>19.989999999999998</v>
      </c>
      <c r="E150">
        <v>19.815000000000001</v>
      </c>
      <c r="F150" t="s">
        <v>103</v>
      </c>
      <c r="G150" s="8">
        <v>8.6E-3</v>
      </c>
      <c r="H150" s="3">
        <f t="shared" si="2"/>
        <v>8.5858585858584746E-3</v>
      </c>
    </row>
    <row r="151" spans="1:8" x14ac:dyDescent="0.3">
      <c r="A151" t="s">
        <v>2142</v>
      </c>
      <c r="B151">
        <v>19.254999999999999</v>
      </c>
      <c r="C151">
        <v>19.8</v>
      </c>
      <c r="D151">
        <v>19.8</v>
      </c>
      <c r="E151">
        <v>19.074999999999999</v>
      </c>
      <c r="F151" t="s">
        <v>175</v>
      </c>
      <c r="G151" s="8">
        <v>-3.5799999999999998E-2</v>
      </c>
      <c r="H151" s="3">
        <f t="shared" si="2"/>
        <v>-3.5803705558337451E-2</v>
      </c>
    </row>
    <row r="152" spans="1:8" x14ac:dyDescent="0.3">
      <c r="A152" t="s">
        <v>2143</v>
      </c>
      <c r="B152">
        <v>19.254999999999999</v>
      </c>
      <c r="C152">
        <v>19.234999999999999</v>
      </c>
      <c r="D152">
        <v>19.454999999999998</v>
      </c>
      <c r="E152">
        <v>19.234999999999999</v>
      </c>
      <c r="F152" t="s">
        <v>172</v>
      </c>
      <c r="G152" s="8">
        <v>0</v>
      </c>
      <c r="H152" s="3">
        <f t="shared" si="2"/>
        <v>0</v>
      </c>
    </row>
    <row r="153" spans="1:8" x14ac:dyDescent="0.3">
      <c r="A153" t="s">
        <v>2144</v>
      </c>
      <c r="B153">
        <v>19.3</v>
      </c>
      <c r="C153">
        <v>19.22</v>
      </c>
      <c r="D153">
        <v>19.414999999999999</v>
      </c>
      <c r="E153">
        <v>19.2</v>
      </c>
      <c r="F153" t="s">
        <v>2145</v>
      </c>
      <c r="G153" s="8">
        <v>2.3E-3</v>
      </c>
      <c r="H153" s="3">
        <f t="shared" si="2"/>
        <v>2.337055310309033E-3</v>
      </c>
    </row>
    <row r="154" spans="1:8" x14ac:dyDescent="0.3">
      <c r="A154" t="s">
        <v>2146</v>
      </c>
      <c r="B154">
        <v>19.399999999999999</v>
      </c>
      <c r="C154">
        <v>19.425000000000001</v>
      </c>
      <c r="D154">
        <v>19.47</v>
      </c>
      <c r="E154">
        <v>19.28</v>
      </c>
      <c r="F154" t="s">
        <v>2147</v>
      </c>
      <c r="G154" s="8">
        <v>5.1999999999999998E-3</v>
      </c>
      <c r="H154" s="3">
        <f t="shared" si="2"/>
        <v>5.1813471502588637E-3</v>
      </c>
    </row>
    <row r="155" spans="1:8" x14ac:dyDescent="0.3">
      <c r="A155" t="s">
        <v>2148</v>
      </c>
      <c r="B155">
        <v>19.434999999999999</v>
      </c>
      <c r="C155">
        <v>19.29</v>
      </c>
      <c r="D155">
        <v>19.600000000000001</v>
      </c>
      <c r="E155">
        <v>19.21</v>
      </c>
      <c r="F155" t="s">
        <v>72</v>
      </c>
      <c r="G155" s="8">
        <v>1.8E-3</v>
      </c>
      <c r="H155" s="3">
        <f t="shared" si="2"/>
        <v>1.8041237113401998E-3</v>
      </c>
    </row>
    <row r="156" spans="1:8" x14ac:dyDescent="0.3">
      <c r="A156" t="s">
        <v>2149</v>
      </c>
      <c r="B156">
        <v>19.414999999999999</v>
      </c>
      <c r="C156">
        <v>19.5</v>
      </c>
      <c r="D156">
        <v>19.64</v>
      </c>
      <c r="E156">
        <v>19.329999999999998</v>
      </c>
      <c r="F156" t="s">
        <v>2150</v>
      </c>
      <c r="G156" s="8">
        <v>-1E-3</v>
      </c>
      <c r="H156" s="3">
        <f t="shared" si="2"/>
        <v>-1.0290712631849663E-3</v>
      </c>
    </row>
    <row r="157" spans="1:8" x14ac:dyDescent="0.3">
      <c r="A157" t="s">
        <v>2151</v>
      </c>
      <c r="B157">
        <v>19.684999999999999</v>
      </c>
      <c r="C157">
        <v>19.434999999999999</v>
      </c>
      <c r="D157">
        <v>19.684999999999999</v>
      </c>
      <c r="E157">
        <v>19.135000000000002</v>
      </c>
      <c r="F157" t="s">
        <v>103</v>
      </c>
      <c r="G157" s="8">
        <v>1.3899999999999999E-2</v>
      </c>
      <c r="H157" s="3">
        <f t="shared" si="2"/>
        <v>1.3906773113572024E-2</v>
      </c>
    </row>
    <row r="158" spans="1:8" x14ac:dyDescent="0.3">
      <c r="A158" t="s">
        <v>2152</v>
      </c>
      <c r="B158">
        <v>19.79</v>
      </c>
      <c r="C158">
        <v>19.655000000000001</v>
      </c>
      <c r="D158">
        <v>19.87</v>
      </c>
      <c r="E158">
        <v>19.645</v>
      </c>
      <c r="F158" t="s">
        <v>2153</v>
      </c>
      <c r="G158" s="8">
        <v>5.3E-3</v>
      </c>
      <c r="H158" s="3">
        <f t="shared" si="2"/>
        <v>5.3340106680213051E-3</v>
      </c>
    </row>
    <row r="159" spans="1:8" x14ac:dyDescent="0.3">
      <c r="A159" t="s">
        <v>2154</v>
      </c>
      <c r="B159">
        <v>19.785</v>
      </c>
      <c r="C159">
        <v>19.89</v>
      </c>
      <c r="D159">
        <v>19.93</v>
      </c>
      <c r="E159">
        <v>19.64</v>
      </c>
      <c r="F159" t="s">
        <v>2155</v>
      </c>
      <c r="G159" s="8">
        <v>-2.9999999999999997E-4</v>
      </c>
      <c r="H159" s="3">
        <f t="shared" si="2"/>
        <v>-2.5265285497722001E-4</v>
      </c>
    </row>
    <row r="160" spans="1:8" x14ac:dyDescent="0.3">
      <c r="A160" t="s">
        <v>2156</v>
      </c>
      <c r="B160">
        <v>19.95</v>
      </c>
      <c r="C160">
        <v>19.875</v>
      </c>
      <c r="D160">
        <v>19.97</v>
      </c>
      <c r="E160">
        <v>19.745000000000001</v>
      </c>
      <c r="F160" t="s">
        <v>233</v>
      </c>
      <c r="G160" s="8">
        <v>8.3000000000000001E-3</v>
      </c>
      <c r="H160" s="3">
        <f t="shared" si="2"/>
        <v>8.3396512509477105E-3</v>
      </c>
    </row>
    <row r="161" spans="1:8" x14ac:dyDescent="0.3">
      <c r="A161" t="s">
        <v>2157</v>
      </c>
      <c r="B161">
        <v>20.100000000000001</v>
      </c>
      <c r="C161">
        <v>19.989999999999998</v>
      </c>
      <c r="D161">
        <v>20.21</v>
      </c>
      <c r="E161">
        <v>19.925000000000001</v>
      </c>
      <c r="F161" t="s">
        <v>282</v>
      </c>
      <c r="G161" s="8">
        <v>7.4999999999999997E-3</v>
      </c>
      <c r="H161" s="3">
        <f t="shared" si="2"/>
        <v>7.5187969924812581E-3</v>
      </c>
    </row>
    <row r="162" spans="1:8" x14ac:dyDescent="0.3">
      <c r="A162" t="s">
        <v>2158</v>
      </c>
      <c r="B162">
        <v>19.82</v>
      </c>
      <c r="C162">
        <v>20.100000000000001</v>
      </c>
      <c r="D162">
        <v>20.32</v>
      </c>
      <c r="E162">
        <v>19.815000000000001</v>
      </c>
      <c r="F162" t="s">
        <v>123</v>
      </c>
      <c r="G162" s="8">
        <v>-1.3899999999999999E-2</v>
      </c>
      <c r="H162" s="3">
        <f t="shared" si="2"/>
        <v>-1.3930348258706537E-2</v>
      </c>
    </row>
    <row r="163" spans="1:8" x14ac:dyDescent="0.3">
      <c r="A163" t="s">
        <v>2159</v>
      </c>
      <c r="B163">
        <v>20.27</v>
      </c>
      <c r="C163">
        <v>19.940000000000001</v>
      </c>
      <c r="D163">
        <v>20.36</v>
      </c>
      <c r="E163">
        <v>19.864999999999998</v>
      </c>
      <c r="F163" t="s">
        <v>282</v>
      </c>
      <c r="G163" s="8">
        <v>2.2700000000000001E-2</v>
      </c>
      <c r="H163" s="3">
        <f t="shared" si="2"/>
        <v>2.2704339051463185E-2</v>
      </c>
    </row>
    <row r="164" spans="1:8" x14ac:dyDescent="0.3">
      <c r="A164" t="s">
        <v>2160</v>
      </c>
      <c r="B164">
        <v>20.71</v>
      </c>
      <c r="C164">
        <v>20.37</v>
      </c>
      <c r="D164">
        <v>20.84</v>
      </c>
      <c r="E164">
        <v>20.37</v>
      </c>
      <c r="F164" t="s">
        <v>386</v>
      </c>
      <c r="G164" s="8">
        <v>2.1700000000000001E-2</v>
      </c>
      <c r="H164" s="3">
        <f t="shared" si="2"/>
        <v>2.1706956092747864E-2</v>
      </c>
    </row>
    <row r="165" spans="1:8" x14ac:dyDescent="0.3">
      <c r="A165" t="s">
        <v>2161</v>
      </c>
      <c r="B165">
        <v>20.53</v>
      </c>
      <c r="C165">
        <v>20.61</v>
      </c>
      <c r="D165">
        <v>20.65</v>
      </c>
      <c r="E165">
        <v>20.46</v>
      </c>
      <c r="F165" t="s">
        <v>2162</v>
      </c>
      <c r="G165" s="8">
        <v>-8.6999999999999994E-3</v>
      </c>
      <c r="H165" s="3">
        <f t="shared" si="2"/>
        <v>-8.6914534041525604E-3</v>
      </c>
    </row>
    <row r="166" spans="1:8" x14ac:dyDescent="0.3">
      <c r="A166" t="s">
        <v>2163</v>
      </c>
      <c r="B166">
        <v>20.51</v>
      </c>
      <c r="C166">
        <v>20.53</v>
      </c>
      <c r="D166">
        <v>20.6</v>
      </c>
      <c r="E166">
        <v>20.43</v>
      </c>
      <c r="F166" t="s">
        <v>2164</v>
      </c>
      <c r="G166" s="8">
        <v>-1E-3</v>
      </c>
      <c r="H166" s="3">
        <f t="shared" si="2"/>
        <v>-9.7418412079885996E-4</v>
      </c>
    </row>
    <row r="167" spans="1:8" x14ac:dyDescent="0.3">
      <c r="A167" t="s">
        <v>2165</v>
      </c>
      <c r="B167">
        <v>20.65</v>
      </c>
      <c r="C167">
        <v>20.5</v>
      </c>
      <c r="D167">
        <v>20.69</v>
      </c>
      <c r="E167">
        <v>20.49</v>
      </c>
      <c r="F167" t="s">
        <v>2166</v>
      </c>
      <c r="G167" s="8">
        <v>6.7999999999999996E-3</v>
      </c>
      <c r="H167" s="3">
        <f t="shared" si="2"/>
        <v>6.8259385665527805E-3</v>
      </c>
    </row>
    <row r="168" spans="1:8" x14ac:dyDescent="0.3">
      <c r="A168" t="s">
        <v>2167</v>
      </c>
      <c r="B168">
        <v>20.74</v>
      </c>
      <c r="C168">
        <v>20.61</v>
      </c>
      <c r="D168">
        <v>20.78</v>
      </c>
      <c r="E168">
        <v>20.53</v>
      </c>
      <c r="F168" t="s">
        <v>2168</v>
      </c>
      <c r="G168" s="8">
        <v>4.4000000000000003E-3</v>
      </c>
      <c r="H168" s="3">
        <f t="shared" si="2"/>
        <v>4.3583535108959737E-3</v>
      </c>
    </row>
    <row r="169" spans="1:8" x14ac:dyDescent="0.3">
      <c r="A169" t="s">
        <v>2169</v>
      </c>
      <c r="B169">
        <v>21.24</v>
      </c>
      <c r="C169">
        <v>20.88</v>
      </c>
      <c r="D169">
        <v>21.37</v>
      </c>
      <c r="E169">
        <v>20.86</v>
      </c>
      <c r="F169" t="s">
        <v>96</v>
      </c>
      <c r="G169" s="8">
        <v>2.41E-2</v>
      </c>
      <c r="H169" s="3">
        <f t="shared" si="2"/>
        <v>2.4108003857280513E-2</v>
      </c>
    </row>
    <row r="170" spans="1:8" x14ac:dyDescent="0.3">
      <c r="A170" t="s">
        <v>2170</v>
      </c>
      <c r="B170">
        <v>21.4</v>
      </c>
      <c r="C170">
        <v>21</v>
      </c>
      <c r="D170">
        <v>21.4</v>
      </c>
      <c r="E170">
        <v>20.96</v>
      </c>
      <c r="F170" t="s">
        <v>2171</v>
      </c>
      <c r="G170" s="8">
        <v>7.4999999999999997E-3</v>
      </c>
      <c r="H170" s="3">
        <f t="shared" si="2"/>
        <v>7.532956685499137E-3</v>
      </c>
    </row>
    <row r="171" spans="1:8" x14ac:dyDescent="0.3">
      <c r="A171" t="s">
        <v>2172</v>
      </c>
      <c r="B171">
        <v>21.23</v>
      </c>
      <c r="C171">
        <v>21.3</v>
      </c>
      <c r="D171">
        <v>21.51</v>
      </c>
      <c r="E171">
        <v>21.23</v>
      </c>
      <c r="F171" t="s">
        <v>2173</v>
      </c>
      <c r="G171" s="8">
        <v>-7.9000000000000008E-3</v>
      </c>
      <c r="H171" s="3">
        <f t="shared" si="2"/>
        <v>-7.943925233644733E-3</v>
      </c>
    </row>
    <row r="172" spans="1:8" x14ac:dyDescent="0.3">
      <c r="A172" t="s">
        <v>2174</v>
      </c>
      <c r="B172">
        <v>21.47</v>
      </c>
      <c r="C172">
        <v>21.26</v>
      </c>
      <c r="D172">
        <v>21.47</v>
      </c>
      <c r="E172">
        <v>21.21</v>
      </c>
      <c r="F172" t="s">
        <v>1071</v>
      </c>
      <c r="G172" s="8">
        <v>1.1299999999999999E-2</v>
      </c>
      <c r="H172" s="3">
        <f t="shared" si="2"/>
        <v>1.1304757418747036E-2</v>
      </c>
    </row>
    <row r="173" spans="1:8" x14ac:dyDescent="0.3">
      <c r="A173" t="s">
        <v>2175</v>
      </c>
      <c r="B173">
        <v>21.36</v>
      </c>
      <c r="C173">
        <v>21.5</v>
      </c>
      <c r="D173">
        <v>21.56</v>
      </c>
      <c r="E173">
        <v>21.32</v>
      </c>
      <c r="F173" t="s">
        <v>2176</v>
      </c>
      <c r="G173" s="8">
        <v>-5.1000000000000004E-3</v>
      </c>
      <c r="H173" s="3">
        <f t="shared" si="2"/>
        <v>-5.1234280391243558E-3</v>
      </c>
    </row>
    <row r="174" spans="1:8" x14ac:dyDescent="0.3">
      <c r="A174" t="s">
        <v>2177</v>
      </c>
      <c r="B174">
        <v>21.14</v>
      </c>
      <c r="C174">
        <v>21.35</v>
      </c>
      <c r="D174">
        <v>21.41</v>
      </c>
      <c r="E174">
        <v>21.08</v>
      </c>
      <c r="F174" t="s">
        <v>2178</v>
      </c>
      <c r="G174" s="8">
        <v>-1.03E-2</v>
      </c>
      <c r="H174" s="3">
        <f t="shared" si="2"/>
        <v>-1.0299625468164764E-2</v>
      </c>
    </row>
    <row r="175" spans="1:8" x14ac:dyDescent="0.3">
      <c r="A175" t="s">
        <v>2179</v>
      </c>
      <c r="B175">
        <v>21.19</v>
      </c>
      <c r="C175">
        <v>21.12</v>
      </c>
      <c r="D175">
        <v>21.28</v>
      </c>
      <c r="E175">
        <v>21.09</v>
      </c>
      <c r="F175" t="s">
        <v>2180</v>
      </c>
      <c r="G175" s="8">
        <v>2.3999999999999998E-3</v>
      </c>
      <c r="H175" s="3">
        <f t="shared" si="2"/>
        <v>2.3651844843897152E-3</v>
      </c>
    </row>
    <row r="176" spans="1:8" x14ac:dyDescent="0.3">
      <c r="A176" t="s">
        <v>2181</v>
      </c>
      <c r="B176">
        <v>20.95</v>
      </c>
      <c r="C176">
        <v>21.16</v>
      </c>
      <c r="D176">
        <v>21.21</v>
      </c>
      <c r="E176">
        <v>20.91</v>
      </c>
      <c r="F176" t="s">
        <v>2182</v>
      </c>
      <c r="G176" s="8">
        <v>-1.1299999999999999E-2</v>
      </c>
      <c r="H176" s="3">
        <f t="shared" si="2"/>
        <v>-1.1326097215667907E-2</v>
      </c>
    </row>
    <row r="177" spans="1:8" x14ac:dyDescent="0.3">
      <c r="A177" t="s">
        <v>2183</v>
      </c>
      <c r="B177">
        <v>20.61</v>
      </c>
      <c r="C177">
        <v>20.89</v>
      </c>
      <c r="D177">
        <v>20.91</v>
      </c>
      <c r="E177">
        <v>20.59</v>
      </c>
      <c r="F177" t="s">
        <v>79</v>
      </c>
      <c r="G177" s="8">
        <v>-1.6199999999999999E-2</v>
      </c>
      <c r="H177" s="3">
        <f t="shared" si="2"/>
        <v>-1.6229116945107425E-2</v>
      </c>
    </row>
    <row r="178" spans="1:8" x14ac:dyDescent="0.3">
      <c r="A178" t="s">
        <v>2184</v>
      </c>
      <c r="B178">
        <v>20.64</v>
      </c>
      <c r="C178">
        <v>20.61</v>
      </c>
      <c r="D178">
        <v>20.72</v>
      </c>
      <c r="E178">
        <v>20.57</v>
      </c>
      <c r="F178" t="s">
        <v>2185</v>
      </c>
      <c r="G178" s="8">
        <v>1.5E-3</v>
      </c>
      <c r="H178" s="3">
        <f t="shared" si="2"/>
        <v>1.4556040756914523E-3</v>
      </c>
    </row>
    <row r="179" spans="1:8" x14ac:dyDescent="0.3">
      <c r="A179" t="s">
        <v>2186</v>
      </c>
      <c r="B179">
        <v>20.59</v>
      </c>
      <c r="C179">
        <v>20.6</v>
      </c>
      <c r="D179">
        <v>20.64</v>
      </c>
      <c r="E179">
        <v>20.51</v>
      </c>
      <c r="F179" t="s">
        <v>2187</v>
      </c>
      <c r="G179" s="8">
        <v>-2.3999999999999998E-3</v>
      </c>
      <c r="H179" s="3">
        <f t="shared" si="2"/>
        <v>-2.4224806201550431E-3</v>
      </c>
    </row>
    <row r="180" spans="1:8" x14ac:dyDescent="0.3">
      <c r="A180" t="s">
        <v>2188</v>
      </c>
      <c r="B180">
        <v>20.58</v>
      </c>
      <c r="C180">
        <v>20.5</v>
      </c>
      <c r="D180">
        <v>20.62</v>
      </c>
      <c r="E180">
        <v>20.32</v>
      </c>
      <c r="F180" t="s">
        <v>264</v>
      </c>
      <c r="G180" s="8">
        <v>-5.0000000000000001E-4</v>
      </c>
      <c r="H180" s="3">
        <f t="shared" si="2"/>
        <v>-4.8567265662946557E-4</v>
      </c>
    </row>
    <row r="181" spans="1:8" x14ac:dyDescent="0.3">
      <c r="A181" t="s">
        <v>2189</v>
      </c>
      <c r="B181">
        <v>20.440000000000001</v>
      </c>
      <c r="C181">
        <v>20.55</v>
      </c>
      <c r="D181">
        <v>20.65</v>
      </c>
      <c r="E181">
        <v>20.350000000000001</v>
      </c>
      <c r="F181" t="s">
        <v>281</v>
      </c>
      <c r="G181" s="8">
        <v>-6.7999999999999996E-3</v>
      </c>
      <c r="H181" s="3">
        <f t="shared" si="2"/>
        <v>-6.8027210884352707E-3</v>
      </c>
    </row>
    <row r="182" spans="1:8" x14ac:dyDescent="0.3">
      <c r="A182" t="s">
        <v>2190</v>
      </c>
      <c r="B182">
        <v>20.36</v>
      </c>
      <c r="C182">
        <v>20.3</v>
      </c>
      <c r="D182">
        <v>20.36</v>
      </c>
      <c r="E182">
        <v>20.04</v>
      </c>
      <c r="F182" t="s">
        <v>73</v>
      </c>
      <c r="G182" s="8">
        <v>-3.8999999999999998E-3</v>
      </c>
      <c r="H182" s="3">
        <f t="shared" si="2"/>
        <v>-3.9138943248533398E-3</v>
      </c>
    </row>
    <row r="183" spans="1:8" x14ac:dyDescent="0.3">
      <c r="A183" t="s">
        <v>2191</v>
      </c>
      <c r="B183">
        <v>20.41</v>
      </c>
      <c r="C183">
        <v>20.29</v>
      </c>
      <c r="D183">
        <v>20.46</v>
      </c>
      <c r="E183">
        <v>20.16</v>
      </c>
      <c r="F183" t="s">
        <v>279</v>
      </c>
      <c r="G183" s="8">
        <v>2.5000000000000001E-3</v>
      </c>
      <c r="H183" s="3">
        <f t="shared" si="2"/>
        <v>2.4557956777997436E-3</v>
      </c>
    </row>
    <row r="184" spans="1:8" x14ac:dyDescent="0.3">
      <c r="A184" t="s">
        <v>2192</v>
      </c>
      <c r="B184">
        <v>20.39</v>
      </c>
      <c r="C184">
        <v>20.36</v>
      </c>
      <c r="D184">
        <v>20.48</v>
      </c>
      <c r="E184">
        <v>20.329999999999998</v>
      </c>
      <c r="F184" t="s">
        <v>2193</v>
      </c>
      <c r="G184" s="8">
        <v>-1E-3</v>
      </c>
      <c r="H184" s="3">
        <f t="shared" si="2"/>
        <v>-9.7991180793721711E-4</v>
      </c>
    </row>
    <row r="185" spans="1:8" x14ac:dyDescent="0.3">
      <c r="A185" t="s">
        <v>2194</v>
      </c>
      <c r="B185">
        <v>20.5</v>
      </c>
      <c r="C185">
        <v>20.47</v>
      </c>
      <c r="D185">
        <v>20.51</v>
      </c>
      <c r="E185">
        <v>20.38</v>
      </c>
      <c r="F185" t="s">
        <v>2195</v>
      </c>
      <c r="G185" s="8">
        <v>5.4000000000000003E-3</v>
      </c>
      <c r="H185" s="3">
        <f t="shared" si="2"/>
        <v>5.3948013732221245E-3</v>
      </c>
    </row>
    <row r="186" spans="1:8" x14ac:dyDescent="0.3">
      <c r="A186" t="s">
        <v>2196</v>
      </c>
      <c r="B186">
        <v>20.49</v>
      </c>
      <c r="C186">
        <v>20.46</v>
      </c>
      <c r="D186">
        <v>20.5</v>
      </c>
      <c r="E186">
        <v>20.29</v>
      </c>
      <c r="F186" t="s">
        <v>2197</v>
      </c>
      <c r="G186" s="8">
        <v>-5.0000000000000001E-4</v>
      </c>
      <c r="H186" s="3">
        <f t="shared" si="2"/>
        <v>-4.8780487804889194E-4</v>
      </c>
    </row>
    <row r="187" spans="1:8" x14ac:dyDescent="0.3">
      <c r="A187" t="s">
        <v>2198</v>
      </c>
      <c r="B187">
        <v>20.64</v>
      </c>
      <c r="C187">
        <v>20.49</v>
      </c>
      <c r="D187">
        <v>20.7</v>
      </c>
      <c r="E187">
        <v>20.47</v>
      </c>
      <c r="F187" t="s">
        <v>2199</v>
      </c>
      <c r="G187" s="8">
        <v>7.3000000000000001E-3</v>
      </c>
      <c r="H187" s="3">
        <f t="shared" si="2"/>
        <v>7.3206442166910968E-3</v>
      </c>
    </row>
    <row r="188" spans="1:8" x14ac:dyDescent="0.3">
      <c r="A188" t="s">
        <v>2200</v>
      </c>
      <c r="B188">
        <v>20.77</v>
      </c>
      <c r="C188">
        <v>20.72</v>
      </c>
      <c r="D188">
        <v>20.87</v>
      </c>
      <c r="E188">
        <v>20.66</v>
      </c>
      <c r="F188" t="s">
        <v>2201</v>
      </c>
      <c r="G188" s="8">
        <v>6.3E-3</v>
      </c>
      <c r="H188" s="3">
        <f t="shared" si="2"/>
        <v>6.2984496124030009E-3</v>
      </c>
    </row>
    <row r="189" spans="1:8" x14ac:dyDescent="0.3">
      <c r="A189" t="s">
        <v>2202</v>
      </c>
      <c r="B189">
        <v>21.15</v>
      </c>
      <c r="C189">
        <v>20.91</v>
      </c>
      <c r="D189">
        <v>21.19</v>
      </c>
      <c r="E189">
        <v>20.83</v>
      </c>
      <c r="F189" t="s">
        <v>2203</v>
      </c>
      <c r="G189" s="8">
        <v>1.83E-2</v>
      </c>
      <c r="H189" s="3">
        <f t="shared" si="2"/>
        <v>1.829561868078966E-2</v>
      </c>
    </row>
    <row r="190" spans="1:8" x14ac:dyDescent="0.3">
      <c r="A190" t="s">
        <v>2204</v>
      </c>
      <c r="B190">
        <v>21.1</v>
      </c>
      <c r="C190">
        <v>21.21</v>
      </c>
      <c r="D190">
        <v>21.25</v>
      </c>
      <c r="E190">
        <v>21.04</v>
      </c>
      <c r="F190" t="s">
        <v>2205</v>
      </c>
      <c r="G190" s="8">
        <v>-2.3999999999999998E-3</v>
      </c>
      <c r="H190" s="3">
        <f t="shared" si="2"/>
        <v>-2.3640661938533203E-3</v>
      </c>
    </row>
    <row r="191" spans="1:8" x14ac:dyDescent="0.3">
      <c r="A191" t="s">
        <v>2206</v>
      </c>
      <c r="B191">
        <v>20.73</v>
      </c>
      <c r="C191">
        <v>20.56</v>
      </c>
      <c r="D191">
        <v>20.76</v>
      </c>
      <c r="E191">
        <v>20.52</v>
      </c>
      <c r="F191" t="s">
        <v>2207</v>
      </c>
      <c r="G191" s="8">
        <v>-1.7500000000000002E-2</v>
      </c>
      <c r="H191" s="3">
        <f t="shared" si="2"/>
        <v>-1.7535545023696697E-2</v>
      </c>
    </row>
    <row r="192" spans="1:8" x14ac:dyDescent="0.3">
      <c r="A192" t="s">
        <v>2208</v>
      </c>
      <c r="B192">
        <v>20.81</v>
      </c>
      <c r="C192">
        <v>20.7</v>
      </c>
      <c r="D192">
        <v>20.81</v>
      </c>
      <c r="E192">
        <v>20.57</v>
      </c>
      <c r="F192" t="s">
        <v>2209</v>
      </c>
      <c r="G192" s="8">
        <v>3.8999999999999998E-3</v>
      </c>
      <c r="H192" s="3">
        <f t="shared" si="2"/>
        <v>3.8591413410515862E-3</v>
      </c>
    </row>
    <row r="193" spans="1:8" x14ac:dyDescent="0.3">
      <c r="A193" t="s">
        <v>2210</v>
      </c>
      <c r="B193">
        <v>20.97</v>
      </c>
      <c r="C193">
        <v>20.75</v>
      </c>
      <c r="D193">
        <v>20.97</v>
      </c>
      <c r="E193">
        <v>20.66</v>
      </c>
      <c r="F193" t="s">
        <v>175</v>
      </c>
      <c r="G193" s="8">
        <v>7.7000000000000002E-3</v>
      </c>
      <c r="H193" s="3">
        <f t="shared" si="2"/>
        <v>7.6886112445939681E-3</v>
      </c>
    </row>
    <row r="194" spans="1:8" x14ac:dyDescent="0.3">
      <c r="A194" t="s">
        <v>2211</v>
      </c>
      <c r="B194">
        <v>21.13</v>
      </c>
      <c r="C194">
        <v>20.86</v>
      </c>
      <c r="D194">
        <v>21.14</v>
      </c>
      <c r="E194">
        <v>20.86</v>
      </c>
      <c r="F194" t="s">
        <v>1069</v>
      </c>
      <c r="G194" s="8">
        <v>7.6E-3</v>
      </c>
      <c r="H194" s="3">
        <f t="shared" si="2"/>
        <v>7.6299475441106157E-3</v>
      </c>
    </row>
    <row r="195" spans="1:8" x14ac:dyDescent="0.3">
      <c r="A195" t="s">
        <v>2212</v>
      </c>
      <c r="B195">
        <v>20.63</v>
      </c>
      <c r="C195">
        <v>21.1</v>
      </c>
      <c r="D195">
        <v>21.1</v>
      </c>
      <c r="E195">
        <v>20.55</v>
      </c>
      <c r="F195" t="s">
        <v>2213</v>
      </c>
      <c r="G195" s="8">
        <v>-2.3699999999999999E-2</v>
      </c>
      <c r="H195" s="3">
        <f t="shared" si="2"/>
        <v>-2.3663038334122088E-2</v>
      </c>
    </row>
    <row r="196" spans="1:8" x14ac:dyDescent="0.3">
      <c r="A196" t="s">
        <v>2214</v>
      </c>
      <c r="B196">
        <v>20.65</v>
      </c>
      <c r="C196">
        <v>20.58</v>
      </c>
      <c r="D196">
        <v>20.79</v>
      </c>
      <c r="E196">
        <v>20.5</v>
      </c>
      <c r="F196" t="s">
        <v>2215</v>
      </c>
      <c r="G196" s="8">
        <v>1E-3</v>
      </c>
      <c r="H196" s="3">
        <f t="shared" ref="H196:H249" si="3">(B196/B195)-1</f>
        <v>9.6946194861846635E-4</v>
      </c>
    </row>
    <row r="197" spans="1:8" x14ac:dyDescent="0.3">
      <c r="A197" t="s">
        <v>2216</v>
      </c>
      <c r="B197">
        <v>20.62</v>
      </c>
      <c r="C197">
        <v>20.66</v>
      </c>
      <c r="D197">
        <v>20.83</v>
      </c>
      <c r="E197">
        <v>20.56</v>
      </c>
      <c r="F197" t="s">
        <v>2217</v>
      </c>
      <c r="G197" s="8">
        <v>-1.5E-3</v>
      </c>
      <c r="H197" s="3">
        <f t="shared" si="3"/>
        <v>-1.4527845036318432E-3</v>
      </c>
    </row>
    <row r="198" spans="1:8" x14ac:dyDescent="0.3">
      <c r="A198" t="s">
        <v>2218</v>
      </c>
      <c r="B198">
        <v>20.8</v>
      </c>
      <c r="C198">
        <v>20.6</v>
      </c>
      <c r="D198">
        <v>20.8</v>
      </c>
      <c r="E198">
        <v>20.41</v>
      </c>
      <c r="F198" t="s">
        <v>2219</v>
      </c>
      <c r="G198" s="8">
        <v>8.6999999999999994E-3</v>
      </c>
      <c r="H198" s="3">
        <f t="shared" si="3"/>
        <v>8.7293889427739746E-3</v>
      </c>
    </row>
    <row r="199" spans="1:8" x14ac:dyDescent="0.3">
      <c r="A199" t="s">
        <v>2220</v>
      </c>
      <c r="B199">
        <v>21.03</v>
      </c>
      <c r="C199">
        <v>20.8</v>
      </c>
      <c r="D199">
        <v>21.03</v>
      </c>
      <c r="E199">
        <v>20.76</v>
      </c>
      <c r="F199" t="s">
        <v>281</v>
      </c>
      <c r="G199" s="8">
        <v>1.11E-2</v>
      </c>
      <c r="H199" s="3">
        <f t="shared" si="3"/>
        <v>1.1057692307692379E-2</v>
      </c>
    </row>
    <row r="200" spans="1:8" x14ac:dyDescent="0.3">
      <c r="A200" t="s">
        <v>2221</v>
      </c>
      <c r="B200">
        <v>21.09</v>
      </c>
      <c r="C200">
        <v>21.05</v>
      </c>
      <c r="D200">
        <v>21.23</v>
      </c>
      <c r="E200">
        <v>21.03</v>
      </c>
      <c r="F200" t="s">
        <v>130</v>
      </c>
      <c r="G200" s="8">
        <v>2.8999999999999998E-3</v>
      </c>
      <c r="H200" s="3">
        <f t="shared" si="3"/>
        <v>2.8530670470754416E-3</v>
      </c>
    </row>
    <row r="201" spans="1:8" x14ac:dyDescent="0.3">
      <c r="A201" t="s">
        <v>2222</v>
      </c>
      <c r="B201">
        <v>21.12</v>
      </c>
      <c r="C201">
        <v>21.1</v>
      </c>
      <c r="D201">
        <v>21.19</v>
      </c>
      <c r="E201">
        <v>21</v>
      </c>
      <c r="F201" t="s">
        <v>2223</v>
      </c>
      <c r="G201" s="8">
        <v>1.4E-3</v>
      </c>
      <c r="H201" s="3">
        <f t="shared" si="3"/>
        <v>1.4224751066855834E-3</v>
      </c>
    </row>
    <row r="202" spans="1:8" x14ac:dyDescent="0.3">
      <c r="A202" t="s">
        <v>2224</v>
      </c>
      <c r="B202">
        <v>21.23</v>
      </c>
      <c r="C202">
        <v>21.08</v>
      </c>
      <c r="D202">
        <v>21.27</v>
      </c>
      <c r="E202">
        <v>20.92</v>
      </c>
      <c r="F202" t="s">
        <v>2225</v>
      </c>
      <c r="G202" s="8">
        <v>5.1999999999999998E-3</v>
      </c>
      <c r="H202" s="3">
        <f t="shared" si="3"/>
        <v>5.2083333333332593E-3</v>
      </c>
    </row>
    <row r="203" spans="1:8" x14ac:dyDescent="0.3">
      <c r="A203" t="s">
        <v>2226</v>
      </c>
      <c r="B203">
        <v>21.04</v>
      </c>
      <c r="C203">
        <v>21.22</v>
      </c>
      <c r="D203">
        <v>21.24</v>
      </c>
      <c r="E203">
        <v>20.98</v>
      </c>
      <c r="F203" t="s">
        <v>2227</v>
      </c>
      <c r="G203" s="8">
        <v>-8.8999999999999999E-3</v>
      </c>
      <c r="H203" s="3">
        <f t="shared" si="3"/>
        <v>-8.9495996231747643E-3</v>
      </c>
    </row>
    <row r="204" spans="1:8" x14ac:dyDescent="0.3">
      <c r="A204" t="s">
        <v>2228</v>
      </c>
      <c r="B204">
        <v>21.12</v>
      </c>
      <c r="C204">
        <v>21.09</v>
      </c>
      <c r="D204">
        <v>21.2</v>
      </c>
      <c r="E204">
        <v>21</v>
      </c>
      <c r="F204" t="s">
        <v>2229</v>
      </c>
      <c r="G204" s="8">
        <v>3.8E-3</v>
      </c>
      <c r="H204" s="3">
        <f t="shared" si="3"/>
        <v>3.8022813688214363E-3</v>
      </c>
    </row>
    <row r="205" spans="1:8" x14ac:dyDescent="0.3">
      <c r="A205" t="s">
        <v>2230</v>
      </c>
      <c r="B205">
        <v>20.93</v>
      </c>
      <c r="C205">
        <v>21.12</v>
      </c>
      <c r="D205">
        <v>21.18</v>
      </c>
      <c r="E205">
        <v>20.74</v>
      </c>
      <c r="F205" t="s">
        <v>2231</v>
      </c>
      <c r="G205" s="8">
        <v>-8.9999999999999993E-3</v>
      </c>
      <c r="H205" s="3">
        <f t="shared" si="3"/>
        <v>-8.9962121212121549E-3</v>
      </c>
    </row>
    <row r="206" spans="1:8" x14ac:dyDescent="0.3">
      <c r="A206" t="s">
        <v>2232</v>
      </c>
      <c r="B206">
        <v>20.94</v>
      </c>
      <c r="C206">
        <v>20.93</v>
      </c>
      <c r="D206">
        <v>21.41</v>
      </c>
      <c r="E206">
        <v>20.93</v>
      </c>
      <c r="F206" t="s">
        <v>177</v>
      </c>
      <c r="G206" s="8">
        <v>5.0000000000000001E-4</v>
      </c>
      <c r="H206" s="3">
        <f t="shared" si="3"/>
        <v>4.777830864788335E-4</v>
      </c>
    </row>
    <row r="207" spans="1:8" x14ac:dyDescent="0.3">
      <c r="A207" t="s">
        <v>2233</v>
      </c>
      <c r="B207">
        <v>21.25</v>
      </c>
      <c r="C207">
        <v>20.92</v>
      </c>
      <c r="D207">
        <v>21.28</v>
      </c>
      <c r="E207">
        <v>20.85</v>
      </c>
      <c r="F207" t="s">
        <v>2234</v>
      </c>
      <c r="G207" s="8">
        <v>1.4800000000000001E-2</v>
      </c>
      <c r="H207" s="3">
        <f t="shared" si="3"/>
        <v>1.4804202483285511E-2</v>
      </c>
    </row>
    <row r="208" spans="1:8" x14ac:dyDescent="0.3">
      <c r="A208" t="s">
        <v>2235</v>
      </c>
      <c r="B208">
        <v>21.21</v>
      </c>
      <c r="C208">
        <v>21.25</v>
      </c>
      <c r="D208">
        <v>21.25</v>
      </c>
      <c r="E208">
        <v>20.98</v>
      </c>
      <c r="F208" t="s">
        <v>2236</v>
      </c>
      <c r="G208" s="8">
        <v>-1.9E-3</v>
      </c>
      <c r="H208" s="3">
        <f t="shared" si="3"/>
        <v>-1.8823529411764461E-3</v>
      </c>
    </row>
    <row r="209" spans="1:8" x14ac:dyDescent="0.3">
      <c r="A209" t="s">
        <v>2237</v>
      </c>
      <c r="B209">
        <v>21.42</v>
      </c>
      <c r="C209">
        <v>21.25</v>
      </c>
      <c r="D209">
        <v>21.44</v>
      </c>
      <c r="E209">
        <v>21.2</v>
      </c>
      <c r="F209" t="s">
        <v>2238</v>
      </c>
      <c r="G209" s="8">
        <v>9.9000000000000008E-3</v>
      </c>
      <c r="H209" s="3">
        <f t="shared" si="3"/>
        <v>9.9009900990099098E-3</v>
      </c>
    </row>
    <row r="210" spans="1:8" x14ac:dyDescent="0.3">
      <c r="A210" t="s">
        <v>2239</v>
      </c>
      <c r="B210">
        <v>21.37</v>
      </c>
      <c r="C210">
        <v>21.45</v>
      </c>
      <c r="D210">
        <v>21.57</v>
      </c>
      <c r="E210">
        <v>21.36</v>
      </c>
      <c r="F210" t="s">
        <v>1071</v>
      </c>
      <c r="G210" s="8">
        <v>-2.3E-3</v>
      </c>
      <c r="H210" s="3">
        <f t="shared" si="3"/>
        <v>-2.3342670401493848E-3</v>
      </c>
    </row>
    <row r="211" spans="1:8" x14ac:dyDescent="0.3">
      <c r="A211" t="s">
        <v>2240</v>
      </c>
      <c r="B211">
        <v>21.55</v>
      </c>
      <c r="C211">
        <v>21.26</v>
      </c>
      <c r="D211">
        <v>21.72</v>
      </c>
      <c r="E211">
        <v>21.25</v>
      </c>
      <c r="F211" t="s">
        <v>78</v>
      </c>
      <c r="G211" s="8">
        <v>8.3999999999999995E-3</v>
      </c>
      <c r="H211" s="3">
        <f t="shared" si="3"/>
        <v>8.4230229293402736E-3</v>
      </c>
    </row>
    <row r="212" spans="1:8" x14ac:dyDescent="0.3">
      <c r="A212" t="s">
        <v>2241</v>
      </c>
      <c r="B212">
        <v>21.79</v>
      </c>
      <c r="C212">
        <v>21.5</v>
      </c>
      <c r="D212">
        <v>21.9</v>
      </c>
      <c r="E212">
        <v>21.42</v>
      </c>
      <c r="F212" t="s">
        <v>89</v>
      </c>
      <c r="G212" s="8">
        <v>1.11E-2</v>
      </c>
      <c r="H212" s="3">
        <f t="shared" si="3"/>
        <v>1.1136890951276124E-2</v>
      </c>
    </row>
    <row r="213" spans="1:8" x14ac:dyDescent="0.3">
      <c r="A213" t="s">
        <v>2242</v>
      </c>
      <c r="B213">
        <v>22.01</v>
      </c>
      <c r="C213">
        <v>21.8</v>
      </c>
      <c r="D213">
        <v>22.01</v>
      </c>
      <c r="E213">
        <v>21.74</v>
      </c>
      <c r="F213" t="s">
        <v>2243</v>
      </c>
      <c r="G213" s="8">
        <v>1.01E-2</v>
      </c>
      <c r="H213" s="3">
        <f t="shared" si="3"/>
        <v>1.0096374483708148E-2</v>
      </c>
    </row>
    <row r="214" spans="1:8" x14ac:dyDescent="0.3">
      <c r="A214" t="s">
        <v>2244</v>
      </c>
      <c r="B214">
        <v>21.64</v>
      </c>
      <c r="C214">
        <v>21.94</v>
      </c>
      <c r="D214">
        <v>22.11</v>
      </c>
      <c r="E214">
        <v>21.64</v>
      </c>
      <c r="F214" t="s">
        <v>282</v>
      </c>
      <c r="G214" s="8">
        <v>-1.6799999999999999E-2</v>
      </c>
      <c r="H214" s="3">
        <f t="shared" si="3"/>
        <v>-1.6810540663334872E-2</v>
      </c>
    </row>
    <row r="215" spans="1:8" x14ac:dyDescent="0.3">
      <c r="A215" t="s">
        <v>2245</v>
      </c>
      <c r="B215">
        <v>21.62</v>
      </c>
      <c r="C215">
        <v>21.64</v>
      </c>
      <c r="D215">
        <v>21.92</v>
      </c>
      <c r="E215">
        <v>21.62</v>
      </c>
      <c r="F215" t="s">
        <v>2246</v>
      </c>
      <c r="G215" s="8">
        <v>-8.9999999999999998E-4</v>
      </c>
      <c r="H215" s="3">
        <f t="shared" si="3"/>
        <v>-9.2421441774492852E-4</v>
      </c>
    </row>
    <row r="216" spans="1:8" x14ac:dyDescent="0.3">
      <c r="A216" t="s">
        <v>2247</v>
      </c>
      <c r="B216">
        <v>21.85</v>
      </c>
      <c r="C216">
        <v>21.62</v>
      </c>
      <c r="D216">
        <v>21.85</v>
      </c>
      <c r="E216">
        <v>21.6</v>
      </c>
      <c r="F216" t="s">
        <v>2248</v>
      </c>
      <c r="G216" s="8">
        <v>1.06E-2</v>
      </c>
      <c r="H216" s="3">
        <f t="shared" si="3"/>
        <v>1.0638297872340496E-2</v>
      </c>
    </row>
    <row r="217" spans="1:8" x14ac:dyDescent="0.3">
      <c r="A217" t="s">
        <v>2249</v>
      </c>
      <c r="B217">
        <v>21.55</v>
      </c>
      <c r="C217">
        <v>21.88</v>
      </c>
      <c r="D217">
        <v>21.88</v>
      </c>
      <c r="E217">
        <v>21.46</v>
      </c>
      <c r="F217" t="s">
        <v>2250</v>
      </c>
      <c r="G217" s="8">
        <v>-1.37E-2</v>
      </c>
      <c r="H217" s="3">
        <f t="shared" si="3"/>
        <v>-1.3729977116704872E-2</v>
      </c>
    </row>
    <row r="218" spans="1:8" x14ac:dyDescent="0.3">
      <c r="A218" t="s">
        <v>2251</v>
      </c>
      <c r="B218">
        <v>21.63</v>
      </c>
      <c r="C218">
        <v>21.59</v>
      </c>
      <c r="D218">
        <v>21.81</v>
      </c>
      <c r="E218">
        <v>21.42</v>
      </c>
      <c r="F218" t="s">
        <v>268</v>
      </c>
      <c r="G218" s="8">
        <v>3.7000000000000002E-3</v>
      </c>
      <c r="H218" s="3">
        <f t="shared" si="3"/>
        <v>3.7122969837586339E-3</v>
      </c>
    </row>
    <row r="219" spans="1:8" x14ac:dyDescent="0.3">
      <c r="A219" t="s">
        <v>2252</v>
      </c>
      <c r="B219">
        <v>21.8</v>
      </c>
      <c r="C219">
        <v>21.63</v>
      </c>
      <c r="D219">
        <v>21.92</v>
      </c>
      <c r="E219">
        <v>21.42</v>
      </c>
      <c r="F219" t="s">
        <v>2253</v>
      </c>
      <c r="G219" s="8">
        <v>7.9000000000000008E-3</v>
      </c>
      <c r="H219" s="3">
        <f t="shared" si="3"/>
        <v>7.8594544613963535E-3</v>
      </c>
    </row>
    <row r="220" spans="1:8" x14ac:dyDescent="0.3">
      <c r="A220" t="s">
        <v>2254</v>
      </c>
      <c r="B220">
        <v>21.56</v>
      </c>
      <c r="C220">
        <v>21.76</v>
      </c>
      <c r="D220">
        <v>21.76</v>
      </c>
      <c r="E220">
        <v>21.47</v>
      </c>
      <c r="F220" t="s">
        <v>2255</v>
      </c>
      <c r="G220" s="8">
        <v>-1.0999999999999999E-2</v>
      </c>
      <c r="H220" s="3">
        <f t="shared" si="3"/>
        <v>-1.1009174311926717E-2</v>
      </c>
    </row>
    <row r="221" spans="1:8" x14ac:dyDescent="0.3">
      <c r="A221" t="s">
        <v>2256</v>
      </c>
      <c r="B221">
        <v>21.47</v>
      </c>
      <c r="C221">
        <v>21.51</v>
      </c>
      <c r="D221">
        <v>21.67</v>
      </c>
      <c r="E221">
        <v>21.45</v>
      </c>
      <c r="F221" t="s">
        <v>2257</v>
      </c>
      <c r="G221" s="8">
        <v>-4.1999999999999997E-3</v>
      </c>
      <c r="H221" s="3">
        <f t="shared" si="3"/>
        <v>-4.1743970315398782E-3</v>
      </c>
    </row>
    <row r="222" spans="1:8" x14ac:dyDescent="0.3">
      <c r="A222" t="s">
        <v>2258</v>
      </c>
      <c r="B222">
        <v>21.39</v>
      </c>
      <c r="C222">
        <v>21.52</v>
      </c>
      <c r="D222">
        <v>21.56</v>
      </c>
      <c r="E222">
        <v>21.31</v>
      </c>
      <c r="F222" t="s">
        <v>2259</v>
      </c>
      <c r="G222" s="8">
        <v>-3.7000000000000002E-3</v>
      </c>
      <c r="H222" s="3">
        <f t="shared" si="3"/>
        <v>-3.7261294829994407E-3</v>
      </c>
    </row>
    <row r="223" spans="1:8" x14ac:dyDescent="0.3">
      <c r="A223" t="s">
        <v>2260</v>
      </c>
      <c r="B223">
        <v>21.52</v>
      </c>
      <c r="C223">
        <v>21.32</v>
      </c>
      <c r="D223">
        <v>21.66</v>
      </c>
      <c r="E223">
        <v>21.32</v>
      </c>
      <c r="F223" t="s">
        <v>2261</v>
      </c>
      <c r="G223" s="8">
        <v>6.1000000000000004E-3</v>
      </c>
      <c r="H223" s="3">
        <f t="shared" si="3"/>
        <v>6.077606358111165E-3</v>
      </c>
    </row>
    <row r="224" spans="1:8" x14ac:dyDescent="0.3">
      <c r="A224" t="s">
        <v>2262</v>
      </c>
      <c r="B224">
        <v>21.51</v>
      </c>
      <c r="C224">
        <v>21.63</v>
      </c>
      <c r="D224">
        <v>21.63</v>
      </c>
      <c r="E224">
        <v>21.35</v>
      </c>
      <c r="F224" t="s">
        <v>172</v>
      </c>
      <c r="G224" s="8">
        <v>-5.0000000000000001E-4</v>
      </c>
      <c r="H224" s="3">
        <f t="shared" si="3"/>
        <v>-4.6468401486976507E-4</v>
      </c>
    </row>
    <row r="225" spans="1:8" x14ac:dyDescent="0.3">
      <c r="A225" t="s">
        <v>2263</v>
      </c>
      <c r="B225">
        <v>21.45</v>
      </c>
      <c r="C225">
        <v>21.47</v>
      </c>
      <c r="D225">
        <v>21.52</v>
      </c>
      <c r="E225">
        <v>21.24</v>
      </c>
      <c r="F225" t="s">
        <v>2264</v>
      </c>
      <c r="G225" s="8">
        <v>-2.8E-3</v>
      </c>
      <c r="H225" s="3">
        <f t="shared" si="3"/>
        <v>-2.7894002789401462E-3</v>
      </c>
    </row>
    <row r="226" spans="1:8" x14ac:dyDescent="0.3">
      <c r="A226" t="s">
        <v>2265</v>
      </c>
      <c r="B226">
        <v>21.65</v>
      </c>
      <c r="C226">
        <v>21.58</v>
      </c>
      <c r="D226">
        <v>21.68</v>
      </c>
      <c r="E226">
        <v>21.52</v>
      </c>
      <c r="F226" t="s">
        <v>2266</v>
      </c>
      <c r="G226" s="8">
        <v>9.2999999999999992E-3</v>
      </c>
      <c r="H226" s="3">
        <f t="shared" si="3"/>
        <v>9.3240093240092303E-3</v>
      </c>
    </row>
    <row r="227" spans="1:8" x14ac:dyDescent="0.3">
      <c r="A227" t="s">
        <v>2267</v>
      </c>
      <c r="B227">
        <v>21.89</v>
      </c>
      <c r="C227">
        <v>21.65</v>
      </c>
      <c r="D227">
        <v>21.99</v>
      </c>
      <c r="E227">
        <v>21.58</v>
      </c>
      <c r="F227" t="s">
        <v>59</v>
      </c>
      <c r="G227" s="8">
        <v>1.11E-2</v>
      </c>
      <c r="H227" s="3">
        <f t="shared" si="3"/>
        <v>1.1085450346420389E-2</v>
      </c>
    </row>
    <row r="228" spans="1:8" x14ac:dyDescent="0.3">
      <c r="A228" t="s">
        <v>2268</v>
      </c>
      <c r="B228">
        <v>22.07</v>
      </c>
      <c r="C228">
        <v>21.85</v>
      </c>
      <c r="D228">
        <v>22.08</v>
      </c>
      <c r="E228">
        <v>21.77</v>
      </c>
      <c r="F228" t="s">
        <v>2269</v>
      </c>
      <c r="G228" s="8">
        <v>8.2000000000000007E-3</v>
      </c>
      <c r="H228" s="3">
        <f t="shared" si="3"/>
        <v>8.2229328460483586E-3</v>
      </c>
    </row>
    <row r="229" spans="1:8" x14ac:dyDescent="0.3">
      <c r="A229" t="s">
        <v>2270</v>
      </c>
      <c r="B229">
        <v>21.5</v>
      </c>
      <c r="C229">
        <v>22</v>
      </c>
      <c r="D229">
        <v>22.01</v>
      </c>
      <c r="E229">
        <v>21.4</v>
      </c>
      <c r="F229" t="s">
        <v>77</v>
      </c>
      <c r="G229" s="8">
        <v>-2.58E-2</v>
      </c>
      <c r="H229" s="3">
        <f t="shared" si="3"/>
        <v>-2.5826914363389242E-2</v>
      </c>
    </row>
    <row r="230" spans="1:8" x14ac:dyDescent="0.3">
      <c r="A230" t="s">
        <v>2271</v>
      </c>
      <c r="B230">
        <v>21.43</v>
      </c>
      <c r="C230">
        <v>21.5</v>
      </c>
      <c r="D230">
        <v>21.67</v>
      </c>
      <c r="E230">
        <v>21.27</v>
      </c>
      <c r="F230" t="s">
        <v>179</v>
      </c>
      <c r="G230" s="8">
        <v>-3.3E-3</v>
      </c>
      <c r="H230" s="3">
        <f t="shared" si="3"/>
        <v>-3.2558139534883956E-3</v>
      </c>
    </row>
    <row r="231" spans="1:8" x14ac:dyDescent="0.3">
      <c r="A231" t="s">
        <v>2272</v>
      </c>
      <c r="B231">
        <v>21.29</v>
      </c>
      <c r="C231">
        <v>21.49</v>
      </c>
      <c r="D231">
        <v>21.53</v>
      </c>
      <c r="E231">
        <v>21.07</v>
      </c>
      <c r="F231" t="s">
        <v>118</v>
      </c>
      <c r="G231" s="8">
        <v>-6.4999999999999997E-3</v>
      </c>
      <c r="H231" s="3">
        <f t="shared" si="3"/>
        <v>-6.5328978068128762E-3</v>
      </c>
    </row>
    <row r="232" spans="1:8" x14ac:dyDescent="0.3">
      <c r="A232" t="s">
        <v>2273</v>
      </c>
      <c r="B232">
        <v>21.39</v>
      </c>
      <c r="C232">
        <v>21.29</v>
      </c>
      <c r="D232">
        <v>21.73</v>
      </c>
      <c r="E232">
        <v>21.29</v>
      </c>
      <c r="F232" t="s">
        <v>116</v>
      </c>
      <c r="G232" s="8">
        <v>4.7000000000000002E-3</v>
      </c>
      <c r="H232" s="3">
        <f t="shared" si="3"/>
        <v>4.6970408642554862E-3</v>
      </c>
    </row>
    <row r="233" spans="1:8" x14ac:dyDescent="0.3">
      <c r="A233" t="s">
        <v>2274</v>
      </c>
      <c r="B233">
        <v>21.25</v>
      </c>
      <c r="C233">
        <v>21.2</v>
      </c>
      <c r="D233">
        <v>21.4</v>
      </c>
      <c r="E233">
        <v>20.94</v>
      </c>
      <c r="F233" t="s">
        <v>149</v>
      </c>
      <c r="G233" s="8">
        <v>-6.4999999999999997E-3</v>
      </c>
      <c r="H233" s="3">
        <f t="shared" si="3"/>
        <v>-6.5451145395044596E-3</v>
      </c>
    </row>
    <row r="234" spans="1:8" x14ac:dyDescent="0.3">
      <c r="A234" t="s">
        <v>2275</v>
      </c>
      <c r="B234">
        <v>20.96</v>
      </c>
      <c r="C234">
        <v>21.14</v>
      </c>
      <c r="D234">
        <v>21.14</v>
      </c>
      <c r="E234">
        <v>20.76</v>
      </c>
      <c r="F234" t="s">
        <v>72</v>
      </c>
      <c r="G234" s="8">
        <v>-1.3599999999999999E-2</v>
      </c>
      <c r="H234" s="3">
        <f t="shared" si="3"/>
        <v>-1.3647058823529346E-2</v>
      </c>
    </row>
    <row r="235" spans="1:8" x14ac:dyDescent="0.3">
      <c r="A235" t="s">
        <v>2276</v>
      </c>
      <c r="B235">
        <v>21.4</v>
      </c>
      <c r="C235">
        <v>21.05</v>
      </c>
      <c r="D235">
        <v>21.4</v>
      </c>
      <c r="E235">
        <v>20.93</v>
      </c>
      <c r="F235" t="s">
        <v>2277</v>
      </c>
      <c r="G235" s="8">
        <v>2.1000000000000001E-2</v>
      </c>
      <c r="H235" s="3">
        <f t="shared" si="3"/>
        <v>2.0992366412213581E-2</v>
      </c>
    </row>
    <row r="236" spans="1:8" x14ac:dyDescent="0.3">
      <c r="A236" t="s">
        <v>2278</v>
      </c>
      <c r="B236">
        <v>21.6</v>
      </c>
      <c r="C236">
        <v>21.41</v>
      </c>
      <c r="D236">
        <v>21.74</v>
      </c>
      <c r="E236">
        <v>21.39</v>
      </c>
      <c r="F236" t="s">
        <v>89</v>
      </c>
      <c r="G236" s="8">
        <v>9.2999999999999992E-3</v>
      </c>
      <c r="H236" s="3">
        <f t="shared" si="3"/>
        <v>9.3457943925234765E-3</v>
      </c>
    </row>
    <row r="237" spans="1:8" x14ac:dyDescent="0.3">
      <c r="A237" t="s">
        <v>2279</v>
      </c>
      <c r="B237">
        <v>21.93</v>
      </c>
      <c r="C237">
        <v>21.69</v>
      </c>
      <c r="D237">
        <v>21.99</v>
      </c>
      <c r="E237">
        <v>21.69</v>
      </c>
      <c r="F237" t="s">
        <v>327</v>
      </c>
      <c r="G237" s="8">
        <v>1.5299999999999999E-2</v>
      </c>
      <c r="H237" s="3">
        <f t="shared" si="3"/>
        <v>1.5277777777777724E-2</v>
      </c>
    </row>
    <row r="238" spans="1:8" x14ac:dyDescent="0.3">
      <c r="A238" t="s">
        <v>2280</v>
      </c>
      <c r="B238">
        <v>21.81</v>
      </c>
      <c r="C238">
        <v>21.78</v>
      </c>
      <c r="D238">
        <v>21.9</v>
      </c>
      <c r="E238">
        <v>21.58</v>
      </c>
      <c r="F238" t="s">
        <v>2281</v>
      </c>
      <c r="G238" s="8">
        <v>-5.4999999999999997E-3</v>
      </c>
      <c r="H238" s="3">
        <f t="shared" si="3"/>
        <v>-5.4719562243502606E-3</v>
      </c>
    </row>
    <row r="239" spans="1:8" x14ac:dyDescent="0.3">
      <c r="A239" t="s">
        <v>2282</v>
      </c>
      <c r="B239">
        <v>22.04</v>
      </c>
      <c r="C239">
        <v>21.79</v>
      </c>
      <c r="D239">
        <v>22.09</v>
      </c>
      <c r="E239">
        <v>21.73</v>
      </c>
      <c r="F239" t="s">
        <v>1071</v>
      </c>
      <c r="G239" s="8">
        <v>1.0500000000000001E-2</v>
      </c>
      <c r="H239" s="3">
        <f t="shared" si="3"/>
        <v>1.0545621274644645E-2</v>
      </c>
    </row>
    <row r="240" spans="1:8" x14ac:dyDescent="0.3">
      <c r="A240" t="s">
        <v>2283</v>
      </c>
      <c r="B240">
        <v>21.97</v>
      </c>
      <c r="C240">
        <v>21.99</v>
      </c>
      <c r="D240">
        <v>22.03</v>
      </c>
      <c r="E240">
        <v>21.83</v>
      </c>
      <c r="F240" t="s">
        <v>2284</v>
      </c>
      <c r="G240" s="8">
        <v>-3.2000000000000002E-3</v>
      </c>
      <c r="H240" s="3">
        <f t="shared" si="3"/>
        <v>-3.1760435571688284E-3</v>
      </c>
    </row>
    <row r="241" spans="1:9" x14ac:dyDescent="0.3">
      <c r="A241" t="s">
        <v>2285</v>
      </c>
      <c r="B241">
        <v>22.18</v>
      </c>
      <c r="C241">
        <v>22.01</v>
      </c>
      <c r="D241">
        <v>22.24</v>
      </c>
      <c r="E241">
        <v>21.97</v>
      </c>
      <c r="F241" t="s">
        <v>2286</v>
      </c>
      <c r="G241" s="8">
        <v>9.5999999999999992E-3</v>
      </c>
      <c r="H241" s="3">
        <f t="shared" si="3"/>
        <v>9.5584888484296915E-3</v>
      </c>
    </row>
    <row r="242" spans="1:9" x14ac:dyDescent="0.3">
      <c r="A242" t="s">
        <v>2287</v>
      </c>
      <c r="B242">
        <v>22.46</v>
      </c>
      <c r="C242">
        <v>22.45</v>
      </c>
      <c r="D242">
        <v>22.55</v>
      </c>
      <c r="E242">
        <v>22.11</v>
      </c>
      <c r="F242" t="s">
        <v>131</v>
      </c>
      <c r="G242" s="8">
        <v>1.26E-2</v>
      </c>
      <c r="H242" s="3">
        <f t="shared" si="3"/>
        <v>1.2623985572588037E-2</v>
      </c>
    </row>
    <row r="243" spans="1:9" x14ac:dyDescent="0.3">
      <c r="A243" t="s">
        <v>2288</v>
      </c>
      <c r="B243">
        <v>22.78</v>
      </c>
      <c r="C243">
        <v>22.54</v>
      </c>
      <c r="D243">
        <v>22.8</v>
      </c>
      <c r="E243">
        <v>22.52</v>
      </c>
      <c r="F243" t="s">
        <v>2289</v>
      </c>
      <c r="G243" s="8">
        <v>1.4200000000000001E-2</v>
      </c>
      <c r="H243" s="3">
        <f t="shared" si="3"/>
        <v>1.4247551202137165E-2</v>
      </c>
    </row>
    <row r="244" spans="1:9" x14ac:dyDescent="0.3">
      <c r="A244" t="s">
        <v>2290</v>
      </c>
      <c r="B244">
        <v>22.94</v>
      </c>
      <c r="C244">
        <v>22.8</v>
      </c>
      <c r="D244">
        <v>22.94</v>
      </c>
      <c r="E244">
        <v>22.41</v>
      </c>
      <c r="F244" t="s">
        <v>255</v>
      </c>
      <c r="G244" s="8">
        <v>7.0000000000000001E-3</v>
      </c>
      <c r="H244" s="3">
        <f t="shared" si="3"/>
        <v>7.0237050043897575E-3</v>
      </c>
    </row>
    <row r="245" spans="1:9" x14ac:dyDescent="0.3">
      <c r="A245" t="s">
        <v>2291</v>
      </c>
      <c r="B245">
        <v>23.48</v>
      </c>
      <c r="C245">
        <v>22.92</v>
      </c>
      <c r="D245">
        <v>23.48</v>
      </c>
      <c r="E245">
        <v>22.91</v>
      </c>
      <c r="F245" t="s">
        <v>2292</v>
      </c>
      <c r="G245" s="8">
        <v>2.35E-2</v>
      </c>
      <c r="H245" s="3">
        <f t="shared" si="3"/>
        <v>2.3539668700959027E-2</v>
      </c>
    </row>
    <row r="246" spans="1:9" x14ac:dyDescent="0.3">
      <c r="A246" t="s">
        <v>2293</v>
      </c>
      <c r="B246">
        <v>23.3</v>
      </c>
      <c r="C246">
        <v>23.4</v>
      </c>
      <c r="D246">
        <v>23.55</v>
      </c>
      <c r="E246">
        <v>23.23</v>
      </c>
      <c r="F246" t="s">
        <v>2294</v>
      </c>
      <c r="G246" s="8">
        <v>-7.7000000000000002E-3</v>
      </c>
      <c r="H246" s="3">
        <f t="shared" si="3"/>
        <v>-7.6660988074956915E-3</v>
      </c>
    </row>
    <row r="247" spans="1:9" x14ac:dyDescent="0.3">
      <c r="A247" t="s">
        <v>2295</v>
      </c>
      <c r="B247">
        <v>23.49</v>
      </c>
      <c r="C247">
        <v>23.35</v>
      </c>
      <c r="D247">
        <v>23.59</v>
      </c>
      <c r="E247">
        <v>23.35</v>
      </c>
      <c r="F247" t="s">
        <v>773</v>
      </c>
      <c r="G247" s="8">
        <v>8.2000000000000007E-3</v>
      </c>
      <c r="H247" s="3">
        <f t="shared" si="3"/>
        <v>8.1545064377681609E-3</v>
      </c>
    </row>
    <row r="248" spans="1:9" x14ac:dyDescent="0.3">
      <c r="A248" t="s">
        <v>2296</v>
      </c>
      <c r="B248">
        <v>23.62</v>
      </c>
      <c r="C248">
        <v>23.5</v>
      </c>
      <c r="D248">
        <v>23.73</v>
      </c>
      <c r="E248">
        <v>23.5</v>
      </c>
      <c r="F248" t="s">
        <v>2297</v>
      </c>
      <c r="G248" s="8">
        <v>5.4999999999999997E-3</v>
      </c>
      <c r="H248" s="3">
        <f t="shared" si="3"/>
        <v>5.5342699020861641E-3</v>
      </c>
    </row>
    <row r="249" spans="1:9" x14ac:dyDescent="0.3">
      <c r="A249" t="s">
        <v>2298</v>
      </c>
      <c r="B249">
        <v>24.12</v>
      </c>
      <c r="C249">
        <v>23.8</v>
      </c>
      <c r="D249">
        <v>24.26</v>
      </c>
      <c r="E249">
        <v>23.8</v>
      </c>
      <c r="F249" t="s">
        <v>89</v>
      </c>
      <c r="G249" s="8">
        <v>2.12E-2</v>
      </c>
      <c r="H249" s="3">
        <f t="shared" si="3"/>
        <v>2.1168501270110163E-2</v>
      </c>
    </row>
    <row r="250" spans="1:9" x14ac:dyDescent="0.3">
      <c r="A250" t="s">
        <v>2299</v>
      </c>
      <c r="B250">
        <v>24.64</v>
      </c>
      <c r="C250">
        <v>24.26</v>
      </c>
      <c r="D250">
        <v>24.69</v>
      </c>
      <c r="E250">
        <v>24.21</v>
      </c>
      <c r="F250" t="s">
        <v>2300</v>
      </c>
      <c r="G250" s="8">
        <v>2.1600000000000001E-2</v>
      </c>
      <c r="I250" s="3">
        <f>(B250/B249)-1</f>
        <v>2.1558872305140975E-2</v>
      </c>
    </row>
    <row r="251" spans="1:9" x14ac:dyDescent="0.3">
      <c r="A251" t="s">
        <v>2301</v>
      </c>
      <c r="B251">
        <v>24.5</v>
      </c>
      <c r="C251">
        <v>24.7</v>
      </c>
      <c r="D251">
        <v>24.9</v>
      </c>
      <c r="E251">
        <v>24.38</v>
      </c>
      <c r="F251" t="s">
        <v>92</v>
      </c>
      <c r="G251" s="8">
        <v>-5.7000000000000002E-3</v>
      </c>
      <c r="H251" s="3">
        <f>(B251/B250)-1</f>
        <v>-5.6818181818182323E-3</v>
      </c>
    </row>
    <row r="252" spans="1:9" x14ac:dyDescent="0.3">
      <c r="A252" t="s">
        <v>2302</v>
      </c>
      <c r="B252">
        <v>24.65</v>
      </c>
      <c r="C252">
        <v>24.49</v>
      </c>
      <c r="D252">
        <v>24.68</v>
      </c>
      <c r="E252">
        <v>24.41</v>
      </c>
      <c r="F252" t="s">
        <v>73</v>
      </c>
      <c r="G252" s="8">
        <v>6.1000000000000004E-3</v>
      </c>
      <c r="H252" s="3">
        <f t="shared" ref="H252:H253" si="4">(B252/B251)-1</f>
        <v>6.1224489795916881E-3</v>
      </c>
    </row>
    <row r="253" spans="1:9" x14ac:dyDescent="0.3">
      <c r="A253" t="s">
        <v>2303</v>
      </c>
      <c r="B253">
        <v>24.86</v>
      </c>
      <c r="C253">
        <v>24.66</v>
      </c>
      <c r="D253">
        <v>24.86</v>
      </c>
      <c r="E253">
        <v>24.62</v>
      </c>
      <c r="F253" t="s">
        <v>137</v>
      </c>
      <c r="G253" s="8">
        <v>8.5000000000000006E-3</v>
      </c>
      <c r="H253" s="3">
        <f t="shared" si="4"/>
        <v>8.519269776876337E-3</v>
      </c>
    </row>
    <row r="254" spans="1:9" x14ac:dyDescent="0.3">
      <c r="A254" t="s">
        <v>2304</v>
      </c>
      <c r="B254">
        <v>25.46</v>
      </c>
      <c r="C254">
        <v>24.9</v>
      </c>
      <c r="D254">
        <v>25.62</v>
      </c>
      <c r="E254">
        <v>24.9</v>
      </c>
      <c r="F254" t="s">
        <v>123</v>
      </c>
      <c r="G254" s="8">
        <v>2.41E-2</v>
      </c>
    </row>
    <row r="255" spans="1:9" x14ac:dyDescent="0.3">
      <c r="A255" t="s">
        <v>2305</v>
      </c>
      <c r="B255">
        <v>24.45</v>
      </c>
      <c r="C255">
        <v>25.57</v>
      </c>
      <c r="D255">
        <v>25.83</v>
      </c>
      <c r="E255">
        <v>24.32</v>
      </c>
      <c r="F255" t="s">
        <v>2306</v>
      </c>
      <c r="G255" s="8">
        <v>-3.9699999999999999E-2</v>
      </c>
    </row>
  </sheetData>
  <autoFilter ref="A1:G253" xr:uid="{8F647985-2DA0-4C89-9AA3-4E56635B0CEC}">
    <sortState xmlns:xlrd2="http://schemas.microsoft.com/office/spreadsheetml/2017/richdata2" ref="A2:G253">
      <sortCondition ref="A1:A253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4D40-C0A7-4FE3-B604-D66240BC9FEA}">
  <sheetPr codeName="Hoja15">
    <tabColor theme="4" tint="0.79998168889431442"/>
  </sheetPr>
  <dimension ref="B1:E27"/>
  <sheetViews>
    <sheetView workbookViewId="0">
      <selection activeCell="G21" sqref="G21"/>
    </sheetView>
  </sheetViews>
  <sheetFormatPr baseColWidth="10" defaultRowHeight="14.4" x14ac:dyDescent="0.3"/>
  <cols>
    <col min="11" max="11" width="12.44140625" bestFit="1" customWidth="1"/>
  </cols>
  <sheetData>
    <row r="1" spans="2:5" ht="15.6" x14ac:dyDescent="0.35">
      <c r="B1" s="1"/>
      <c r="C1" s="10" t="s">
        <v>2308</v>
      </c>
      <c r="D1" s="10" t="s">
        <v>2309</v>
      </c>
    </row>
    <row r="2" spans="2:5" x14ac:dyDescent="0.3">
      <c r="B2" s="10" t="s">
        <v>2310</v>
      </c>
      <c r="C2" s="11">
        <v>0.107</v>
      </c>
      <c r="D2" s="12">
        <v>0.5</v>
      </c>
    </row>
    <row r="3" spans="2:5" x14ac:dyDescent="0.3">
      <c r="B3" s="10" t="s">
        <v>2311</v>
      </c>
      <c r="C3" s="11">
        <v>8.7999999999999995E-2</v>
      </c>
      <c r="D3" s="12">
        <v>0.13</v>
      </c>
    </row>
    <row r="4" spans="2:5" x14ac:dyDescent="0.3">
      <c r="B4" s="10" t="s">
        <v>2312</v>
      </c>
      <c r="C4" s="11">
        <v>9.8500000000000004E-2</v>
      </c>
      <c r="D4" s="12">
        <v>0.2</v>
      </c>
    </row>
    <row r="5" spans="2:5" x14ac:dyDescent="0.3">
      <c r="B5" s="10" t="s">
        <v>2313</v>
      </c>
      <c r="C5" s="11">
        <v>8.6699999999999999E-2</v>
      </c>
      <c r="D5" s="12">
        <v>0.06</v>
      </c>
    </row>
    <row r="6" spans="2:5" x14ac:dyDescent="0.3">
      <c r="B6" s="10" t="s">
        <v>2314</v>
      </c>
      <c r="C6" s="11">
        <v>8.3900000000000002E-2</v>
      </c>
      <c r="D6" s="12">
        <v>0.03</v>
      </c>
    </row>
    <row r="7" spans="2:5" ht="15.6" x14ac:dyDescent="0.35">
      <c r="B7" s="10" t="s">
        <v>2315</v>
      </c>
      <c r="C7" s="11">
        <v>8.6800000000000002E-2</v>
      </c>
      <c r="D7" s="12">
        <v>0.08</v>
      </c>
    </row>
    <row r="8" spans="2:5" x14ac:dyDescent="0.3">
      <c r="D8" s="15">
        <f>SUMPRODUCT(C2:C7,D2:D7)</f>
        <v>9.9303000000000002E-2</v>
      </c>
      <c r="E8" s="10" t="s">
        <v>753</v>
      </c>
    </row>
    <row r="26" spans="3:4" x14ac:dyDescent="0.3">
      <c r="C26" s="8"/>
      <c r="D26" s="8"/>
    </row>
    <row r="27" spans="3:4" x14ac:dyDescent="0.3">
      <c r="D27" s="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356-91BA-4B96-8957-BBEDEF63F390}">
  <sheetPr codeName="Hoja14"/>
  <dimension ref="C2:BZ266"/>
  <sheetViews>
    <sheetView tabSelected="1" topLeftCell="BI109" zoomScale="90" zoomScaleNormal="90" workbookViewId="0">
      <selection activeCell="BU138" sqref="BU138"/>
    </sheetView>
  </sheetViews>
  <sheetFormatPr baseColWidth="10" defaultRowHeight="14.4" x14ac:dyDescent="0.3"/>
  <cols>
    <col min="15" max="15" width="12.77734375" bestFit="1" customWidth="1"/>
    <col min="17" max="17" width="12" bestFit="1" customWidth="1"/>
    <col min="44" max="44" width="29.109375" bestFit="1" customWidth="1"/>
    <col min="45" max="45" width="9.88671875" bestFit="1" customWidth="1"/>
    <col min="51" max="51" width="13.77734375" bestFit="1" customWidth="1"/>
    <col min="52" max="52" width="14.6640625" bestFit="1" customWidth="1"/>
    <col min="53" max="53" width="12.6640625" bestFit="1" customWidth="1"/>
    <col min="63" max="63" width="17.5546875" bestFit="1" customWidth="1"/>
    <col min="64" max="64" width="20.21875" bestFit="1" customWidth="1"/>
    <col min="65" max="65" width="12.21875" bestFit="1" customWidth="1"/>
    <col min="66" max="66" width="13.109375" bestFit="1" customWidth="1"/>
    <col min="68" max="68" width="11" bestFit="1" customWidth="1"/>
    <col min="70" max="70" width="12.21875" bestFit="1" customWidth="1"/>
    <col min="71" max="71" width="17.44140625" customWidth="1"/>
    <col min="73" max="73" width="12.21875" bestFit="1" customWidth="1"/>
    <col min="74" max="74" width="13.109375" bestFit="1" customWidth="1"/>
  </cols>
  <sheetData>
    <row r="2" spans="3:62" ht="15" thickBot="1" x14ac:dyDescent="0.35"/>
    <row r="3" spans="3:62" ht="15" thickBot="1" x14ac:dyDescent="0.35">
      <c r="C3" s="16">
        <v>1</v>
      </c>
      <c r="D3" s="16">
        <v>2</v>
      </c>
      <c r="E3" s="16">
        <v>3</v>
      </c>
      <c r="F3" s="16">
        <v>4</v>
      </c>
      <c r="G3" s="16">
        <v>5</v>
      </c>
      <c r="H3" s="16">
        <v>6</v>
      </c>
      <c r="I3" s="16">
        <v>7</v>
      </c>
      <c r="J3" s="16">
        <v>8</v>
      </c>
      <c r="K3" s="16">
        <v>9</v>
      </c>
      <c r="L3" s="16">
        <v>10</v>
      </c>
      <c r="M3" s="16">
        <v>11</v>
      </c>
      <c r="T3" s="23">
        <v>1</v>
      </c>
      <c r="U3" s="23">
        <v>2</v>
      </c>
      <c r="V3" s="23">
        <v>3</v>
      </c>
      <c r="W3" s="23">
        <v>4</v>
      </c>
      <c r="X3" s="23">
        <v>5</v>
      </c>
      <c r="Y3" s="23">
        <v>6</v>
      </c>
      <c r="Z3" s="23">
        <v>7</v>
      </c>
      <c r="AA3" s="23">
        <v>8</v>
      </c>
      <c r="AB3" s="23">
        <v>9</v>
      </c>
      <c r="AC3" s="23">
        <v>10</v>
      </c>
      <c r="AD3" s="23">
        <v>11</v>
      </c>
      <c r="AF3" s="23">
        <v>1</v>
      </c>
      <c r="AG3" s="23">
        <v>2</v>
      </c>
      <c r="AH3" s="23">
        <v>3</v>
      </c>
      <c r="AI3" s="23">
        <v>4</v>
      </c>
      <c r="AJ3" s="23">
        <v>5</v>
      </c>
      <c r="AK3" s="23">
        <v>6</v>
      </c>
      <c r="AL3" s="23">
        <v>7</v>
      </c>
      <c r="AM3" s="23">
        <v>8</v>
      </c>
      <c r="AN3" s="23">
        <v>9</v>
      </c>
      <c r="AO3" s="23">
        <v>10</v>
      </c>
      <c r="AP3" s="23">
        <v>11</v>
      </c>
      <c r="AR3" s="28"/>
      <c r="AS3" s="23" t="s">
        <v>755</v>
      </c>
      <c r="AT3" s="23">
        <v>603336</v>
      </c>
      <c r="AU3" s="23" t="s">
        <v>1169</v>
      </c>
      <c r="AV3" s="23" t="s">
        <v>756</v>
      </c>
      <c r="AW3" s="23" t="s">
        <v>757</v>
      </c>
      <c r="AX3" s="23" t="s">
        <v>758</v>
      </c>
      <c r="AY3" s="23" t="s">
        <v>759</v>
      </c>
      <c r="AZ3" s="23" t="s">
        <v>1512</v>
      </c>
      <c r="BA3" s="23" t="s">
        <v>760</v>
      </c>
      <c r="BB3" s="23" t="s">
        <v>1918</v>
      </c>
      <c r="BC3" s="23" t="s">
        <v>2307</v>
      </c>
    </row>
    <row r="4" spans="3:62" ht="27" thickBot="1" x14ac:dyDescent="0.35">
      <c r="C4" s="23" t="s">
        <v>755</v>
      </c>
      <c r="D4" s="24">
        <v>603336</v>
      </c>
      <c r="E4" s="23" t="s">
        <v>1169</v>
      </c>
      <c r="F4" s="23" t="s">
        <v>756</v>
      </c>
      <c r="G4" s="23" t="s">
        <v>757</v>
      </c>
      <c r="H4" s="25" t="s">
        <v>758</v>
      </c>
      <c r="I4" s="25" t="s">
        <v>759</v>
      </c>
      <c r="J4" s="26" t="s">
        <v>1512</v>
      </c>
      <c r="K4" s="25" t="s">
        <v>760</v>
      </c>
      <c r="L4" s="27" t="s">
        <v>1918</v>
      </c>
      <c r="M4" s="25" t="s">
        <v>2307</v>
      </c>
      <c r="O4" s="20" t="s">
        <v>2354</v>
      </c>
      <c r="P4" s="18" t="s">
        <v>2316</v>
      </c>
      <c r="Q4" s="19" t="s">
        <v>2317</v>
      </c>
      <c r="R4" s="22" t="s">
        <v>2318</v>
      </c>
      <c r="T4" s="23" t="s">
        <v>755</v>
      </c>
      <c r="U4" s="23">
        <v>603336</v>
      </c>
      <c r="V4" s="23" t="s">
        <v>1169</v>
      </c>
      <c r="W4" s="23" t="s">
        <v>756</v>
      </c>
      <c r="X4" s="23" t="s">
        <v>757</v>
      </c>
      <c r="Y4" s="23" t="s">
        <v>758</v>
      </c>
      <c r="Z4" s="23" t="s">
        <v>759</v>
      </c>
      <c r="AA4" s="23" t="s">
        <v>1512</v>
      </c>
      <c r="AB4" s="23" t="s">
        <v>760</v>
      </c>
      <c r="AC4" s="23" t="s">
        <v>1918</v>
      </c>
      <c r="AD4" s="23" t="s">
        <v>2307</v>
      </c>
      <c r="AF4" s="23" t="s">
        <v>755</v>
      </c>
      <c r="AG4" s="23">
        <v>603336</v>
      </c>
      <c r="AH4" s="23" t="s">
        <v>1169</v>
      </c>
      <c r="AI4" s="23" t="s">
        <v>756</v>
      </c>
      <c r="AJ4" s="23" t="s">
        <v>757</v>
      </c>
      <c r="AK4" s="23" t="s">
        <v>758</v>
      </c>
      <c r="AL4" s="23" t="s">
        <v>759</v>
      </c>
      <c r="AM4" s="23" t="s">
        <v>1512</v>
      </c>
      <c r="AN4" s="23" t="s">
        <v>760</v>
      </c>
      <c r="AO4" s="23" t="s">
        <v>1918</v>
      </c>
      <c r="AP4" s="23" t="s">
        <v>2307</v>
      </c>
      <c r="AR4" s="28" t="s">
        <v>2319</v>
      </c>
      <c r="AS4" s="34">
        <f>AVERAGE(AF6:AF256)*252</f>
        <v>0.30026231949682225</v>
      </c>
      <c r="AT4" s="34">
        <f t="shared" ref="AT4:AU4" si="0">AVERAGE(AG6:AG256)*252</f>
        <v>0.36461979694015123</v>
      </c>
      <c r="AU4" s="34">
        <f t="shared" si="0"/>
        <v>0.29465107152379427</v>
      </c>
      <c r="AV4" s="34">
        <f t="shared" ref="AV4" si="1">AVERAGE(AI6:AI256)*252</f>
        <v>0.23839684950108822</v>
      </c>
      <c r="AW4" s="34">
        <f t="shared" ref="AW4" si="2">AVERAGE(AJ6:AJ256)*252</f>
        <v>0.28526229497604016</v>
      </c>
      <c r="AX4" s="34">
        <f t="shared" ref="AX4" si="3">AVERAGE(AK6:AK256)*252</f>
        <v>0.40688813388654266</v>
      </c>
      <c r="AY4" s="34">
        <f t="shared" ref="AY4" si="4">AVERAGE(AL6:AL256)*252</f>
        <v>0.52981883181687861</v>
      </c>
      <c r="AZ4" s="34">
        <f t="shared" ref="AZ4" si="5">AVERAGE(AM6:AM256)*252</f>
        <v>0.36023934345563779</v>
      </c>
      <c r="BA4" s="34">
        <f t="shared" ref="BA4" si="6">AVERAGE(AN6:AN256)*252</f>
        <v>0.3507970688965506</v>
      </c>
      <c r="BB4" s="32">
        <f t="shared" ref="BB4" si="7">AVERAGE(AO6:AO256)*252</f>
        <v>1.0001868477457444E-2</v>
      </c>
      <c r="BC4" s="34">
        <f t="shared" ref="BC4" si="8">AVERAGE(AP6:AP256)*252</f>
        <v>0.42393547479279048</v>
      </c>
    </row>
    <row r="5" spans="3:62" x14ac:dyDescent="0.3">
      <c r="C5" s="1">
        <v>18.2</v>
      </c>
      <c r="D5" s="1">
        <v>4.29</v>
      </c>
      <c r="E5" s="1">
        <v>43.22</v>
      </c>
      <c r="F5" s="1">
        <v>209.24</v>
      </c>
      <c r="G5" s="1">
        <v>704.88</v>
      </c>
      <c r="H5" s="1">
        <v>22.6</v>
      </c>
      <c r="I5" s="1">
        <v>96.66</v>
      </c>
      <c r="J5" s="1">
        <v>84.92</v>
      </c>
      <c r="K5" s="1">
        <v>215</v>
      </c>
      <c r="L5" s="1">
        <v>157.32</v>
      </c>
      <c r="M5" s="1">
        <v>16.920000000000002</v>
      </c>
      <c r="O5" s="1">
        <v>16.4758</v>
      </c>
      <c r="P5" s="1">
        <v>1.0833525534420181</v>
      </c>
      <c r="Q5" s="1">
        <v>0.13809344614525546</v>
      </c>
      <c r="R5" s="1">
        <v>0.73580000000000001</v>
      </c>
      <c r="T5" s="28">
        <v>18.2</v>
      </c>
      <c r="U5" s="29">
        <f t="shared" ref="U5:U68" si="9">Q5*D5</f>
        <v>0.59242088396314596</v>
      </c>
      <c r="V5" s="28">
        <v>43.22</v>
      </c>
      <c r="W5" s="28">
        <v>209.24</v>
      </c>
      <c r="X5" s="28">
        <v>704.88</v>
      </c>
      <c r="Y5" s="29">
        <f>P5*H5</f>
        <v>24.48376770778961</v>
      </c>
      <c r="Z5" s="29">
        <f>P5*I5</f>
        <v>104.71685781570547</v>
      </c>
      <c r="AA5" s="29">
        <f>R5*J5</f>
        <v>62.484135999999999</v>
      </c>
      <c r="AB5" s="29">
        <f>P5*K5</f>
        <v>232.92079899003389</v>
      </c>
      <c r="AC5" s="29">
        <f>L5/O5</f>
        <v>9.5485499945374421</v>
      </c>
      <c r="AD5" s="29">
        <f>P5*M5</f>
        <v>18.33032520423895</v>
      </c>
      <c r="AR5" s="28" t="s">
        <v>2320</v>
      </c>
      <c r="AS5" s="33">
        <v>3.85E-2</v>
      </c>
      <c r="AT5" s="33">
        <v>2.9399999999999999E-2</v>
      </c>
      <c r="AU5" s="28" t="s">
        <v>11</v>
      </c>
      <c r="AV5" s="33">
        <v>0.11360000000000001</v>
      </c>
      <c r="AW5" s="33">
        <v>0.16520000000000001</v>
      </c>
      <c r="AX5" s="33">
        <v>0.1661</v>
      </c>
      <c r="AY5" s="33">
        <v>5.7500000000000002E-2</v>
      </c>
      <c r="AZ5" s="28" t="s">
        <v>11</v>
      </c>
      <c r="BA5" s="33">
        <v>0.24179999999999999</v>
      </c>
      <c r="BB5" s="35">
        <v>9.9599999999999994E-2</v>
      </c>
      <c r="BC5" s="33">
        <v>3.9E-2</v>
      </c>
    </row>
    <row r="6" spans="3:62" ht="16.2" x14ac:dyDescent="0.3">
      <c r="C6" s="1">
        <v>18.66</v>
      </c>
      <c r="D6" s="1">
        <v>4.3600000000000003</v>
      </c>
      <c r="E6" s="1">
        <v>43.95</v>
      </c>
      <c r="F6" s="1">
        <v>211</v>
      </c>
      <c r="G6" s="1">
        <v>713.72</v>
      </c>
      <c r="H6" s="1">
        <v>21.21</v>
      </c>
      <c r="I6" s="1">
        <v>96.14</v>
      </c>
      <c r="J6" s="1">
        <v>84.59</v>
      </c>
      <c r="K6" s="1">
        <v>213.7</v>
      </c>
      <c r="L6" s="1">
        <v>156.94</v>
      </c>
      <c r="M6" s="1">
        <v>16.934999999999999</v>
      </c>
      <c r="O6" s="1">
        <v>16.335699999999999</v>
      </c>
      <c r="P6" s="1">
        <v>1.0833511878891018</v>
      </c>
      <c r="Q6" s="1">
        <v>0.13802897947440268</v>
      </c>
      <c r="R6" s="1">
        <v>0.73680000000000001</v>
      </c>
      <c r="T6" s="28">
        <v>18.66</v>
      </c>
      <c r="U6" s="29">
        <f t="shared" si="9"/>
        <v>0.6018063505083957</v>
      </c>
      <c r="V6" s="28">
        <v>43.95</v>
      </c>
      <c r="W6" s="28">
        <v>211</v>
      </c>
      <c r="X6" s="28">
        <v>713.72</v>
      </c>
      <c r="Y6" s="29">
        <f t="shared" ref="Y6:Y69" si="10">P5*H6</f>
        <v>22.977907658505206</v>
      </c>
      <c r="Z6" s="29">
        <f t="shared" ref="Z6:Z69" si="11">P6*I6</f>
        <v>104.15338320365825</v>
      </c>
      <c r="AA6" s="29">
        <f t="shared" ref="AA6:AA69" si="12">R6*J6</f>
        <v>62.325912000000002</v>
      </c>
      <c r="AB6" s="29">
        <f t="shared" ref="AB6:AB69" si="13">P6*K6</f>
        <v>231.51214885190103</v>
      </c>
      <c r="AC6" s="29">
        <f t="shared" ref="AC6:AC69" si="14">L6/O6</f>
        <v>9.607179367887511</v>
      </c>
      <c r="AD6" s="29">
        <f t="shared" ref="AD6:AD69" si="15">P6*M6</f>
        <v>18.346552366901939</v>
      </c>
      <c r="AF6">
        <f>(T6/T5)-1</f>
        <v>2.5274725274725407E-2</v>
      </c>
      <c r="AG6">
        <f>(U6/U5)-1</f>
        <v>1.5842565310093981E-2</v>
      </c>
      <c r="AH6">
        <f t="shared" ref="AH6:AP6" si="16">(V6/V5)-1</f>
        <v>1.6890328551596667E-2</v>
      </c>
      <c r="AI6">
        <f t="shared" si="16"/>
        <v>8.4113936149874391E-3</v>
      </c>
      <c r="AJ6">
        <f t="shared" si="16"/>
        <v>1.254114175462484E-2</v>
      </c>
      <c r="AK6">
        <f t="shared" si="16"/>
        <v>-6.1504424778761058E-2</v>
      </c>
      <c r="AL6">
        <f t="shared" si="16"/>
        <v>-5.3809350643321263E-3</v>
      </c>
      <c r="AM6">
        <f t="shared" si="16"/>
        <v>-2.5322267399200404E-3</v>
      </c>
      <c r="AN6">
        <f t="shared" si="16"/>
        <v>-6.0477644943727205E-3</v>
      </c>
      <c r="AO6">
        <f>(AC6/AC5)-1</f>
        <v>6.1401336730300127E-3</v>
      </c>
      <c r="AP6">
        <f t="shared" si="16"/>
        <v>8.8526321721982271E-4</v>
      </c>
      <c r="AR6" s="31" t="s">
        <v>2321</v>
      </c>
      <c r="AS6" s="32">
        <f>_xlfn.VAR.S(AF6:AF256)*252</f>
        <v>0.10152460575477006</v>
      </c>
      <c r="AT6" s="32">
        <f t="shared" ref="AT6:BC6" si="17">_xlfn.VAR.S(AG6:AG256)*252</f>
        <v>0.34403463313874172</v>
      </c>
      <c r="AU6" s="32">
        <f t="shared" si="17"/>
        <v>2.4176292143990703E-2</v>
      </c>
      <c r="AV6" s="32">
        <f t="shared" si="17"/>
        <v>5.8448976375185251E-2</v>
      </c>
      <c r="AW6" s="32">
        <f t="shared" si="17"/>
        <v>4.3030089116474511E-2</v>
      </c>
      <c r="AX6" s="32">
        <f t="shared" si="17"/>
        <v>3.7671597217332375E-2</v>
      </c>
      <c r="AY6" s="32">
        <f t="shared" si="17"/>
        <v>0.12457493953597693</v>
      </c>
      <c r="AZ6" s="32">
        <f t="shared" si="17"/>
        <v>8.3721400067428398E-2</v>
      </c>
      <c r="BA6" s="32">
        <f t="shared" si="17"/>
        <v>8.8634764635269703E-2</v>
      </c>
      <c r="BB6" s="32">
        <f t="shared" si="17"/>
        <v>7.0881277255624722E-2</v>
      </c>
      <c r="BC6" s="32">
        <f t="shared" si="17"/>
        <v>3.8714812948592192E-2</v>
      </c>
    </row>
    <row r="7" spans="3:62" x14ac:dyDescent="0.3">
      <c r="C7" s="1">
        <v>19.440000000000001</v>
      </c>
      <c r="D7" s="1">
        <v>4.18</v>
      </c>
      <c r="E7" s="1">
        <v>44.23</v>
      </c>
      <c r="F7" s="1">
        <v>210.39</v>
      </c>
      <c r="G7" s="1">
        <v>711.81</v>
      </c>
      <c r="H7" s="1">
        <v>21.18</v>
      </c>
      <c r="I7" s="1">
        <v>96.88</v>
      </c>
      <c r="J7" s="1">
        <v>84.3</v>
      </c>
      <c r="K7" s="1">
        <v>217.2</v>
      </c>
      <c r="L7" s="1">
        <v>155.22999999999999</v>
      </c>
      <c r="M7" s="1">
        <v>17.3</v>
      </c>
      <c r="O7" s="1">
        <v>16.3932</v>
      </c>
      <c r="P7" s="1">
        <v>1.0869506868701657</v>
      </c>
      <c r="Q7" s="1">
        <v>0.1380328428860747</v>
      </c>
      <c r="R7" s="1">
        <v>0.7369</v>
      </c>
      <c r="T7" s="28">
        <v>19.440000000000001</v>
      </c>
      <c r="U7" s="29">
        <f t="shared" si="9"/>
        <v>0.57697728326379216</v>
      </c>
      <c r="V7" s="28">
        <v>44.23</v>
      </c>
      <c r="W7" s="28">
        <v>210.39</v>
      </c>
      <c r="X7" s="28">
        <v>711.81</v>
      </c>
      <c r="Y7" s="29">
        <f t="shared" si="10"/>
        <v>22.945378159491174</v>
      </c>
      <c r="Z7" s="29">
        <f t="shared" si="11"/>
        <v>105.30378254398165</v>
      </c>
      <c r="AA7" s="29">
        <f t="shared" si="12"/>
        <v>62.120669999999997</v>
      </c>
      <c r="AB7" s="29">
        <f t="shared" si="13"/>
        <v>236.08568918819998</v>
      </c>
      <c r="AC7" s="29">
        <f t="shared" si="14"/>
        <v>9.4691701437181255</v>
      </c>
      <c r="AD7" s="29">
        <f t="shared" si="15"/>
        <v>18.804246882853867</v>
      </c>
      <c r="AF7">
        <f t="shared" ref="AF7:AF70" si="18">(T7/T6)-1</f>
        <v>4.1800643086816747E-2</v>
      </c>
      <c r="AG7">
        <f t="shared" ref="AG7:AG70" si="19">(U7/U6)-1</f>
        <v>-4.125756935537217E-2</v>
      </c>
      <c r="AH7">
        <f t="shared" ref="AH7:AH70" si="20">(V7/V6)-1</f>
        <v>6.3708759954492766E-3</v>
      </c>
      <c r="AI7">
        <f t="shared" ref="AI7:AI70" si="21">(W7/W6)-1</f>
        <v>-2.8909952606636091E-3</v>
      </c>
      <c r="AJ7">
        <f t="shared" ref="AJ7:AJ70" si="22">(X7/X6)-1</f>
        <v>-2.6761194866334881E-3</v>
      </c>
      <c r="AK7">
        <f t="shared" ref="AK7:AK70" si="23">(Y7/Y6)-1</f>
        <v>-1.4156858621542368E-3</v>
      </c>
      <c r="AL7">
        <f t="shared" ref="AL7:AL70" si="24">(Z7/Z6)-1</f>
        <v>1.1045242170136138E-2</v>
      </c>
      <c r="AM7">
        <f t="shared" ref="AM7:AM70" si="25">(AA7/AA6)-1</f>
        <v>-3.2930444724179608E-3</v>
      </c>
      <c r="AN7">
        <f t="shared" ref="AN7:AN70" si="26">(AB7/AB6)-1</f>
        <v>1.9755077040145563E-2</v>
      </c>
      <c r="AO7">
        <f t="shared" ref="AO7:AO70" si="27">(AC7/AC6)-1</f>
        <v>-1.4365217811034947E-2</v>
      </c>
      <c r="AP7">
        <f t="shared" ref="AP7:AP70" si="28">(AD7/AD6)-1</f>
        <v>2.4947167554904226E-2</v>
      </c>
      <c r="AR7" s="31" t="s">
        <v>754</v>
      </c>
      <c r="AS7" s="32">
        <f>_xlfn.STDEV.S(AF6:AF256)*SQRT(252)</f>
        <v>0.31862926066946529</v>
      </c>
      <c r="AT7" s="32">
        <f t="shared" ref="AT7:BC7" si="29">_xlfn.STDEV.S(AG6:AG256)*SQRT(252)</f>
        <v>0.58654465570725456</v>
      </c>
      <c r="AU7" s="32">
        <f t="shared" si="29"/>
        <v>0.15548727325408568</v>
      </c>
      <c r="AV7" s="32">
        <f t="shared" si="29"/>
        <v>0.24176223107670325</v>
      </c>
      <c r="AW7" s="32">
        <f t="shared" si="29"/>
        <v>0.20743695214805513</v>
      </c>
      <c r="AX7" s="32">
        <f t="shared" si="29"/>
        <v>0.1940917237218846</v>
      </c>
      <c r="AY7" s="32">
        <f t="shared" si="29"/>
        <v>0.35295175241947296</v>
      </c>
      <c r="AZ7" s="32">
        <f t="shared" si="29"/>
        <v>0.28934650519304428</v>
      </c>
      <c r="BA7" s="32">
        <f t="shared" si="29"/>
        <v>0.29771591263362074</v>
      </c>
      <c r="BB7" s="32">
        <f t="shared" si="29"/>
        <v>0.26623537942133974</v>
      </c>
      <c r="BC7" s="32">
        <f t="shared" si="29"/>
        <v>0.19676080135177382</v>
      </c>
    </row>
    <row r="8" spans="3:62" x14ac:dyDescent="0.3">
      <c r="C8" s="1">
        <v>19.38</v>
      </c>
      <c r="D8" s="1">
        <v>4.08</v>
      </c>
      <c r="E8" s="1">
        <v>44.47</v>
      </c>
      <c r="F8" s="1">
        <v>204.81</v>
      </c>
      <c r="G8" s="1">
        <v>718.59</v>
      </c>
      <c r="H8" s="1">
        <v>21.13</v>
      </c>
      <c r="I8" s="1">
        <v>98.34</v>
      </c>
      <c r="J8" s="1">
        <v>82.85</v>
      </c>
      <c r="K8" s="1">
        <v>216.6</v>
      </c>
      <c r="L8" s="1">
        <v>154.13999999999999</v>
      </c>
      <c r="M8" s="1">
        <v>17.085000000000001</v>
      </c>
      <c r="O8" s="1">
        <v>16.488299999999999</v>
      </c>
      <c r="P8" s="1">
        <v>1.0864491791148876</v>
      </c>
      <c r="Q8" s="1">
        <v>0.13811611870235257</v>
      </c>
      <c r="R8" s="1">
        <v>0.73080000000000001</v>
      </c>
      <c r="T8" s="28">
        <v>19.38</v>
      </c>
      <c r="U8" s="29">
        <f t="shared" si="9"/>
        <v>0.56351376430559852</v>
      </c>
      <c r="V8" s="28">
        <v>44.47</v>
      </c>
      <c r="W8" s="28">
        <v>204.81</v>
      </c>
      <c r="X8" s="28">
        <v>718.59</v>
      </c>
      <c r="Y8" s="29">
        <f t="shared" si="10"/>
        <v>22.967268013566599</v>
      </c>
      <c r="Z8" s="29">
        <f t="shared" si="11"/>
        <v>106.84141227415805</v>
      </c>
      <c r="AA8" s="29">
        <f t="shared" si="12"/>
        <v>60.546779999999998</v>
      </c>
      <c r="AB8" s="29">
        <f t="shared" si="13"/>
        <v>235.32489219628465</v>
      </c>
      <c r="AC8" s="29">
        <f t="shared" si="14"/>
        <v>9.3484470806571931</v>
      </c>
      <c r="AD8" s="29">
        <f t="shared" si="15"/>
        <v>18.561984225177856</v>
      </c>
      <c r="AF8">
        <f t="shared" si="18"/>
        <v>-3.0864197530865445E-3</v>
      </c>
      <c r="AG8">
        <f t="shared" si="19"/>
        <v>-2.3334573732321728E-2</v>
      </c>
      <c r="AH8">
        <f t="shared" si="20"/>
        <v>5.4261813248925872E-3</v>
      </c>
      <c r="AI8">
        <f t="shared" si="21"/>
        <v>-2.6522173107086711E-2</v>
      </c>
      <c r="AJ8">
        <f t="shared" si="22"/>
        <v>9.5250136974756039E-3</v>
      </c>
      <c r="AK8">
        <f t="shared" si="23"/>
        <v>9.5399840104049005E-4</v>
      </c>
      <c r="AL8">
        <f t="shared" si="24"/>
        <v>1.4601847084972253E-2</v>
      </c>
      <c r="AM8">
        <f t="shared" si="25"/>
        <v>-2.533601134694774E-2</v>
      </c>
      <c r="AN8">
        <f t="shared" si="26"/>
        <v>-3.222545993920245E-3</v>
      </c>
      <c r="AO8">
        <f t="shared" si="27"/>
        <v>-1.2749064725700476E-2</v>
      </c>
      <c r="AP8">
        <f t="shared" si="28"/>
        <v>-1.288340124362608E-2</v>
      </c>
      <c r="AR8" s="28" t="s">
        <v>2322</v>
      </c>
      <c r="AS8" s="33">
        <f>AS4-$AS$14</f>
        <v>0.20096231949682225</v>
      </c>
      <c r="AT8" s="33">
        <f t="shared" ref="AT8:BC8" si="30">AT4-$AS$14</f>
        <v>0.26531979694015123</v>
      </c>
      <c r="AU8" s="33">
        <f t="shared" si="30"/>
        <v>0.19535107152379427</v>
      </c>
      <c r="AV8" s="33">
        <f t="shared" si="30"/>
        <v>0.13909684950108822</v>
      </c>
      <c r="AW8" s="33">
        <f t="shared" si="30"/>
        <v>0.18596229497604017</v>
      </c>
      <c r="AX8" s="33">
        <f t="shared" si="30"/>
        <v>0.30758813388654266</v>
      </c>
      <c r="AY8" s="33">
        <f t="shared" si="30"/>
        <v>0.43051883181687861</v>
      </c>
      <c r="AZ8" s="33">
        <f t="shared" si="30"/>
        <v>0.2609393434556378</v>
      </c>
      <c r="BA8" s="33">
        <f t="shared" si="30"/>
        <v>0.2514970688965506</v>
      </c>
      <c r="BB8" s="33">
        <f t="shared" si="30"/>
        <v>-8.9298131522542554E-2</v>
      </c>
      <c r="BC8" s="33">
        <f t="shared" si="30"/>
        <v>0.32463547479279048</v>
      </c>
    </row>
    <row r="9" spans="3:62" x14ac:dyDescent="0.3">
      <c r="C9" s="1">
        <v>19.39</v>
      </c>
      <c r="D9" s="1">
        <v>4.1100000000000003</v>
      </c>
      <c r="E9" s="1">
        <v>44.04</v>
      </c>
      <c r="F9" s="1">
        <v>206.15</v>
      </c>
      <c r="G9" s="1">
        <v>722.58</v>
      </c>
      <c r="H9" s="1">
        <v>20.83</v>
      </c>
      <c r="I9" s="1">
        <v>95.7</v>
      </c>
      <c r="J9" s="1">
        <v>82.71</v>
      </c>
      <c r="K9" s="1">
        <v>212.6</v>
      </c>
      <c r="L9" s="1">
        <v>156.66</v>
      </c>
      <c r="M9" s="1">
        <v>17.164999999999999</v>
      </c>
      <c r="O9" s="1">
        <v>16.458300000000001</v>
      </c>
      <c r="P9" s="1">
        <v>1.0730026794990977</v>
      </c>
      <c r="Q9" s="1">
        <v>0.13783926650990685</v>
      </c>
      <c r="R9" s="1">
        <v>0.73050000000000004</v>
      </c>
      <c r="T9" s="28">
        <v>19.39</v>
      </c>
      <c r="U9" s="29">
        <f t="shared" si="9"/>
        <v>0.56651938535571722</v>
      </c>
      <c r="V9" s="28">
        <v>44.04</v>
      </c>
      <c r="W9" s="28">
        <v>206.15</v>
      </c>
      <c r="X9" s="28">
        <v>722.58</v>
      </c>
      <c r="Y9" s="29">
        <f t="shared" si="10"/>
        <v>22.630736400963105</v>
      </c>
      <c r="Z9" s="29">
        <f t="shared" si="11"/>
        <v>102.68635642806365</v>
      </c>
      <c r="AA9" s="29">
        <f t="shared" si="12"/>
        <v>60.419654999999999</v>
      </c>
      <c r="AB9" s="29">
        <f t="shared" si="13"/>
        <v>228.12036966150816</v>
      </c>
      <c r="AC9" s="29">
        <f t="shared" si="14"/>
        <v>9.5186015566613804</v>
      </c>
      <c r="AD9" s="29">
        <f t="shared" si="15"/>
        <v>18.418090993602011</v>
      </c>
      <c r="AF9">
        <f t="shared" si="18"/>
        <v>5.1599587203310371E-4</v>
      </c>
      <c r="AG9">
        <f t="shared" si="19"/>
        <v>5.3337136384281614E-3</v>
      </c>
      <c r="AH9">
        <f t="shared" si="20"/>
        <v>-9.6694400719585794E-3</v>
      </c>
      <c r="AI9">
        <f t="shared" si="21"/>
        <v>6.5426492847029394E-3</v>
      </c>
      <c r="AJ9">
        <f t="shared" si="22"/>
        <v>5.5525403916001359E-3</v>
      </c>
      <c r="AK9">
        <f t="shared" si="23"/>
        <v>-1.465266188406511E-2</v>
      </c>
      <c r="AL9">
        <f t="shared" si="24"/>
        <v>-3.8889937503188476E-2</v>
      </c>
      <c r="AM9">
        <f t="shared" si="25"/>
        <v>-2.0996161975913585E-3</v>
      </c>
      <c r="AN9">
        <f t="shared" si="26"/>
        <v>-3.0615216552472457E-2</v>
      </c>
      <c r="AO9">
        <f t="shared" si="27"/>
        <v>1.8201362700790424E-2</v>
      </c>
      <c r="AP9">
        <f t="shared" si="28"/>
        <v>-7.7520393202719085E-3</v>
      </c>
      <c r="AR9" s="28" t="s">
        <v>2323</v>
      </c>
      <c r="AS9" s="33">
        <f>AS5-$AS$14</f>
        <v>-6.08E-2</v>
      </c>
      <c r="AT9" s="33">
        <f t="shared" ref="AT9:BC9" si="31">AT5-$AS$14</f>
        <v>-6.9900000000000004E-2</v>
      </c>
      <c r="AU9" s="28" t="s">
        <v>11</v>
      </c>
      <c r="AV9" s="33">
        <f t="shared" si="31"/>
        <v>1.4300000000000007E-2</v>
      </c>
      <c r="AW9" s="33">
        <f t="shared" si="31"/>
        <v>6.5900000000000014E-2</v>
      </c>
      <c r="AX9" s="33">
        <f t="shared" si="31"/>
        <v>6.6799999999999998E-2</v>
      </c>
      <c r="AY9" s="33">
        <f t="shared" si="31"/>
        <v>-4.1799999999999997E-2</v>
      </c>
      <c r="AZ9" s="28" t="s">
        <v>11</v>
      </c>
      <c r="BA9" s="33">
        <f t="shared" si="31"/>
        <v>0.14249999999999999</v>
      </c>
      <c r="BB9" s="33">
        <f t="shared" si="31"/>
        <v>2.9999999999999472E-4</v>
      </c>
      <c r="BC9" s="33">
        <f t="shared" si="31"/>
        <v>-6.0299999999999999E-2</v>
      </c>
    </row>
    <row r="10" spans="3:62" x14ac:dyDescent="0.3">
      <c r="C10" s="1">
        <v>19.8</v>
      </c>
      <c r="D10" s="1">
        <v>4.03</v>
      </c>
      <c r="E10" s="1">
        <v>44.89</v>
      </c>
      <c r="F10" s="1">
        <v>202.26</v>
      </c>
      <c r="G10" s="1">
        <v>732.35</v>
      </c>
      <c r="H10" s="1">
        <v>20.88</v>
      </c>
      <c r="I10" s="1">
        <v>96</v>
      </c>
      <c r="J10" s="1">
        <v>81.98</v>
      </c>
      <c r="K10" s="1">
        <v>212</v>
      </c>
      <c r="L10" s="1">
        <v>162.58000000000001</v>
      </c>
      <c r="M10" s="1">
        <v>17.295000000000002</v>
      </c>
      <c r="O10" s="1">
        <v>16.6693</v>
      </c>
      <c r="P10" s="1">
        <v>1.0648497537389092</v>
      </c>
      <c r="Q10" s="1">
        <v>0.13759426010690312</v>
      </c>
      <c r="R10" s="1">
        <v>0.7258</v>
      </c>
      <c r="T10" s="28">
        <v>19.8</v>
      </c>
      <c r="U10" s="29">
        <f t="shared" si="9"/>
        <v>0.55450486823081957</v>
      </c>
      <c r="V10" s="28">
        <v>44.89</v>
      </c>
      <c r="W10" s="28">
        <v>202.26</v>
      </c>
      <c r="X10" s="28">
        <v>732.35</v>
      </c>
      <c r="Y10" s="29">
        <f t="shared" si="10"/>
        <v>22.404295947941158</v>
      </c>
      <c r="Z10" s="29">
        <f t="shared" si="11"/>
        <v>102.22557635893529</v>
      </c>
      <c r="AA10" s="29">
        <f t="shared" si="12"/>
        <v>59.501084000000006</v>
      </c>
      <c r="AB10" s="29">
        <f t="shared" si="13"/>
        <v>225.74814779264875</v>
      </c>
      <c r="AC10" s="29">
        <f t="shared" si="14"/>
        <v>9.7532589850803575</v>
      </c>
      <c r="AD10" s="29">
        <f t="shared" si="15"/>
        <v>18.416576490914437</v>
      </c>
      <c r="AF10">
        <f t="shared" si="18"/>
        <v>2.1144920061887618E-2</v>
      </c>
      <c r="AG10">
        <f t="shared" si="19"/>
        <v>-2.1207601073269133E-2</v>
      </c>
      <c r="AH10">
        <f t="shared" si="20"/>
        <v>1.9300635785649334E-2</v>
      </c>
      <c r="AI10">
        <f t="shared" si="21"/>
        <v>-1.8869755032743241E-2</v>
      </c>
      <c r="AJ10">
        <f t="shared" si="22"/>
        <v>1.3520994215173276E-2</v>
      </c>
      <c r="AK10">
        <f t="shared" si="23"/>
        <v>-1.0005880896227115E-2</v>
      </c>
      <c r="AL10">
        <f t="shared" si="24"/>
        <v>-4.4872569750895597E-3</v>
      </c>
      <c r="AM10">
        <f t="shared" si="25"/>
        <v>-1.520318181227609E-2</v>
      </c>
      <c r="AN10">
        <f t="shared" si="26"/>
        <v>-1.0398991867229479E-2</v>
      </c>
      <c r="AO10">
        <f t="shared" si="27"/>
        <v>2.4652510878003575E-2</v>
      </c>
      <c r="AP10">
        <f t="shared" si="28"/>
        <v>-8.2229080532791876E-5</v>
      </c>
      <c r="AR10" s="28" t="s">
        <v>2324</v>
      </c>
      <c r="AS10" s="37">
        <f>AS4/AS7</f>
        <v>0.94235638894540741</v>
      </c>
      <c r="AT10" s="37">
        <f t="shared" ref="AT10:BA10" si="32">AT4/AT7</f>
        <v>0.62164030205081877</v>
      </c>
      <c r="AU10" s="37">
        <f t="shared" si="32"/>
        <v>1.8950172921374568</v>
      </c>
      <c r="AV10" s="37">
        <f t="shared" si="32"/>
        <v>0.98607978772934424</v>
      </c>
      <c r="AW10" s="37">
        <f t="shared" si="32"/>
        <v>1.3751758884908718</v>
      </c>
      <c r="AX10" s="37">
        <f t="shared" si="32"/>
        <v>2.0963703453403069</v>
      </c>
      <c r="AY10" s="37">
        <f t="shared" si="32"/>
        <v>1.5011083758190389</v>
      </c>
      <c r="AZ10" s="37">
        <f t="shared" si="32"/>
        <v>1.2450101763465078</v>
      </c>
      <c r="BA10" s="37">
        <f t="shared" si="32"/>
        <v>1.1782946561148491</v>
      </c>
      <c r="BB10" s="37">
        <f>BB5/BB7</f>
        <v>0.3741050502622143</v>
      </c>
      <c r="BC10" s="37">
        <f>BC4/BC7</f>
        <v>2.1545728208072714</v>
      </c>
    </row>
    <row r="11" spans="3:62" x14ac:dyDescent="0.3">
      <c r="C11" s="1">
        <v>19.059999999999999</v>
      </c>
      <c r="D11" s="1">
        <v>4.1500000000000004</v>
      </c>
      <c r="E11" s="1">
        <v>44.3</v>
      </c>
      <c r="F11" s="1">
        <v>203.9</v>
      </c>
      <c r="G11" s="1">
        <v>731.31</v>
      </c>
      <c r="H11" s="1">
        <v>20.95</v>
      </c>
      <c r="I11" s="1">
        <v>94.5</v>
      </c>
      <c r="J11" s="1">
        <v>81.540000000000006</v>
      </c>
      <c r="K11" s="1">
        <v>213.4</v>
      </c>
      <c r="L11" s="1">
        <v>158.96</v>
      </c>
      <c r="M11" s="1">
        <v>17.55</v>
      </c>
      <c r="O11" s="1">
        <v>16.6815</v>
      </c>
      <c r="P11" s="1">
        <v>1.0658513922608879</v>
      </c>
      <c r="Q11" s="1">
        <v>0.13772142792914308</v>
      </c>
      <c r="R11" s="1">
        <v>0.72519999999999996</v>
      </c>
      <c r="T11" s="28">
        <v>19.059999999999999</v>
      </c>
      <c r="U11" s="29">
        <f t="shared" si="9"/>
        <v>0.57154392590594383</v>
      </c>
      <c r="V11" s="28">
        <v>44.3</v>
      </c>
      <c r="W11" s="28">
        <v>203.9</v>
      </c>
      <c r="X11" s="28">
        <v>731.31</v>
      </c>
      <c r="Y11" s="29">
        <f t="shared" si="10"/>
        <v>22.308602340830149</v>
      </c>
      <c r="Z11" s="29">
        <f t="shared" si="11"/>
        <v>100.7229565686539</v>
      </c>
      <c r="AA11" s="29">
        <f t="shared" si="12"/>
        <v>59.132808000000004</v>
      </c>
      <c r="AB11" s="29">
        <f t="shared" si="13"/>
        <v>227.45268710847347</v>
      </c>
      <c r="AC11" s="29">
        <f t="shared" si="14"/>
        <v>9.5291190840152264</v>
      </c>
      <c r="AD11" s="29">
        <f t="shared" si="15"/>
        <v>18.705691934178581</v>
      </c>
      <c r="AF11">
        <f t="shared" si="18"/>
        <v>-3.7373737373737503E-2</v>
      </c>
      <c r="AG11">
        <f t="shared" si="19"/>
        <v>3.0728418542993907E-2</v>
      </c>
      <c r="AH11">
        <f t="shared" si="20"/>
        <v>-1.3143239028737042E-2</v>
      </c>
      <c r="AI11">
        <f t="shared" si="21"/>
        <v>8.1083753584496598E-3</v>
      </c>
      <c r="AJ11">
        <f t="shared" si="22"/>
        <v>-1.4200860244419911E-3</v>
      </c>
      <c r="AK11">
        <f t="shared" si="23"/>
        <v>-4.2712168832872432E-3</v>
      </c>
      <c r="AL11">
        <f t="shared" si="24"/>
        <v>-1.4699059118095659E-2</v>
      </c>
      <c r="AM11">
        <f t="shared" si="25"/>
        <v>-6.1893998435390563E-3</v>
      </c>
      <c r="AN11">
        <f t="shared" si="26"/>
        <v>7.550623703855841E-3</v>
      </c>
      <c r="AO11">
        <f t="shared" si="27"/>
        <v>-2.298102628136911E-2</v>
      </c>
      <c r="AP11">
        <f t="shared" si="28"/>
        <v>1.5698652972053528E-2</v>
      </c>
      <c r="AR11" s="28" t="s">
        <v>763</v>
      </c>
      <c r="AS11" s="37">
        <f>AS8/AS7</f>
        <v>0.63070892822142111</v>
      </c>
      <c r="AT11" s="37">
        <f>AT8/AT7</f>
        <v>0.45234372926001526</v>
      </c>
      <c r="AU11" s="37">
        <f t="shared" ref="AU11:BC11" si="33">AU8/AU7</f>
        <v>1.2563798144724434</v>
      </c>
      <c r="AV11" s="37">
        <f t="shared" si="33"/>
        <v>0.57534565627398326</v>
      </c>
      <c r="AW11" s="37">
        <f t="shared" si="33"/>
        <v>0.8964762210896362</v>
      </c>
      <c r="AX11" s="37">
        <f t="shared" si="33"/>
        <v>1.5847565676076321</v>
      </c>
      <c r="AY11" s="37">
        <f t="shared" si="33"/>
        <v>1.2197668062722051</v>
      </c>
      <c r="AZ11" s="37">
        <f t="shared" si="33"/>
        <v>0.90182303491637483</v>
      </c>
      <c r="BA11" s="37">
        <f t="shared" si="33"/>
        <v>0.84475521201331083</v>
      </c>
      <c r="BB11" s="37">
        <f>BB8/BB7</f>
        <v>-0.33541046166227517</v>
      </c>
      <c r="BC11" s="37">
        <f t="shared" si="33"/>
        <v>1.6498991291075256</v>
      </c>
    </row>
    <row r="12" spans="3:62" x14ac:dyDescent="0.3">
      <c r="C12" s="1">
        <v>17.77</v>
      </c>
      <c r="D12" s="1">
        <v>4.18</v>
      </c>
      <c r="E12" s="1">
        <v>45.13</v>
      </c>
      <c r="F12" s="1">
        <v>206.59</v>
      </c>
      <c r="G12" s="1">
        <v>718.28</v>
      </c>
      <c r="H12" s="1">
        <v>21.16</v>
      </c>
      <c r="I12" s="1">
        <v>93.14</v>
      </c>
      <c r="J12" s="1">
        <v>81.290000000000006</v>
      </c>
      <c r="K12" s="1">
        <v>211.9</v>
      </c>
      <c r="L12" s="1">
        <v>158.38999999999999</v>
      </c>
      <c r="M12" s="1">
        <v>17.420000000000002</v>
      </c>
      <c r="O12" s="1">
        <v>17.025200000000002</v>
      </c>
      <c r="P12" s="1">
        <v>1.0627011723797664</v>
      </c>
      <c r="Q12" s="1">
        <v>0.13753729765289099</v>
      </c>
      <c r="R12" s="1">
        <v>0.72299999999999998</v>
      </c>
      <c r="T12" s="28">
        <v>17.77</v>
      </c>
      <c r="U12" s="29">
        <f t="shared" si="9"/>
        <v>0.57490590418908427</v>
      </c>
      <c r="V12" s="28">
        <v>45.13</v>
      </c>
      <c r="W12" s="28">
        <v>206.59</v>
      </c>
      <c r="X12" s="28">
        <v>718.28</v>
      </c>
      <c r="Y12" s="29">
        <f t="shared" si="10"/>
        <v>22.553415460240387</v>
      </c>
      <c r="Z12" s="29">
        <f t="shared" si="11"/>
        <v>98.979987195451443</v>
      </c>
      <c r="AA12" s="29">
        <f t="shared" si="12"/>
        <v>58.772670000000005</v>
      </c>
      <c r="AB12" s="29">
        <f t="shared" si="13"/>
        <v>225.1863784272725</v>
      </c>
      <c r="AC12" s="29">
        <f t="shared" si="14"/>
        <v>9.3032680967037074</v>
      </c>
      <c r="AD12" s="29">
        <f t="shared" si="15"/>
        <v>18.512254422855531</v>
      </c>
      <c r="AF12">
        <f t="shared" si="18"/>
        <v>-6.768100734522553E-2</v>
      </c>
      <c r="AG12">
        <f t="shared" si="19"/>
        <v>5.8822745387616671E-3</v>
      </c>
      <c r="AH12">
        <f t="shared" si="20"/>
        <v>1.8735891647855718E-2</v>
      </c>
      <c r="AI12">
        <f t="shared" si="21"/>
        <v>1.3192741539970632E-2</v>
      </c>
      <c r="AJ12">
        <f t="shared" si="22"/>
        <v>-1.7817341483091997E-2</v>
      </c>
      <c r="AK12">
        <f t="shared" si="23"/>
        <v>1.0973933537834046E-2</v>
      </c>
      <c r="AL12">
        <f t="shared" si="24"/>
        <v>-1.7304589068674048E-2</v>
      </c>
      <c r="AM12">
        <f t="shared" si="25"/>
        <v>-6.0903246806747191E-3</v>
      </c>
      <c r="AN12">
        <f t="shared" si="26"/>
        <v>-9.9638685742153843E-3</v>
      </c>
      <c r="AO12">
        <f t="shared" si="27"/>
        <v>-2.3701140191476511E-2</v>
      </c>
      <c r="AP12">
        <f t="shared" si="28"/>
        <v>-1.0341104301499038E-2</v>
      </c>
    </row>
    <row r="13" spans="3:62" x14ac:dyDescent="0.3">
      <c r="C13" s="1">
        <v>17.71</v>
      </c>
      <c r="D13" s="1">
        <v>4.28</v>
      </c>
      <c r="E13" s="1">
        <v>45.18</v>
      </c>
      <c r="F13" s="1">
        <v>208.35</v>
      </c>
      <c r="G13" s="1">
        <v>715.97</v>
      </c>
      <c r="H13" s="1">
        <v>21.61</v>
      </c>
      <c r="I13" s="1">
        <v>92.32</v>
      </c>
      <c r="J13" s="1">
        <v>81.569999999999993</v>
      </c>
      <c r="K13" s="1">
        <v>217.4</v>
      </c>
      <c r="L13" s="1">
        <v>155.66</v>
      </c>
      <c r="M13" s="1">
        <v>17.145</v>
      </c>
      <c r="O13" s="1">
        <v>16.994800000000001</v>
      </c>
      <c r="P13" s="1">
        <v>1.0640019300021182</v>
      </c>
      <c r="Q13" s="1">
        <v>0.13783627933250167</v>
      </c>
      <c r="R13" s="1">
        <v>0.72599999999999998</v>
      </c>
      <c r="T13" s="28">
        <v>17.71</v>
      </c>
      <c r="U13" s="29">
        <f t="shared" si="9"/>
        <v>0.58993927554310721</v>
      </c>
      <c r="V13" s="28">
        <v>45.18</v>
      </c>
      <c r="W13" s="28">
        <v>208.35</v>
      </c>
      <c r="X13" s="28">
        <v>715.97</v>
      </c>
      <c r="Y13" s="29">
        <f t="shared" si="10"/>
        <v>22.964972335126749</v>
      </c>
      <c r="Z13" s="29">
        <f t="shared" si="11"/>
        <v>98.228658177795538</v>
      </c>
      <c r="AA13" s="29">
        <f t="shared" si="12"/>
        <v>59.219819999999991</v>
      </c>
      <c r="AB13" s="29">
        <f t="shared" si="13"/>
        <v>231.3140195824605</v>
      </c>
      <c r="AC13" s="29">
        <f t="shared" si="14"/>
        <v>9.1592722479817343</v>
      </c>
      <c r="AD13" s="29">
        <f t="shared" si="15"/>
        <v>18.242313089886316</v>
      </c>
      <c r="AF13">
        <f t="shared" si="18"/>
        <v>-3.3764772087787609E-3</v>
      </c>
      <c r="AG13">
        <f t="shared" si="19"/>
        <v>2.6149272854012251E-2</v>
      </c>
      <c r="AH13">
        <f t="shared" si="20"/>
        <v>1.1079104808331408E-3</v>
      </c>
      <c r="AI13">
        <f t="shared" si="21"/>
        <v>8.5192894138148567E-3</v>
      </c>
      <c r="AJ13">
        <f t="shared" si="22"/>
        <v>-3.2160160383136738E-3</v>
      </c>
      <c r="AK13">
        <f t="shared" si="23"/>
        <v>1.8248095310082757E-2</v>
      </c>
      <c r="AL13">
        <f t="shared" si="24"/>
        <v>-7.5907164563709939E-3</v>
      </c>
      <c r="AM13">
        <f t="shared" si="25"/>
        <v>7.6081280636048909E-3</v>
      </c>
      <c r="AN13">
        <f t="shared" si="26"/>
        <v>2.7211420148874677E-2</v>
      </c>
      <c r="AO13">
        <f t="shared" si="27"/>
        <v>-1.5477985501997193E-2</v>
      </c>
      <c r="AP13">
        <f t="shared" si="28"/>
        <v>-1.4581764424971388E-2</v>
      </c>
      <c r="AR13" t="s">
        <v>761</v>
      </c>
    </row>
    <row r="14" spans="3:62" x14ac:dyDescent="0.3">
      <c r="C14" s="1">
        <v>17.95</v>
      </c>
      <c r="D14" s="1">
        <v>4.3</v>
      </c>
      <c r="E14" s="1">
        <v>44.86</v>
      </c>
      <c r="F14" s="1">
        <v>209.12</v>
      </c>
      <c r="G14" s="1">
        <v>715.19</v>
      </c>
      <c r="H14" s="1">
        <v>21.75</v>
      </c>
      <c r="I14" s="1">
        <v>93.74</v>
      </c>
      <c r="J14" s="1">
        <v>81.83</v>
      </c>
      <c r="K14" s="1">
        <v>224.1</v>
      </c>
      <c r="L14" s="1">
        <v>159.27000000000001</v>
      </c>
      <c r="M14" s="1">
        <v>17.234999999999999</v>
      </c>
      <c r="O14" s="1">
        <v>17.1145</v>
      </c>
      <c r="P14" s="1">
        <v>1.067597651114552</v>
      </c>
      <c r="Q14" s="1">
        <v>0.13798825557275995</v>
      </c>
      <c r="R14" s="1">
        <v>0.72629999999999995</v>
      </c>
      <c r="T14" s="28">
        <v>17.95</v>
      </c>
      <c r="U14" s="29">
        <f t="shared" si="9"/>
        <v>0.59334949896286782</v>
      </c>
      <c r="V14" s="28">
        <v>44.86</v>
      </c>
      <c r="W14" s="28">
        <v>209.12</v>
      </c>
      <c r="X14" s="28">
        <v>715.19</v>
      </c>
      <c r="Y14" s="29">
        <f t="shared" si="10"/>
        <v>23.142041977546072</v>
      </c>
      <c r="Z14" s="29">
        <f t="shared" si="11"/>
        <v>100.07660381547809</v>
      </c>
      <c r="AA14" s="29">
        <f t="shared" si="12"/>
        <v>59.433128999999994</v>
      </c>
      <c r="AB14" s="29">
        <f t="shared" si="13"/>
        <v>239.24863361477108</v>
      </c>
      <c r="AC14" s="29">
        <f t="shared" si="14"/>
        <v>9.3061439130561805</v>
      </c>
      <c r="AD14" s="29">
        <f t="shared" si="15"/>
        <v>18.400045516959302</v>
      </c>
      <c r="AF14">
        <f t="shared" si="18"/>
        <v>1.3551665725578754E-2</v>
      </c>
      <c r="AG14">
        <f t="shared" si="19"/>
        <v>5.7806346536617426E-3</v>
      </c>
      <c r="AH14">
        <f t="shared" si="20"/>
        <v>-7.0827799911464817E-3</v>
      </c>
      <c r="AI14">
        <f t="shared" si="21"/>
        <v>3.6957043436525172E-3</v>
      </c>
      <c r="AJ14">
        <f t="shared" si="22"/>
        <v>-1.0894311214156849E-3</v>
      </c>
      <c r="AK14">
        <f t="shared" si="23"/>
        <v>7.7104226312731949E-3</v>
      </c>
      <c r="AL14">
        <f t="shared" si="24"/>
        <v>1.8812693484397736E-2</v>
      </c>
      <c r="AM14">
        <f t="shared" si="25"/>
        <v>3.6019866321781446E-3</v>
      </c>
      <c r="AN14">
        <f t="shared" si="26"/>
        <v>3.4302348152667861E-2</v>
      </c>
      <c r="AO14">
        <f t="shared" si="27"/>
        <v>1.6035298558442657E-2</v>
      </c>
      <c r="AP14">
        <f t="shared" si="28"/>
        <v>8.646514633083191E-3</v>
      </c>
      <c r="AR14" s="1" t="s">
        <v>2325</v>
      </c>
      <c r="AS14" s="3">
        <v>9.9299999999999999E-2</v>
      </c>
      <c r="AT14" s="1" t="s">
        <v>14</v>
      </c>
    </row>
    <row r="15" spans="3:62" x14ac:dyDescent="0.3">
      <c r="C15" s="1">
        <v>18.739999999999998</v>
      </c>
      <c r="D15" s="1">
        <v>4.32</v>
      </c>
      <c r="E15" s="1">
        <v>45</v>
      </c>
      <c r="F15" s="1">
        <v>209.75</v>
      </c>
      <c r="G15" s="1">
        <v>711.25</v>
      </c>
      <c r="H15" s="1">
        <v>21.77</v>
      </c>
      <c r="I15" s="1">
        <v>93.64</v>
      </c>
      <c r="J15" s="1">
        <v>82.28</v>
      </c>
      <c r="K15" s="1">
        <v>223.5</v>
      </c>
      <c r="L15" s="1">
        <v>159.91999999999999</v>
      </c>
      <c r="M15" s="1">
        <v>17.11</v>
      </c>
      <c r="O15" s="1">
        <v>17.212</v>
      </c>
      <c r="P15" s="1">
        <v>1.064751336277016</v>
      </c>
      <c r="Q15" s="1">
        <v>0.13792702765512435</v>
      </c>
      <c r="R15" s="1">
        <v>0.7268</v>
      </c>
      <c r="T15" s="28">
        <v>18.739999999999998</v>
      </c>
      <c r="U15" s="29">
        <f t="shared" si="9"/>
        <v>0.59584475947013726</v>
      </c>
      <c r="V15" s="28">
        <v>45</v>
      </c>
      <c r="W15" s="28">
        <v>209.75</v>
      </c>
      <c r="X15" s="28">
        <v>711.25</v>
      </c>
      <c r="Y15" s="29">
        <f t="shared" si="10"/>
        <v>23.241600864763797</v>
      </c>
      <c r="Z15" s="29">
        <f t="shared" si="11"/>
        <v>99.703315128979781</v>
      </c>
      <c r="AA15" s="29">
        <f t="shared" si="12"/>
        <v>59.801104000000002</v>
      </c>
      <c r="AB15" s="29">
        <f t="shared" si="13"/>
        <v>237.97192365791307</v>
      </c>
      <c r="AC15" s="29">
        <f t="shared" si="14"/>
        <v>9.2911921914943054</v>
      </c>
      <c r="AD15" s="29">
        <f t="shared" si="15"/>
        <v>18.217895363699743</v>
      </c>
      <c r="AF15">
        <f t="shared" si="18"/>
        <v>4.4011142061281205E-2</v>
      </c>
      <c r="AG15">
        <f t="shared" si="19"/>
        <v>4.2053806595117038E-3</v>
      </c>
      <c r="AH15">
        <f t="shared" si="20"/>
        <v>3.1208203299153414E-3</v>
      </c>
      <c r="AI15">
        <f t="shared" si="21"/>
        <v>3.0126243305279576E-3</v>
      </c>
      <c r="AJ15">
        <f t="shared" si="22"/>
        <v>-5.5090255736238714E-3</v>
      </c>
      <c r="AK15">
        <f t="shared" si="23"/>
        <v>4.302078758405381E-3</v>
      </c>
      <c r="AL15">
        <f t="shared" si="24"/>
        <v>-3.7300295200523026E-3</v>
      </c>
      <c r="AM15">
        <f t="shared" si="25"/>
        <v>6.1914122004245176E-3</v>
      </c>
      <c r="AN15">
        <f t="shared" si="26"/>
        <v>-5.3363312365399818E-3</v>
      </c>
      <c r="AO15">
        <f t="shared" si="27"/>
        <v>-1.6066505849859913E-3</v>
      </c>
      <c r="AP15">
        <f t="shared" si="28"/>
        <v>-9.8994403623443583E-3</v>
      </c>
    </row>
    <row r="16" spans="3:62" x14ac:dyDescent="0.3">
      <c r="C16" s="1">
        <v>18.920000000000002</v>
      </c>
      <c r="D16" s="1">
        <v>4.24</v>
      </c>
      <c r="E16" s="1">
        <v>45.14</v>
      </c>
      <c r="F16" s="1">
        <v>214.69</v>
      </c>
      <c r="G16" s="1">
        <v>709.51</v>
      </c>
      <c r="H16" s="1">
        <v>21.67</v>
      </c>
      <c r="I16" s="1">
        <v>93.1</v>
      </c>
      <c r="J16" s="1">
        <v>84.12</v>
      </c>
      <c r="K16" s="1">
        <v>220.1</v>
      </c>
      <c r="L16" s="1">
        <v>162.9</v>
      </c>
      <c r="M16" s="1">
        <v>16.934999999999999</v>
      </c>
      <c r="O16" s="1">
        <v>17.124300000000002</v>
      </c>
      <c r="P16" s="1">
        <v>1.0650479143673024</v>
      </c>
      <c r="Q16" s="1">
        <v>0.13795016438628147</v>
      </c>
      <c r="R16" s="1">
        <v>0.7298</v>
      </c>
      <c r="T16" s="28">
        <v>18.920000000000002</v>
      </c>
      <c r="U16" s="29">
        <f t="shared" si="9"/>
        <v>0.58490869699783343</v>
      </c>
      <c r="V16" s="28">
        <v>45.14</v>
      </c>
      <c r="W16" s="28">
        <v>214.69</v>
      </c>
      <c r="X16" s="28">
        <v>709.51</v>
      </c>
      <c r="Y16" s="29">
        <f t="shared" si="10"/>
        <v>23.073161457122939</v>
      </c>
      <c r="Z16" s="29">
        <f t="shared" si="11"/>
        <v>99.155960827595848</v>
      </c>
      <c r="AA16" s="29">
        <f t="shared" si="12"/>
        <v>61.390776000000002</v>
      </c>
      <c r="AB16" s="29">
        <f t="shared" si="13"/>
        <v>234.41704595224326</v>
      </c>
      <c r="AC16" s="29">
        <f t="shared" si="14"/>
        <v>9.5127976034056854</v>
      </c>
      <c r="AD16" s="29">
        <f t="shared" si="15"/>
        <v>18.036586429810264</v>
      </c>
      <c r="AF16">
        <f t="shared" si="18"/>
        <v>9.605122732123883E-3</v>
      </c>
      <c r="AG16">
        <f t="shared" si="19"/>
        <v>-1.8353878755313469E-2</v>
      </c>
      <c r="AH16">
        <f t="shared" si="20"/>
        <v>3.1111111111110645E-3</v>
      </c>
      <c r="AI16">
        <f t="shared" si="21"/>
        <v>2.3551847437425444E-2</v>
      </c>
      <c r="AJ16">
        <f t="shared" si="22"/>
        <v>-2.4463971880491764E-3</v>
      </c>
      <c r="AK16">
        <f t="shared" si="23"/>
        <v>-7.2473238233871085E-3</v>
      </c>
      <c r="AL16">
        <f t="shared" si="24"/>
        <v>-5.4898305104084111E-3</v>
      </c>
      <c r="AM16">
        <f t="shared" si="25"/>
        <v>2.6582653056037131E-2</v>
      </c>
      <c r="AN16">
        <f t="shared" si="26"/>
        <v>-1.4938223177873633E-2</v>
      </c>
      <c r="AO16">
        <f t="shared" si="27"/>
        <v>2.3851127750241785E-2</v>
      </c>
      <c r="AP16">
        <f t="shared" si="28"/>
        <v>-9.9522436741374953E-3</v>
      </c>
      <c r="AS16" s="44" t="s">
        <v>2326</v>
      </c>
      <c r="AW16" s="57" t="s">
        <v>755</v>
      </c>
      <c r="AX16" s="57">
        <v>603336</v>
      </c>
      <c r="AY16" s="57" t="s">
        <v>1169</v>
      </c>
      <c r="AZ16" s="57" t="s">
        <v>756</v>
      </c>
      <c r="BA16" s="57" t="s">
        <v>757</v>
      </c>
      <c r="BB16" s="57" t="s">
        <v>758</v>
      </c>
      <c r="BC16" s="57" t="s">
        <v>759</v>
      </c>
      <c r="BD16" s="57" t="s">
        <v>1512</v>
      </c>
      <c r="BE16" s="57" t="s">
        <v>760</v>
      </c>
      <c r="BF16" s="57" t="s">
        <v>1918</v>
      </c>
      <c r="BG16" s="58" t="s">
        <v>2307</v>
      </c>
      <c r="BI16" s="60" t="s">
        <v>755</v>
      </c>
      <c r="BJ16" s="38">
        <v>1</v>
      </c>
    </row>
    <row r="17" spans="3:62" x14ac:dyDescent="0.3">
      <c r="C17" s="1">
        <v>18.79</v>
      </c>
      <c r="D17" s="1">
        <v>4.34</v>
      </c>
      <c r="E17" s="1">
        <v>44.04</v>
      </c>
      <c r="F17" s="1">
        <v>213</v>
      </c>
      <c r="G17" s="1">
        <v>715.46</v>
      </c>
      <c r="H17" s="1">
        <v>21.85</v>
      </c>
      <c r="I17" s="1">
        <v>95.22</v>
      </c>
      <c r="J17" s="1">
        <v>84.08</v>
      </c>
      <c r="K17" s="1">
        <v>223.4</v>
      </c>
      <c r="L17" s="1">
        <v>160.25</v>
      </c>
      <c r="M17" s="1">
        <v>17.055</v>
      </c>
      <c r="O17" s="1">
        <v>16.999500000000001</v>
      </c>
      <c r="P17" s="1">
        <v>1.0656019294685137</v>
      </c>
      <c r="Q17" s="1">
        <v>0.13762757728168473</v>
      </c>
      <c r="R17" s="1">
        <v>0.73180000000000001</v>
      </c>
      <c r="T17" s="28">
        <v>18.79</v>
      </c>
      <c r="U17" s="29">
        <f t="shared" si="9"/>
        <v>0.59730368540251166</v>
      </c>
      <c r="V17" s="28">
        <v>44.04</v>
      </c>
      <c r="W17" s="28">
        <v>213</v>
      </c>
      <c r="X17" s="28">
        <v>715.46</v>
      </c>
      <c r="Y17" s="29">
        <f t="shared" si="10"/>
        <v>23.271296928925558</v>
      </c>
      <c r="Z17" s="29">
        <f t="shared" si="11"/>
        <v>101.46661572399188</v>
      </c>
      <c r="AA17" s="29">
        <f t="shared" si="12"/>
        <v>61.529744000000001</v>
      </c>
      <c r="AB17" s="29">
        <f t="shared" si="13"/>
        <v>238.05547104326598</v>
      </c>
      <c r="AC17" s="29">
        <f t="shared" si="14"/>
        <v>9.4267478455248686</v>
      </c>
      <c r="AD17" s="29">
        <f t="shared" si="15"/>
        <v>18.173840907085502</v>
      </c>
      <c r="AF17">
        <f t="shared" si="18"/>
        <v>-6.871035940803516E-3</v>
      </c>
      <c r="AG17">
        <f t="shared" si="19"/>
        <v>2.1191321770898774E-2</v>
      </c>
      <c r="AH17">
        <f t="shared" si="20"/>
        <v>-2.436863092600805E-2</v>
      </c>
      <c r="AI17">
        <f t="shared" si="21"/>
        <v>-7.8718151753691679E-3</v>
      </c>
      <c r="AJ17">
        <f t="shared" si="22"/>
        <v>8.3860692590662644E-3</v>
      </c>
      <c r="AK17">
        <f t="shared" si="23"/>
        <v>8.5872702000899803E-3</v>
      </c>
      <c r="AL17">
        <f t="shared" si="24"/>
        <v>2.3303237416191225E-2</v>
      </c>
      <c r="AM17">
        <f t="shared" si="25"/>
        <v>2.2636625410956679E-3</v>
      </c>
      <c r="AN17">
        <f t="shared" si="26"/>
        <v>1.5521162619564599E-2</v>
      </c>
      <c r="AO17">
        <f t="shared" si="27"/>
        <v>-9.0456836640789851E-3</v>
      </c>
      <c r="AP17">
        <f t="shared" si="28"/>
        <v>7.6097812526425557E-3</v>
      </c>
      <c r="AR17" s="41" t="s">
        <v>755</v>
      </c>
      <c r="AS17" s="45">
        <v>0.30026231949682225</v>
      </c>
      <c r="AV17" s="41" t="s">
        <v>755</v>
      </c>
      <c r="AW17" s="48" cm="1">
        <f t="array" ref="AW17:BG27">matriz_covarianza_anual($AF$6:$AP$256,11)</f>
        <v>0.10152460575476999</v>
      </c>
      <c r="AX17" s="49">
        <v>-4.875807954247597E-3</v>
      </c>
      <c r="AY17" s="49">
        <v>4.1103792637362004E-3</v>
      </c>
      <c r="AZ17" s="49">
        <v>2.7790253569047055E-3</v>
      </c>
      <c r="BA17" s="49">
        <v>3.1631318879509537E-3</v>
      </c>
      <c r="BB17" s="49">
        <v>-2.6866809842425827E-3</v>
      </c>
      <c r="BC17" s="49">
        <v>-4.2410551071511652E-3</v>
      </c>
      <c r="BD17" s="49">
        <v>1.3594909826353448E-2</v>
      </c>
      <c r="BE17" s="49">
        <v>1.6192108624642015E-3</v>
      </c>
      <c r="BF17" s="49">
        <v>6.6994560203399688E-3</v>
      </c>
      <c r="BG17" s="50">
        <v>3.8770701302250515E-5</v>
      </c>
      <c r="BI17" s="61">
        <v>603336</v>
      </c>
      <c r="BJ17" s="39">
        <v>1</v>
      </c>
    </row>
    <row r="18" spans="3:62" x14ac:dyDescent="0.3">
      <c r="C18" s="1">
        <v>19.72</v>
      </c>
      <c r="D18" s="1">
        <v>4.1900000000000004</v>
      </c>
      <c r="E18" s="1">
        <v>43.91</v>
      </c>
      <c r="F18" s="1">
        <v>214.02</v>
      </c>
      <c r="G18" s="1">
        <v>722.68</v>
      </c>
      <c r="H18" s="1">
        <v>21.79</v>
      </c>
      <c r="I18" s="1">
        <v>96.4</v>
      </c>
      <c r="J18" s="1">
        <v>83.86</v>
      </c>
      <c r="K18" s="1">
        <v>225.1</v>
      </c>
      <c r="L18" s="1">
        <v>163.33000000000001</v>
      </c>
      <c r="M18" s="1">
        <v>17.135000000000002</v>
      </c>
      <c r="O18" s="1">
        <v>17.1098</v>
      </c>
      <c r="P18" s="1">
        <v>1.0688494313200623</v>
      </c>
      <c r="Q18" s="1">
        <v>0.13760534898128557</v>
      </c>
      <c r="R18" s="1">
        <v>0.72960000000000003</v>
      </c>
      <c r="T18" s="28">
        <v>19.72</v>
      </c>
      <c r="U18" s="29">
        <f t="shared" si="9"/>
        <v>0.57656641223158656</v>
      </c>
      <c r="V18" s="28">
        <v>43.91</v>
      </c>
      <c r="W18" s="28">
        <v>214.02</v>
      </c>
      <c r="X18" s="28">
        <v>722.68</v>
      </c>
      <c r="Y18" s="29">
        <f t="shared" si="10"/>
        <v>23.219466043118913</v>
      </c>
      <c r="Z18" s="29">
        <f t="shared" si="11"/>
        <v>103.03708517925401</v>
      </c>
      <c r="AA18" s="29">
        <f t="shared" si="12"/>
        <v>61.184256000000005</v>
      </c>
      <c r="AB18" s="29">
        <f t="shared" si="13"/>
        <v>240.59800699014602</v>
      </c>
      <c r="AC18" s="29">
        <f t="shared" si="14"/>
        <v>9.5459911863376554</v>
      </c>
      <c r="AD18" s="29">
        <f t="shared" si="15"/>
        <v>18.31473500566927</v>
      </c>
      <c r="AF18">
        <f t="shared" si="18"/>
        <v>4.9494411921234605E-2</v>
      </c>
      <c r="AG18">
        <f t="shared" si="19"/>
        <v>-3.471814033250209E-2</v>
      </c>
      <c r="AH18">
        <f t="shared" si="20"/>
        <v>-2.9518619436875726E-3</v>
      </c>
      <c r="AI18">
        <f t="shared" si="21"/>
        <v>4.7887323943662796E-3</v>
      </c>
      <c r="AJ18">
        <f t="shared" si="22"/>
        <v>1.0091409722416289E-2</v>
      </c>
      <c r="AK18">
        <f t="shared" si="23"/>
        <v>-2.2272452611878935E-3</v>
      </c>
      <c r="AL18">
        <f t="shared" si="24"/>
        <v>1.5477696226058102E-2</v>
      </c>
      <c r="AM18">
        <f t="shared" si="25"/>
        <v>-5.6149754174175115E-3</v>
      </c>
      <c r="AN18">
        <f t="shared" si="26"/>
        <v>1.068043484040726E-2</v>
      </c>
      <c r="AO18">
        <f t="shared" si="27"/>
        <v>1.2649467532898306E-2</v>
      </c>
      <c r="AP18">
        <f t="shared" si="28"/>
        <v>7.752576866062233E-3</v>
      </c>
      <c r="AR18" s="42">
        <v>603336</v>
      </c>
      <c r="AS18" s="46">
        <v>0.36461979694015123</v>
      </c>
      <c r="AV18" s="42">
        <v>603336</v>
      </c>
      <c r="AW18" s="51">
        <v>-4.875807954247597E-3</v>
      </c>
      <c r="AX18" s="52">
        <v>0.34403463313874166</v>
      </c>
      <c r="AY18" s="52">
        <v>2.2310581298952861E-3</v>
      </c>
      <c r="AZ18" s="52">
        <v>6.1297362444695169E-3</v>
      </c>
      <c r="BA18" s="52">
        <v>-1.5917846859166437E-3</v>
      </c>
      <c r="BB18" s="52">
        <v>-3.5187132287316726E-3</v>
      </c>
      <c r="BC18" s="52">
        <v>-1.1284941100891307E-2</v>
      </c>
      <c r="BD18" s="52">
        <v>-1.1774625300419806E-3</v>
      </c>
      <c r="BE18" s="52">
        <v>2.7954814786357992E-3</v>
      </c>
      <c r="BF18" s="52">
        <v>6.1529582405273767E-3</v>
      </c>
      <c r="BG18" s="53">
        <v>-1.2483626680103545E-3</v>
      </c>
      <c r="BI18" s="61" t="s">
        <v>1169</v>
      </c>
      <c r="BJ18" s="39">
        <v>1</v>
      </c>
    </row>
    <row r="19" spans="3:62" x14ac:dyDescent="0.3">
      <c r="C19" s="1">
        <v>19.260000000000002</v>
      </c>
      <c r="D19" s="1">
        <v>4.1500000000000004</v>
      </c>
      <c r="E19" s="1">
        <v>43.86</v>
      </c>
      <c r="F19" s="1">
        <v>212.2</v>
      </c>
      <c r="G19" s="1">
        <v>723.89</v>
      </c>
      <c r="H19" s="1">
        <v>21.49</v>
      </c>
      <c r="I19" s="1">
        <v>94.64</v>
      </c>
      <c r="J19" s="1">
        <v>83.58</v>
      </c>
      <c r="K19" s="1">
        <v>226.6</v>
      </c>
      <c r="L19" s="1">
        <v>170.01</v>
      </c>
      <c r="M19" s="1">
        <v>17.100000000000001</v>
      </c>
      <c r="O19" s="1">
        <v>17.188300000000002</v>
      </c>
      <c r="P19" s="1">
        <v>1.0724504459428796</v>
      </c>
      <c r="Q19" s="1">
        <v>0.13765759266477776</v>
      </c>
      <c r="R19" s="1">
        <v>0.73219999999999996</v>
      </c>
      <c r="T19" s="28">
        <v>19.260000000000002</v>
      </c>
      <c r="U19" s="29">
        <f t="shared" si="9"/>
        <v>0.57127900955882771</v>
      </c>
      <c r="V19" s="28">
        <v>43.86</v>
      </c>
      <c r="W19" s="28">
        <v>212.2</v>
      </c>
      <c r="X19" s="28">
        <v>723.89</v>
      </c>
      <c r="Y19" s="29">
        <f t="shared" si="10"/>
        <v>22.969574279068137</v>
      </c>
      <c r="Z19" s="29">
        <f t="shared" si="11"/>
        <v>101.49671020403413</v>
      </c>
      <c r="AA19" s="29">
        <f t="shared" si="12"/>
        <v>61.197275999999995</v>
      </c>
      <c r="AB19" s="29">
        <f t="shared" si="13"/>
        <v>243.01727105065652</v>
      </c>
      <c r="AC19" s="29">
        <f t="shared" si="14"/>
        <v>9.8910305265791258</v>
      </c>
      <c r="AD19" s="29">
        <f t="shared" si="15"/>
        <v>18.338902625623245</v>
      </c>
      <c r="AF19">
        <f t="shared" si="18"/>
        <v>-2.33265720081135E-2</v>
      </c>
      <c r="AG19">
        <f t="shared" si="19"/>
        <v>-9.1705006753586282E-3</v>
      </c>
      <c r="AH19">
        <f t="shared" si="20"/>
        <v>-1.1386927806876779E-3</v>
      </c>
      <c r="AI19">
        <f t="shared" si="21"/>
        <v>-8.5038781422297482E-3</v>
      </c>
      <c r="AJ19">
        <f t="shared" si="22"/>
        <v>1.6743233519678213E-3</v>
      </c>
      <c r="AK19">
        <f t="shared" si="23"/>
        <v>-1.0762166691806074E-2</v>
      </c>
      <c r="AL19">
        <f t="shared" si="24"/>
        <v>-1.494971419795188E-2</v>
      </c>
      <c r="AM19">
        <f t="shared" si="25"/>
        <v>2.1279984184152667E-4</v>
      </c>
      <c r="AN19">
        <f t="shared" si="26"/>
        <v>1.005521238839524E-2</v>
      </c>
      <c r="AO19">
        <f t="shared" si="27"/>
        <v>3.6144946449908177E-2</v>
      </c>
      <c r="AP19">
        <f t="shared" si="28"/>
        <v>1.3195724615449045E-3</v>
      </c>
      <c r="AR19" s="42" t="s">
        <v>1169</v>
      </c>
      <c r="AS19" s="46">
        <v>0.29465107152379427</v>
      </c>
      <c r="AV19" s="42" t="s">
        <v>1169</v>
      </c>
      <c r="AW19" s="51">
        <v>4.1103792637362004E-3</v>
      </c>
      <c r="AX19" s="52">
        <v>2.2310581298952861E-3</v>
      </c>
      <c r="AY19" s="52">
        <v>2.4176292143990721E-2</v>
      </c>
      <c r="AZ19" s="52">
        <v>1.0595472291295108E-3</v>
      </c>
      <c r="BA19" s="52">
        <v>5.2151231330952218E-3</v>
      </c>
      <c r="BB19" s="52">
        <v>-1.779758967983356E-5</v>
      </c>
      <c r="BC19" s="52">
        <v>-1.5919772359923282E-3</v>
      </c>
      <c r="BD19" s="52">
        <v>3.425927145320435E-3</v>
      </c>
      <c r="BE19" s="52">
        <v>9.9234810044571825E-4</v>
      </c>
      <c r="BF19" s="52">
        <v>9.0547687553195078E-3</v>
      </c>
      <c r="BG19" s="53">
        <v>1.5820947981153393E-3</v>
      </c>
      <c r="BI19" s="61" t="s">
        <v>756</v>
      </c>
      <c r="BJ19" s="39">
        <v>1</v>
      </c>
    </row>
    <row r="20" spans="3:62" x14ac:dyDescent="0.3">
      <c r="C20" s="1">
        <v>19</v>
      </c>
      <c r="D20" s="1">
        <v>4.04</v>
      </c>
      <c r="E20" s="1">
        <v>44.11</v>
      </c>
      <c r="F20" s="1">
        <v>210.07</v>
      </c>
      <c r="G20" s="1">
        <v>721.86</v>
      </c>
      <c r="H20" s="1">
        <v>21.73</v>
      </c>
      <c r="I20" s="1">
        <v>94.62</v>
      </c>
      <c r="J20" s="1">
        <v>84.76</v>
      </c>
      <c r="K20" s="1">
        <v>220.3</v>
      </c>
      <c r="L20" s="1">
        <v>171.17</v>
      </c>
      <c r="M20" s="1">
        <v>17.28</v>
      </c>
      <c r="O20" s="1">
        <v>17.155200000000001</v>
      </c>
      <c r="P20" s="1">
        <v>1.07285254616676</v>
      </c>
      <c r="Q20" s="1">
        <v>0.13773666293601938</v>
      </c>
      <c r="R20" s="1">
        <v>0.73140000000000005</v>
      </c>
      <c r="T20" s="28">
        <v>19</v>
      </c>
      <c r="U20" s="29">
        <f t="shared" si="9"/>
        <v>0.55645611826151831</v>
      </c>
      <c r="V20" s="28">
        <v>44.11</v>
      </c>
      <c r="W20" s="28">
        <v>210.07</v>
      </c>
      <c r="X20" s="28">
        <v>721.86</v>
      </c>
      <c r="Y20" s="29">
        <f t="shared" si="10"/>
        <v>23.304348190338775</v>
      </c>
      <c r="Z20" s="29">
        <f t="shared" si="11"/>
        <v>101.51330791829884</v>
      </c>
      <c r="AA20" s="29">
        <f t="shared" si="12"/>
        <v>61.99346400000001</v>
      </c>
      <c r="AB20" s="29">
        <f t="shared" si="13"/>
        <v>236.34941592053724</v>
      </c>
      <c r="AC20" s="29">
        <f t="shared" si="14"/>
        <v>9.9777326991232975</v>
      </c>
      <c r="AD20" s="29">
        <f t="shared" si="15"/>
        <v>18.538891997761613</v>
      </c>
      <c r="AF20">
        <f t="shared" si="18"/>
        <v>-1.3499480789200491E-2</v>
      </c>
      <c r="AG20">
        <f t="shared" si="19"/>
        <v>-2.5946850924483345E-2</v>
      </c>
      <c r="AH20">
        <f t="shared" si="20"/>
        <v>5.6999544003648595E-3</v>
      </c>
      <c r="AI20">
        <f t="shared" si="21"/>
        <v>-1.0037700282752082E-2</v>
      </c>
      <c r="AJ20">
        <f t="shared" si="22"/>
        <v>-2.8042934700023281E-3</v>
      </c>
      <c r="AK20">
        <f t="shared" si="23"/>
        <v>1.4574667653971751E-2</v>
      </c>
      <c r="AL20">
        <f t="shared" si="24"/>
        <v>1.6352957875520602E-4</v>
      </c>
      <c r="AM20">
        <f t="shared" si="25"/>
        <v>1.3010186924006462E-2</v>
      </c>
      <c r="AN20">
        <f t="shared" si="26"/>
        <v>-2.7437782925022525E-2</v>
      </c>
      <c r="AO20">
        <f t="shared" si="27"/>
        <v>8.7657370292393288E-3</v>
      </c>
      <c r="AP20">
        <f t="shared" si="28"/>
        <v>1.0905198430954277E-2</v>
      </c>
      <c r="AR20" s="42" t="s">
        <v>756</v>
      </c>
      <c r="AS20" s="46">
        <v>0.23839684950108822</v>
      </c>
      <c r="AV20" s="42" t="s">
        <v>756</v>
      </c>
      <c r="AW20" s="51">
        <v>2.7790253569047055E-3</v>
      </c>
      <c r="AX20" s="52">
        <v>6.1297362444695169E-3</v>
      </c>
      <c r="AY20" s="52">
        <v>1.0595472291295108E-3</v>
      </c>
      <c r="AZ20" s="52">
        <v>5.8448976375185223E-2</v>
      </c>
      <c r="BA20" s="52">
        <v>1.4286754426149325E-2</v>
      </c>
      <c r="BB20" s="52">
        <v>5.8214107190691271E-3</v>
      </c>
      <c r="BC20" s="52">
        <v>7.9727942045555947E-3</v>
      </c>
      <c r="BD20" s="52">
        <v>9.2576744091471645E-3</v>
      </c>
      <c r="BE20" s="52">
        <v>1.0725584029573246E-2</v>
      </c>
      <c r="BF20" s="52">
        <v>1.2623724018527783E-2</v>
      </c>
      <c r="BG20" s="53">
        <v>-1.3858108108738294E-3</v>
      </c>
      <c r="BI20" s="61" t="s">
        <v>757</v>
      </c>
      <c r="BJ20" s="39">
        <v>1</v>
      </c>
    </row>
    <row r="21" spans="3:62" x14ac:dyDescent="0.3">
      <c r="C21" s="1">
        <v>19.13</v>
      </c>
      <c r="D21" s="1">
        <v>3.64</v>
      </c>
      <c r="E21" s="1">
        <v>44.26</v>
      </c>
      <c r="F21" s="1">
        <v>208.03</v>
      </c>
      <c r="G21" s="1">
        <v>729.18</v>
      </c>
      <c r="H21" s="1">
        <v>21.66</v>
      </c>
      <c r="I21" s="1">
        <v>95.6</v>
      </c>
      <c r="J21" s="1">
        <v>85.23</v>
      </c>
      <c r="K21" s="1">
        <v>226.3</v>
      </c>
      <c r="L21" s="1">
        <v>171.4</v>
      </c>
      <c r="M21" s="1">
        <v>17.234999999999999</v>
      </c>
      <c r="O21" s="1">
        <v>17.0243</v>
      </c>
      <c r="P21" s="1">
        <v>1.0717973719917999</v>
      </c>
      <c r="Q21" s="1">
        <v>0.13790875395757829</v>
      </c>
      <c r="R21" s="1">
        <v>0.7319</v>
      </c>
      <c r="T21" s="28">
        <v>19.13</v>
      </c>
      <c r="U21" s="29">
        <f t="shared" si="9"/>
        <v>0.50198786440558496</v>
      </c>
      <c r="V21" s="28">
        <v>44.26</v>
      </c>
      <c r="W21" s="28">
        <v>208.03</v>
      </c>
      <c r="X21" s="28">
        <v>729.18</v>
      </c>
      <c r="Y21" s="29">
        <f t="shared" si="10"/>
        <v>23.23798614997202</v>
      </c>
      <c r="Z21" s="29">
        <f t="shared" si="11"/>
        <v>102.46382876241607</v>
      </c>
      <c r="AA21" s="29">
        <f t="shared" si="12"/>
        <v>62.379837000000002</v>
      </c>
      <c r="AB21" s="29">
        <f t="shared" si="13"/>
        <v>242.54774528174434</v>
      </c>
      <c r="AC21" s="29">
        <f t="shared" si="14"/>
        <v>10.06796167830689</v>
      </c>
      <c r="AD21" s="29">
        <f t="shared" si="15"/>
        <v>18.472427706278673</v>
      </c>
      <c r="AF21">
        <f t="shared" si="18"/>
        <v>6.8421052631577606E-3</v>
      </c>
      <c r="AG21">
        <f t="shared" si="19"/>
        <v>-9.7884185416279079E-2</v>
      </c>
      <c r="AH21">
        <f t="shared" si="20"/>
        <v>3.4005894355020327E-3</v>
      </c>
      <c r="AI21">
        <f t="shared" si="21"/>
        <v>-9.7110486980529487E-3</v>
      </c>
      <c r="AJ21">
        <f t="shared" si="22"/>
        <v>1.0140470451333927E-2</v>
      </c>
      <c r="AK21">
        <f t="shared" si="23"/>
        <v>-2.8476248219748701E-3</v>
      </c>
      <c r="AL21">
        <f t="shared" si="24"/>
        <v>9.3635097073405671E-3</v>
      </c>
      <c r="AM21">
        <f t="shared" si="25"/>
        <v>6.2324796046240305E-3</v>
      </c>
      <c r="AN21">
        <f t="shared" si="26"/>
        <v>2.6225278945859687E-2</v>
      </c>
      <c r="AO21">
        <f t="shared" si="27"/>
        <v>9.0430343149521253E-3</v>
      </c>
      <c r="AP21">
        <f t="shared" si="28"/>
        <v>-3.5851274979629144E-3</v>
      </c>
      <c r="AR21" s="42" t="s">
        <v>757</v>
      </c>
      <c r="AS21" s="46">
        <v>0.28526229497604016</v>
      </c>
      <c r="AU21" s="59" t="s">
        <v>2327</v>
      </c>
      <c r="AV21" s="42" t="s">
        <v>757</v>
      </c>
      <c r="AW21" s="51">
        <v>3.1631318879509537E-3</v>
      </c>
      <c r="AX21" s="52">
        <v>-1.5917846859166437E-3</v>
      </c>
      <c r="AY21" s="52">
        <v>5.2151231330952218E-3</v>
      </c>
      <c r="AZ21" s="52">
        <v>1.4286754426149325E-2</v>
      </c>
      <c r="BA21" s="52">
        <v>4.3030089116474518E-2</v>
      </c>
      <c r="BB21" s="52">
        <v>5.4009377428079232E-4</v>
      </c>
      <c r="BC21" s="52">
        <v>1.2209222150895828E-2</v>
      </c>
      <c r="BD21" s="52">
        <v>9.3848839795546077E-3</v>
      </c>
      <c r="BE21" s="52">
        <v>1.5802431050587273E-2</v>
      </c>
      <c r="BF21" s="52">
        <v>7.3505019830520857E-3</v>
      </c>
      <c r="BG21" s="53">
        <v>4.4986292144557159E-3</v>
      </c>
      <c r="BI21" s="61" t="s">
        <v>758</v>
      </c>
      <c r="BJ21" s="39">
        <v>1</v>
      </c>
    </row>
    <row r="22" spans="3:62" x14ac:dyDescent="0.3">
      <c r="C22" s="1">
        <v>19.43</v>
      </c>
      <c r="D22" s="1">
        <v>3.28</v>
      </c>
      <c r="E22" s="1">
        <v>44.16</v>
      </c>
      <c r="F22" s="1">
        <v>206.67</v>
      </c>
      <c r="G22" s="1">
        <v>726.33</v>
      </c>
      <c r="H22" s="1">
        <v>21.74</v>
      </c>
      <c r="I22" s="1">
        <v>97.44</v>
      </c>
      <c r="J22" s="1">
        <v>83.46</v>
      </c>
      <c r="K22" s="1">
        <v>226.2</v>
      </c>
      <c r="L22" s="1">
        <v>169.95</v>
      </c>
      <c r="M22" s="1">
        <v>17.344999999999999</v>
      </c>
      <c r="O22" s="1">
        <v>17.095800000000001</v>
      </c>
      <c r="P22" s="1">
        <v>1.0728015068028405</v>
      </c>
      <c r="Q22" s="1">
        <v>0.13795786099509819</v>
      </c>
      <c r="R22" s="1">
        <v>0.72570000000000001</v>
      </c>
      <c r="T22" s="28">
        <v>19.43</v>
      </c>
      <c r="U22" s="29">
        <f t="shared" si="9"/>
        <v>0.452501784063922</v>
      </c>
      <c r="V22" s="28">
        <v>44.16</v>
      </c>
      <c r="W22" s="28">
        <v>206.67</v>
      </c>
      <c r="X22" s="28">
        <v>726.33</v>
      </c>
      <c r="Y22" s="29">
        <f t="shared" si="10"/>
        <v>23.300874867101729</v>
      </c>
      <c r="Z22" s="29">
        <f t="shared" si="11"/>
        <v>104.53377882286877</v>
      </c>
      <c r="AA22" s="29">
        <f t="shared" si="12"/>
        <v>60.566921999999998</v>
      </c>
      <c r="AB22" s="29">
        <f t="shared" si="13"/>
        <v>242.66770083880252</v>
      </c>
      <c r="AC22" s="29">
        <f t="shared" si="14"/>
        <v>9.941038149720983</v>
      </c>
      <c r="AD22" s="29">
        <f t="shared" si="15"/>
        <v>18.607742135495268</v>
      </c>
      <c r="AF22">
        <f t="shared" si="18"/>
        <v>1.5682174594877196E-2</v>
      </c>
      <c r="AG22">
        <f t="shared" si="19"/>
        <v>-9.8580232413109314E-2</v>
      </c>
      <c r="AH22">
        <f t="shared" si="20"/>
        <v>-2.25937641211027E-3</v>
      </c>
      <c r="AI22">
        <f t="shared" si="21"/>
        <v>-6.5375186271211527E-3</v>
      </c>
      <c r="AJ22">
        <f t="shared" si="22"/>
        <v>-3.9084999588577807E-3</v>
      </c>
      <c r="AK22">
        <f t="shared" si="23"/>
        <v>2.7062894660423442E-3</v>
      </c>
      <c r="AL22">
        <f t="shared" si="24"/>
        <v>2.0201763739009948E-2</v>
      </c>
      <c r="AM22">
        <f t="shared" si="25"/>
        <v>-2.9062515825426183E-2</v>
      </c>
      <c r="AN22">
        <f t="shared" si="26"/>
        <v>4.9456471722231221E-4</v>
      </c>
      <c r="AO22">
        <f t="shared" si="27"/>
        <v>-1.2606675774241904E-2</v>
      </c>
      <c r="AP22">
        <f t="shared" si="28"/>
        <v>7.3252109234458462E-3</v>
      </c>
      <c r="AR22" s="42" t="s">
        <v>758</v>
      </c>
      <c r="AS22" s="46">
        <v>0.40688813388654266</v>
      </c>
      <c r="AV22" s="42" t="s">
        <v>758</v>
      </c>
      <c r="AW22" s="51">
        <v>-2.6866809842425827E-3</v>
      </c>
      <c r="AX22" s="52">
        <v>-3.5187132287316726E-3</v>
      </c>
      <c r="AY22" s="52">
        <v>-1.779758967983356E-5</v>
      </c>
      <c r="AZ22" s="52">
        <v>5.8214107190691271E-3</v>
      </c>
      <c r="BA22" s="52">
        <v>5.4009377428079232E-4</v>
      </c>
      <c r="BB22" s="52">
        <v>3.7671597217332403E-2</v>
      </c>
      <c r="BC22" s="52">
        <v>-2.1938874798782771E-3</v>
      </c>
      <c r="BD22" s="52">
        <v>1.5052663334332286E-3</v>
      </c>
      <c r="BE22" s="52">
        <v>-6.3748005617381772E-4</v>
      </c>
      <c r="BF22" s="52">
        <v>-5.6599123900644556E-4</v>
      </c>
      <c r="BG22" s="53">
        <v>2.4273173764526442E-3</v>
      </c>
      <c r="BI22" s="61" t="s">
        <v>759</v>
      </c>
      <c r="BJ22" s="39">
        <v>1</v>
      </c>
    </row>
    <row r="23" spans="3:62" x14ac:dyDescent="0.3">
      <c r="C23" s="1">
        <v>19.010000000000002</v>
      </c>
      <c r="D23" s="1">
        <v>3.48</v>
      </c>
      <c r="E23" s="1">
        <v>43.3</v>
      </c>
      <c r="F23" s="1">
        <v>208.25</v>
      </c>
      <c r="G23" s="1">
        <v>722.9</v>
      </c>
      <c r="H23" s="1">
        <v>21.72</v>
      </c>
      <c r="I23" s="1">
        <v>98.34</v>
      </c>
      <c r="J23" s="1">
        <v>84.45</v>
      </c>
      <c r="K23" s="1">
        <v>229.2</v>
      </c>
      <c r="L23" s="1">
        <v>166.38</v>
      </c>
      <c r="M23" s="1">
        <v>17.59</v>
      </c>
      <c r="O23" s="1">
        <v>16.939299999999999</v>
      </c>
      <c r="P23" s="1">
        <v>1.0703511951497406</v>
      </c>
      <c r="Q23" s="1">
        <v>0.13827017645357248</v>
      </c>
      <c r="R23" s="1">
        <v>0.72770000000000001</v>
      </c>
      <c r="T23" s="28">
        <v>19.010000000000002</v>
      </c>
      <c r="U23" s="29">
        <f t="shared" si="9"/>
        <v>0.48118021405843225</v>
      </c>
      <c r="V23" s="28">
        <v>43.3</v>
      </c>
      <c r="W23" s="28">
        <v>208.25</v>
      </c>
      <c r="X23" s="28">
        <v>722.9</v>
      </c>
      <c r="Y23" s="29">
        <f t="shared" si="10"/>
        <v>23.301248727757695</v>
      </c>
      <c r="Z23" s="29">
        <f t="shared" si="11"/>
        <v>105.25833653102549</v>
      </c>
      <c r="AA23" s="29">
        <f t="shared" si="12"/>
        <v>61.454265000000007</v>
      </c>
      <c r="AB23" s="29">
        <f t="shared" si="13"/>
        <v>245.32449392832055</v>
      </c>
      <c r="AC23" s="29">
        <f t="shared" si="14"/>
        <v>9.8221296039387695</v>
      </c>
      <c r="AD23" s="29">
        <f t="shared" si="15"/>
        <v>18.827477522683939</v>
      </c>
      <c r="AF23">
        <f t="shared" si="18"/>
        <v>-2.1616057642820263E-2</v>
      </c>
      <c r="AG23">
        <f t="shared" si="19"/>
        <v>6.3377495966864705E-2</v>
      </c>
      <c r="AH23">
        <f t="shared" si="20"/>
        <v>-1.9474637681159424E-2</v>
      </c>
      <c r="AI23">
        <f t="shared" si="21"/>
        <v>7.6450379832584403E-3</v>
      </c>
      <c r="AJ23">
        <f t="shared" si="22"/>
        <v>-4.7223713738935302E-3</v>
      </c>
      <c r="AK23">
        <f t="shared" si="23"/>
        <v>1.6044919261437585E-5</v>
      </c>
      <c r="AL23">
        <f t="shared" si="24"/>
        <v>6.9313260872783111E-3</v>
      </c>
      <c r="AM23">
        <f t="shared" si="25"/>
        <v>1.4650620680377369E-2</v>
      </c>
      <c r="AN23">
        <f t="shared" si="26"/>
        <v>1.0948276512838806E-2</v>
      </c>
      <c r="AO23">
        <f t="shared" si="27"/>
        <v>-1.196138109434286E-2</v>
      </c>
      <c r="AP23">
        <f t="shared" si="28"/>
        <v>1.1808815147406504E-2</v>
      </c>
      <c r="AR23" s="42" t="s">
        <v>759</v>
      </c>
      <c r="AS23" s="46">
        <v>0.52981883181687861</v>
      </c>
      <c r="AV23" s="42" t="s">
        <v>759</v>
      </c>
      <c r="AW23" s="51">
        <v>-4.2410551071511652E-3</v>
      </c>
      <c r="AX23" s="52">
        <v>-1.1284941100891307E-2</v>
      </c>
      <c r="AY23" s="52">
        <v>-1.5919772359923282E-3</v>
      </c>
      <c r="AZ23" s="52">
        <v>7.9727942045555947E-3</v>
      </c>
      <c r="BA23" s="52">
        <v>1.2209222150895828E-2</v>
      </c>
      <c r="BB23" s="52">
        <v>-2.1938874798782771E-3</v>
      </c>
      <c r="BC23" s="52">
        <v>0.12457493953597687</v>
      </c>
      <c r="BD23" s="52">
        <v>2.3835965696115173E-2</v>
      </c>
      <c r="BE23" s="52">
        <v>5.0592191701068927E-2</v>
      </c>
      <c r="BF23" s="52">
        <v>6.1094409315074205E-3</v>
      </c>
      <c r="BG23" s="53">
        <v>7.8081642081837396E-3</v>
      </c>
      <c r="BI23" s="61" t="s">
        <v>1512</v>
      </c>
      <c r="BJ23" s="39">
        <v>1</v>
      </c>
    </row>
    <row r="24" spans="3:62" x14ac:dyDescent="0.3">
      <c r="C24" s="1">
        <v>18.809999999999999</v>
      </c>
      <c r="D24" s="1">
        <v>3.41</v>
      </c>
      <c r="E24" s="1">
        <v>43.69</v>
      </c>
      <c r="F24" s="1">
        <v>211.8</v>
      </c>
      <c r="G24" s="1">
        <v>722.22</v>
      </c>
      <c r="H24" s="1">
        <v>21.64</v>
      </c>
      <c r="I24" s="1">
        <v>97.74</v>
      </c>
      <c r="J24" s="1">
        <v>84.56</v>
      </c>
      <c r="K24" s="1">
        <v>232.2</v>
      </c>
      <c r="L24" s="1">
        <v>166.98</v>
      </c>
      <c r="M24" s="1">
        <v>17.649999999999999</v>
      </c>
      <c r="O24" s="1">
        <v>17.004200000000001</v>
      </c>
      <c r="P24" s="1">
        <v>1.0742992907634585</v>
      </c>
      <c r="Q24" s="1">
        <v>0.13893626280565977</v>
      </c>
      <c r="R24" s="1">
        <v>0.73129999999999995</v>
      </c>
      <c r="T24" s="28">
        <v>18.809999999999999</v>
      </c>
      <c r="U24" s="29">
        <f t="shared" si="9"/>
        <v>0.4737726561672998</v>
      </c>
      <c r="V24" s="28">
        <v>43.69</v>
      </c>
      <c r="W24" s="28">
        <v>211.8</v>
      </c>
      <c r="X24" s="28">
        <v>722.22</v>
      </c>
      <c r="Y24" s="29">
        <f t="shared" si="10"/>
        <v>23.162399863040388</v>
      </c>
      <c r="Z24" s="29">
        <f t="shared" si="11"/>
        <v>105.00201267922043</v>
      </c>
      <c r="AA24" s="29">
        <f t="shared" si="12"/>
        <v>61.838727999999996</v>
      </c>
      <c r="AB24" s="29">
        <f t="shared" si="13"/>
        <v>249.45229531527505</v>
      </c>
      <c r="AC24" s="29">
        <f t="shared" si="14"/>
        <v>9.8199268416038379</v>
      </c>
      <c r="AD24" s="29">
        <f t="shared" si="15"/>
        <v>18.961382481975043</v>
      </c>
      <c r="AF24">
        <f t="shared" si="18"/>
        <v>-1.0520778537611908E-2</v>
      </c>
      <c r="AG24">
        <f t="shared" si="19"/>
        <v>-1.5394560446811978E-2</v>
      </c>
      <c r="AH24">
        <f t="shared" si="20"/>
        <v>9.0069284064664412E-3</v>
      </c>
      <c r="AI24">
        <f t="shared" si="21"/>
        <v>1.7046818727491031E-2</v>
      </c>
      <c r="AJ24">
        <f t="shared" si="22"/>
        <v>-9.4065569235013413E-4</v>
      </c>
      <c r="AK24">
        <f t="shared" si="23"/>
        <v>-5.9588593873041162E-3</v>
      </c>
      <c r="AL24">
        <f t="shared" si="24"/>
        <v>-2.4351881309611079E-3</v>
      </c>
      <c r="AM24">
        <f t="shared" si="25"/>
        <v>6.2560832840485858E-3</v>
      </c>
      <c r="AN24">
        <f t="shared" si="26"/>
        <v>1.6825883632151983E-2</v>
      </c>
      <c r="AO24">
        <f t="shared" si="27"/>
        <v>-2.2426524834784356E-4</v>
      </c>
      <c r="AP24">
        <f t="shared" si="28"/>
        <v>7.1122092234485734E-3</v>
      </c>
      <c r="AR24" s="42" t="s">
        <v>1512</v>
      </c>
      <c r="AS24" s="46">
        <v>0.36023934345563779</v>
      </c>
      <c r="AV24" s="42" t="s">
        <v>1512</v>
      </c>
      <c r="AW24" s="51">
        <v>1.3594909826353448E-2</v>
      </c>
      <c r="AX24" s="52">
        <v>-1.1774625300419806E-3</v>
      </c>
      <c r="AY24" s="52">
        <v>3.425927145320435E-3</v>
      </c>
      <c r="AZ24" s="52">
        <v>9.2576744091471645E-3</v>
      </c>
      <c r="BA24" s="52">
        <v>9.3848839795546077E-3</v>
      </c>
      <c r="BB24" s="52">
        <v>1.5052663334332286E-3</v>
      </c>
      <c r="BC24" s="52">
        <v>2.3835965696115173E-2</v>
      </c>
      <c r="BD24" s="52">
        <v>8.3721400067428425E-2</v>
      </c>
      <c r="BE24" s="52">
        <v>2.5304606931788227E-2</v>
      </c>
      <c r="BF24" s="52">
        <v>3.5281386841807204E-3</v>
      </c>
      <c r="BG24" s="53">
        <v>4.7719641219823956E-3</v>
      </c>
      <c r="BI24" s="61" t="s">
        <v>760</v>
      </c>
      <c r="BJ24" s="39">
        <v>1</v>
      </c>
    </row>
    <row r="25" spans="3:62" x14ac:dyDescent="0.3">
      <c r="C25" s="1">
        <v>19.98</v>
      </c>
      <c r="D25" s="1">
        <v>3.42</v>
      </c>
      <c r="E25" s="1">
        <v>43.55</v>
      </c>
      <c r="F25" s="1">
        <v>209.03</v>
      </c>
      <c r="G25" s="1">
        <v>732.44</v>
      </c>
      <c r="H25" s="1">
        <v>21.9</v>
      </c>
      <c r="I25" s="1">
        <v>100.1</v>
      </c>
      <c r="J25" s="1">
        <v>85.41</v>
      </c>
      <c r="K25" s="1">
        <v>234.6</v>
      </c>
      <c r="L25" s="1">
        <v>163.49</v>
      </c>
      <c r="M25" s="1">
        <v>17.695</v>
      </c>
      <c r="O25" s="1">
        <v>16.8947</v>
      </c>
      <c r="P25" s="1">
        <v>1.0772017259850724</v>
      </c>
      <c r="Q25" s="1">
        <v>0.1387417355738782</v>
      </c>
      <c r="R25" s="1">
        <v>0.73060000000000003</v>
      </c>
      <c r="T25" s="28">
        <v>19.98</v>
      </c>
      <c r="U25" s="29">
        <f t="shared" si="9"/>
        <v>0.47449673566266343</v>
      </c>
      <c r="V25" s="28">
        <v>43.55</v>
      </c>
      <c r="W25" s="28">
        <v>209.03</v>
      </c>
      <c r="X25" s="28">
        <v>732.44</v>
      </c>
      <c r="Y25" s="29">
        <f t="shared" si="10"/>
        <v>23.52715446771974</v>
      </c>
      <c r="Z25" s="29">
        <f t="shared" si="11"/>
        <v>107.82789277110574</v>
      </c>
      <c r="AA25" s="29">
        <f t="shared" si="12"/>
        <v>62.400545999999999</v>
      </c>
      <c r="AB25" s="29">
        <f t="shared" si="13"/>
        <v>252.71152491609797</v>
      </c>
      <c r="AC25" s="29">
        <f t="shared" si="14"/>
        <v>9.6769992956370938</v>
      </c>
      <c r="AD25" s="29">
        <f t="shared" si="15"/>
        <v>19.061084541305856</v>
      </c>
      <c r="AF25">
        <f t="shared" si="18"/>
        <v>6.2200956937799035E-2</v>
      </c>
      <c r="AG25">
        <f t="shared" si="19"/>
        <v>1.5283269009682687E-3</v>
      </c>
      <c r="AH25">
        <f t="shared" si="20"/>
        <v>-3.2043945983062372E-3</v>
      </c>
      <c r="AI25">
        <f t="shared" si="21"/>
        <v>-1.3078375826251265E-2</v>
      </c>
      <c r="AJ25">
        <f t="shared" si="22"/>
        <v>1.415081277173158E-2</v>
      </c>
      <c r="AK25">
        <f t="shared" si="23"/>
        <v>1.5747703469249696E-2</v>
      </c>
      <c r="AL25">
        <f t="shared" si="24"/>
        <v>2.691262786093751E-2</v>
      </c>
      <c r="AM25">
        <f t="shared" si="25"/>
        <v>9.0852127488780798E-3</v>
      </c>
      <c r="AN25">
        <f t="shared" si="26"/>
        <v>1.3065542638938998E-2</v>
      </c>
      <c r="AO25">
        <f t="shared" si="27"/>
        <v>-1.455484834787224E-2</v>
      </c>
      <c r="AP25">
        <f t="shared" si="28"/>
        <v>5.2581640302646893E-3</v>
      </c>
      <c r="AR25" s="42" t="s">
        <v>760</v>
      </c>
      <c r="AS25" s="46">
        <v>0.3507970688965506</v>
      </c>
      <c r="AV25" s="42" t="s">
        <v>760</v>
      </c>
      <c r="AW25" s="51">
        <v>1.6192108624642015E-3</v>
      </c>
      <c r="AX25" s="52">
        <v>2.7954814786357992E-3</v>
      </c>
      <c r="AY25" s="52">
        <v>9.9234810044571825E-4</v>
      </c>
      <c r="AZ25" s="52">
        <v>1.0725584029573246E-2</v>
      </c>
      <c r="BA25" s="52">
        <v>1.5802431050587273E-2</v>
      </c>
      <c r="BB25" s="52">
        <v>-6.3748005617381772E-4</v>
      </c>
      <c r="BC25" s="52">
        <v>5.0592191701068927E-2</v>
      </c>
      <c r="BD25" s="52">
        <v>2.5304606931788227E-2</v>
      </c>
      <c r="BE25" s="52">
        <v>8.863476463526973E-2</v>
      </c>
      <c r="BF25" s="52">
        <v>6.6627908013096185E-3</v>
      </c>
      <c r="BG25" s="53">
        <v>6.3838682823482845E-3</v>
      </c>
      <c r="BI25" s="61" t="s">
        <v>1918</v>
      </c>
      <c r="BJ25" s="39">
        <v>1</v>
      </c>
    </row>
    <row r="26" spans="3:62" x14ac:dyDescent="0.3">
      <c r="C26" s="1">
        <v>20.100000000000001</v>
      </c>
      <c r="D26" s="1">
        <v>3.38</v>
      </c>
      <c r="E26" s="1">
        <v>43.52</v>
      </c>
      <c r="F26" s="1">
        <v>208.72</v>
      </c>
      <c r="G26" s="1">
        <v>743.9</v>
      </c>
      <c r="H26" s="1">
        <v>21.97</v>
      </c>
      <c r="I26" s="1">
        <v>102.95</v>
      </c>
      <c r="J26" s="1">
        <v>86.82</v>
      </c>
      <c r="K26" s="1">
        <v>233.4</v>
      </c>
      <c r="L26" s="1">
        <v>167.79</v>
      </c>
      <c r="M26" s="1">
        <v>17.989999999999998</v>
      </c>
      <c r="O26" s="1">
        <v>16.908300000000001</v>
      </c>
      <c r="P26" s="1">
        <v>1.0769503734852113</v>
      </c>
      <c r="Q26" s="1">
        <v>0.1384231412974693</v>
      </c>
      <c r="R26" s="1">
        <v>0.73160000000000003</v>
      </c>
      <c r="T26" s="28">
        <v>20.100000000000001</v>
      </c>
      <c r="U26" s="29">
        <f t="shared" si="9"/>
        <v>0.46787021758544622</v>
      </c>
      <c r="V26" s="28">
        <v>43.52</v>
      </c>
      <c r="W26" s="28">
        <v>208.72</v>
      </c>
      <c r="X26" s="28">
        <v>743.9</v>
      </c>
      <c r="Y26" s="29">
        <f t="shared" si="10"/>
        <v>23.666121919892039</v>
      </c>
      <c r="Z26" s="29">
        <f t="shared" si="11"/>
        <v>110.87204095030251</v>
      </c>
      <c r="AA26" s="29">
        <f t="shared" si="12"/>
        <v>63.517511999999996</v>
      </c>
      <c r="AB26" s="29">
        <f t="shared" si="13"/>
        <v>251.36021717144831</v>
      </c>
      <c r="AC26" s="29">
        <f t="shared" si="14"/>
        <v>9.9235286811802474</v>
      </c>
      <c r="AD26" s="29">
        <f t="shared" si="15"/>
        <v>19.374337218998949</v>
      </c>
      <c r="AF26">
        <f t="shared" si="18"/>
        <v>6.0060060060060927E-3</v>
      </c>
      <c r="AG26">
        <f t="shared" si="19"/>
        <v>-1.3965360726797993E-2</v>
      </c>
      <c r="AH26">
        <f t="shared" si="20"/>
        <v>-6.88863375430393E-4</v>
      </c>
      <c r="AI26">
        <f t="shared" si="21"/>
        <v>-1.4830407118595623E-3</v>
      </c>
      <c r="AJ26">
        <f t="shared" si="22"/>
        <v>1.5646332805417495E-2</v>
      </c>
      <c r="AK26">
        <f t="shared" si="23"/>
        <v>5.9066833757124293E-3</v>
      </c>
      <c r="AL26">
        <f t="shared" si="24"/>
        <v>2.8231546596749313E-2</v>
      </c>
      <c r="AM26">
        <f t="shared" si="25"/>
        <v>1.7899939529375297E-2</v>
      </c>
      <c r="AN26">
        <f t="shared" si="26"/>
        <v>-5.3472343419964652E-3</v>
      </c>
      <c r="AO26">
        <f t="shared" si="27"/>
        <v>2.5475808978750569E-2</v>
      </c>
      <c r="AP26">
        <f t="shared" si="28"/>
        <v>1.6434147648538344E-2</v>
      </c>
      <c r="AR26" s="42" t="s">
        <v>1918</v>
      </c>
      <c r="AS26" s="46">
        <v>9.9599999999999994E-2</v>
      </c>
      <c r="AV26" s="42" t="s">
        <v>1918</v>
      </c>
      <c r="AW26" s="51">
        <v>6.6994560203399688E-3</v>
      </c>
      <c r="AX26" s="52">
        <v>6.1529582405273767E-3</v>
      </c>
      <c r="AY26" s="52">
        <v>9.0547687553195078E-3</v>
      </c>
      <c r="AZ26" s="52">
        <v>1.2623724018527783E-2</v>
      </c>
      <c r="BA26" s="52">
        <v>7.3505019830520857E-3</v>
      </c>
      <c r="BB26" s="52">
        <v>-5.6599123900644556E-4</v>
      </c>
      <c r="BC26" s="52">
        <v>6.1094409315074205E-3</v>
      </c>
      <c r="BD26" s="52">
        <v>3.5281386841807204E-3</v>
      </c>
      <c r="BE26" s="52">
        <v>6.6627908013096185E-3</v>
      </c>
      <c r="BF26" s="52">
        <v>7.0881277255624667E-2</v>
      </c>
      <c r="BG26" s="53">
        <v>-4.4498982853149165E-3</v>
      </c>
      <c r="BI26" s="62" t="s">
        <v>2307</v>
      </c>
      <c r="BJ26" s="40">
        <v>1</v>
      </c>
    </row>
    <row r="27" spans="3:62" x14ac:dyDescent="0.3">
      <c r="C27" s="1">
        <v>20.27</v>
      </c>
      <c r="D27" s="1">
        <v>3.44</v>
      </c>
      <c r="E27" s="1">
        <v>43.95</v>
      </c>
      <c r="F27" s="1">
        <v>215.51</v>
      </c>
      <c r="G27" s="1">
        <v>756.45</v>
      </c>
      <c r="H27" s="1">
        <v>22.01</v>
      </c>
      <c r="I27" s="1">
        <v>101.45</v>
      </c>
      <c r="J27" s="1">
        <v>86.47</v>
      </c>
      <c r="K27" s="1">
        <v>234.3</v>
      </c>
      <c r="L27" s="1">
        <v>168.3</v>
      </c>
      <c r="M27" s="1">
        <v>17.835000000000001</v>
      </c>
      <c r="O27" s="1">
        <v>16.9087</v>
      </c>
      <c r="P27" s="1">
        <v>1.0750501221264794</v>
      </c>
      <c r="Q27" s="1">
        <v>0.13839029611974901</v>
      </c>
      <c r="R27" s="1">
        <v>0.72840000000000005</v>
      </c>
      <c r="T27" s="28">
        <v>20.27</v>
      </c>
      <c r="U27" s="29">
        <f t="shared" si="9"/>
        <v>0.47606261865193661</v>
      </c>
      <c r="V27" s="28">
        <v>43.95</v>
      </c>
      <c r="W27" s="28">
        <v>215.51</v>
      </c>
      <c r="X27" s="28">
        <v>756.45</v>
      </c>
      <c r="Y27" s="29">
        <f t="shared" si="10"/>
        <v>23.703677720409502</v>
      </c>
      <c r="Z27" s="29">
        <f t="shared" si="11"/>
        <v>109.06383488973134</v>
      </c>
      <c r="AA27" s="29">
        <f t="shared" si="12"/>
        <v>62.984748000000003</v>
      </c>
      <c r="AB27" s="29">
        <f t="shared" si="13"/>
        <v>251.88424361423415</v>
      </c>
      <c r="AC27" s="29">
        <f t="shared" si="14"/>
        <v>9.9534559132281029</v>
      </c>
      <c r="AD27" s="29">
        <f t="shared" si="15"/>
        <v>19.173518928125763</v>
      </c>
      <c r="AF27">
        <f t="shared" si="18"/>
        <v>8.4577114427859534E-3</v>
      </c>
      <c r="AG27">
        <f t="shared" si="19"/>
        <v>1.7509986228166463E-2</v>
      </c>
      <c r="AH27">
        <f t="shared" si="20"/>
        <v>9.8805147058822484E-3</v>
      </c>
      <c r="AI27">
        <f t="shared" si="21"/>
        <v>3.2531621310847081E-2</v>
      </c>
      <c r="AJ27">
        <f t="shared" si="22"/>
        <v>1.6870547116548007E-2</v>
      </c>
      <c r="AK27">
        <f t="shared" si="23"/>
        <v>1.5869013370499729E-3</v>
      </c>
      <c r="AL27">
        <f t="shared" si="24"/>
        <v>-1.6308945384902573E-2</v>
      </c>
      <c r="AM27">
        <f t="shared" si="25"/>
        <v>-8.3876711039939655E-3</v>
      </c>
      <c r="AN27">
        <f t="shared" si="26"/>
        <v>2.0847628502342896E-3</v>
      </c>
      <c r="AO27">
        <f t="shared" si="27"/>
        <v>3.0157853128003342E-3</v>
      </c>
      <c r="AP27">
        <f t="shared" si="28"/>
        <v>-1.0365169585066392E-2</v>
      </c>
      <c r="AR27" s="43" t="s">
        <v>2307</v>
      </c>
      <c r="AS27" s="47">
        <v>0.42393547479279048</v>
      </c>
      <c r="AV27" s="43" t="s">
        <v>2307</v>
      </c>
      <c r="AW27" s="54">
        <v>3.8770701302250515E-5</v>
      </c>
      <c r="AX27" s="55">
        <v>-1.2483626680103545E-3</v>
      </c>
      <c r="AY27" s="55">
        <v>1.5820947981153393E-3</v>
      </c>
      <c r="AZ27" s="55">
        <v>-1.3858108108738294E-3</v>
      </c>
      <c r="BA27" s="55">
        <v>4.4986292144557159E-3</v>
      </c>
      <c r="BB27" s="55">
        <v>2.4273173764526442E-3</v>
      </c>
      <c r="BC27" s="55">
        <v>7.8081642081837396E-3</v>
      </c>
      <c r="BD27" s="55">
        <v>4.7719641219823956E-3</v>
      </c>
      <c r="BE27" s="55">
        <v>6.3838682823482845E-3</v>
      </c>
      <c r="BF27" s="55">
        <v>-4.4498982853149165E-3</v>
      </c>
      <c r="BG27" s="56">
        <v>3.8714812948592171E-2</v>
      </c>
    </row>
    <row r="28" spans="3:62" x14ac:dyDescent="0.3">
      <c r="C28" s="1">
        <v>19.899999999999999</v>
      </c>
      <c r="D28" s="1">
        <v>3.49</v>
      </c>
      <c r="E28" s="1">
        <v>43.76</v>
      </c>
      <c r="F28" s="1">
        <v>215.46</v>
      </c>
      <c r="G28" s="1">
        <v>771.31</v>
      </c>
      <c r="H28" s="1">
        <v>22.01</v>
      </c>
      <c r="I28" s="1">
        <v>102.05</v>
      </c>
      <c r="J28" s="1">
        <v>86.75</v>
      </c>
      <c r="K28" s="1">
        <v>235</v>
      </c>
      <c r="L28" s="1">
        <v>169.61</v>
      </c>
      <c r="M28" s="1">
        <v>17.954999999999998</v>
      </c>
      <c r="O28" s="1">
        <v>16.866</v>
      </c>
      <c r="P28" s="1">
        <v>1.0733487489624096</v>
      </c>
      <c r="Q28" s="1">
        <v>0.13839084548796393</v>
      </c>
      <c r="R28" s="1">
        <v>0.7288</v>
      </c>
      <c r="T28" s="28">
        <v>19.899999999999999</v>
      </c>
      <c r="U28" s="29">
        <f t="shared" si="9"/>
        <v>0.48298405075299417</v>
      </c>
      <c r="V28" s="28">
        <v>43.76</v>
      </c>
      <c r="W28" s="28">
        <v>215.46</v>
      </c>
      <c r="X28" s="28">
        <v>771.31</v>
      </c>
      <c r="Y28" s="29">
        <f t="shared" si="10"/>
        <v>23.661853188003814</v>
      </c>
      <c r="Z28" s="29">
        <f t="shared" si="11"/>
        <v>109.53523983161389</v>
      </c>
      <c r="AA28" s="29">
        <f t="shared" si="12"/>
        <v>63.223399999999998</v>
      </c>
      <c r="AB28" s="29">
        <f t="shared" si="13"/>
        <v>252.23695600616625</v>
      </c>
      <c r="AC28" s="29">
        <f t="shared" si="14"/>
        <v>10.056326337009368</v>
      </c>
      <c r="AD28" s="29">
        <f t="shared" si="15"/>
        <v>19.271976787620062</v>
      </c>
      <c r="AF28">
        <f t="shared" si="18"/>
        <v>-1.8253576714356234E-2</v>
      </c>
      <c r="AG28">
        <f t="shared" si="19"/>
        <v>1.4538911121938058E-2</v>
      </c>
      <c r="AH28">
        <f t="shared" si="20"/>
        <v>-4.3230944254836201E-3</v>
      </c>
      <c r="AI28">
        <f t="shared" si="21"/>
        <v>-2.3200779546184158E-4</v>
      </c>
      <c r="AJ28">
        <f t="shared" si="22"/>
        <v>1.9644391565866837E-2</v>
      </c>
      <c r="AK28">
        <f t="shared" si="23"/>
        <v>-1.7644743950292474E-3</v>
      </c>
      <c r="AL28">
        <f t="shared" si="24"/>
        <v>4.3222846726338471E-3</v>
      </c>
      <c r="AM28">
        <f t="shared" si="25"/>
        <v>3.7890442937074109E-3</v>
      </c>
      <c r="AN28">
        <f t="shared" si="26"/>
        <v>1.40029557574195E-3</v>
      </c>
      <c r="AO28">
        <f t="shared" si="27"/>
        <v>1.0335146373085413E-2</v>
      </c>
      <c r="AP28">
        <f t="shared" si="28"/>
        <v>5.1350959551754727E-3</v>
      </c>
    </row>
    <row r="29" spans="3:62" x14ac:dyDescent="0.3">
      <c r="C29" s="1">
        <v>19.98</v>
      </c>
      <c r="D29" s="1">
        <v>3.54</v>
      </c>
      <c r="E29" s="1">
        <v>43.65</v>
      </c>
      <c r="F29" s="1">
        <v>215.9</v>
      </c>
      <c r="G29" s="1">
        <v>763.41</v>
      </c>
      <c r="H29" s="1">
        <v>22.12</v>
      </c>
      <c r="I29" s="1">
        <v>102.6</v>
      </c>
      <c r="J29" s="1">
        <v>90.12</v>
      </c>
      <c r="K29" s="1">
        <v>237.5</v>
      </c>
      <c r="L29" s="1">
        <v>168.25</v>
      </c>
      <c r="M29" s="1">
        <v>18.21</v>
      </c>
      <c r="O29" s="1">
        <v>16.768999999999998</v>
      </c>
      <c r="P29" s="1">
        <v>1.0777983183254816</v>
      </c>
      <c r="Q29" s="1">
        <v>0.13835649114437357</v>
      </c>
      <c r="R29" s="1">
        <v>0.73099999999999998</v>
      </c>
      <c r="T29" s="28">
        <v>19.98</v>
      </c>
      <c r="U29" s="29">
        <f t="shared" si="9"/>
        <v>0.48978197865108242</v>
      </c>
      <c r="V29" s="28">
        <v>43.65</v>
      </c>
      <c r="W29" s="28">
        <v>215.9</v>
      </c>
      <c r="X29" s="28">
        <v>763.41</v>
      </c>
      <c r="Y29" s="29">
        <f t="shared" si="10"/>
        <v>23.742474327048502</v>
      </c>
      <c r="Z29" s="29">
        <f t="shared" si="11"/>
        <v>110.58210746019441</v>
      </c>
      <c r="AA29" s="29">
        <f t="shared" si="12"/>
        <v>65.877719999999997</v>
      </c>
      <c r="AB29" s="29">
        <f t="shared" si="13"/>
        <v>255.97710060230187</v>
      </c>
      <c r="AC29" s="29">
        <f t="shared" si="14"/>
        <v>10.033394954976446</v>
      </c>
      <c r="AD29" s="29">
        <f t="shared" si="15"/>
        <v>19.626707376707021</v>
      </c>
      <c r="AF29">
        <f t="shared" si="18"/>
        <v>4.020100502512669E-3</v>
      </c>
      <c r="AG29">
        <f t="shared" si="19"/>
        <v>1.4074849650811405E-2</v>
      </c>
      <c r="AH29">
        <f t="shared" si="20"/>
        <v>-2.5137111517367083E-3</v>
      </c>
      <c r="AI29">
        <f t="shared" si="21"/>
        <v>2.0421423930194749E-3</v>
      </c>
      <c r="AJ29">
        <f t="shared" si="22"/>
        <v>-1.0242315022494175E-2</v>
      </c>
      <c r="AK29">
        <f t="shared" si="23"/>
        <v>3.4072199841710393E-3</v>
      </c>
      <c r="AL29">
        <f t="shared" si="24"/>
        <v>9.5573591676052505E-3</v>
      </c>
      <c r="AM29">
        <f t="shared" si="25"/>
        <v>4.1983189768345142E-2</v>
      </c>
      <c r="AN29">
        <f t="shared" si="26"/>
        <v>1.4827900936309257E-2</v>
      </c>
      <c r="AO29">
        <f t="shared" si="27"/>
        <v>-2.2802941416618649E-3</v>
      </c>
      <c r="AP29">
        <f t="shared" si="28"/>
        <v>1.8406549208529022E-2</v>
      </c>
    </row>
    <row r="30" spans="3:62" x14ac:dyDescent="0.3">
      <c r="C30" s="1">
        <v>20.29</v>
      </c>
      <c r="D30" s="1">
        <v>3.58</v>
      </c>
      <c r="E30" s="1">
        <v>44.33</v>
      </c>
      <c r="F30" s="1">
        <v>213.72</v>
      </c>
      <c r="G30" s="1">
        <v>779.04</v>
      </c>
      <c r="H30" s="1">
        <v>21.89</v>
      </c>
      <c r="I30" s="1">
        <v>99.98</v>
      </c>
      <c r="J30" s="1">
        <v>91.36</v>
      </c>
      <c r="K30" s="1">
        <v>234.8</v>
      </c>
      <c r="L30" s="1">
        <v>169.56</v>
      </c>
      <c r="M30" s="1">
        <v>18.23</v>
      </c>
      <c r="O30" s="1">
        <v>16.807200000000002</v>
      </c>
      <c r="P30" s="1">
        <v>1.0781986291589318</v>
      </c>
      <c r="Q30" s="1">
        <v>0.13808962825455756</v>
      </c>
      <c r="R30" s="1">
        <v>0.73129999999999995</v>
      </c>
      <c r="T30" s="28">
        <v>20.29</v>
      </c>
      <c r="U30" s="29">
        <f t="shared" si="9"/>
        <v>0.49436086915131611</v>
      </c>
      <c r="V30" s="28">
        <v>44.33</v>
      </c>
      <c r="W30" s="28">
        <v>213.72</v>
      </c>
      <c r="X30" s="28">
        <v>779.04</v>
      </c>
      <c r="Y30" s="29">
        <f t="shared" si="10"/>
        <v>23.593005188144794</v>
      </c>
      <c r="Z30" s="29">
        <f t="shared" si="11"/>
        <v>107.79829894331002</v>
      </c>
      <c r="AA30" s="29">
        <f t="shared" si="12"/>
        <v>66.811567999999994</v>
      </c>
      <c r="AB30" s="29">
        <f t="shared" si="13"/>
        <v>253.16103812651721</v>
      </c>
      <c r="AC30" s="29">
        <f t="shared" si="14"/>
        <v>10.088533485649007</v>
      </c>
      <c r="AD30" s="29">
        <f t="shared" si="15"/>
        <v>19.655561009567329</v>
      </c>
      <c r="AF30">
        <f t="shared" si="18"/>
        <v>1.5515515515515554E-2</v>
      </c>
      <c r="AG30">
        <f t="shared" si="19"/>
        <v>9.3488341748393378E-3</v>
      </c>
      <c r="AH30">
        <f t="shared" si="20"/>
        <v>1.557846506300109E-2</v>
      </c>
      <c r="AI30">
        <f t="shared" si="21"/>
        <v>-1.0097267253358022E-2</v>
      </c>
      <c r="AJ30">
        <f t="shared" si="22"/>
        <v>2.0473926199551906E-2</v>
      </c>
      <c r="AK30">
        <f t="shared" si="23"/>
        <v>-6.2954322639163784E-3</v>
      </c>
      <c r="AL30">
        <f t="shared" si="24"/>
        <v>-2.5174131519300813E-2</v>
      </c>
      <c r="AM30">
        <f t="shared" si="25"/>
        <v>1.4175475411110083E-2</v>
      </c>
      <c r="AN30">
        <f t="shared" si="26"/>
        <v>-1.100122811438442E-2</v>
      </c>
      <c r="AO30">
        <f t="shared" si="27"/>
        <v>5.4955008668540195E-3</v>
      </c>
      <c r="AP30">
        <f t="shared" si="28"/>
        <v>1.4701209075216326E-3</v>
      </c>
    </row>
    <row r="31" spans="3:62" x14ac:dyDescent="0.3">
      <c r="C31" s="1">
        <v>20.58</v>
      </c>
      <c r="D31" s="1">
        <v>3.69</v>
      </c>
      <c r="E31" s="1">
        <v>44.68</v>
      </c>
      <c r="F31" s="1">
        <v>215.76</v>
      </c>
      <c r="G31" s="1">
        <v>787.19</v>
      </c>
      <c r="H31" s="1">
        <v>22</v>
      </c>
      <c r="I31" s="1">
        <v>98</v>
      </c>
      <c r="J31" s="1">
        <v>91.15</v>
      </c>
      <c r="K31" s="1">
        <v>228.7</v>
      </c>
      <c r="L31" s="1">
        <v>169.09</v>
      </c>
      <c r="M31" s="1">
        <v>18.234999999999999</v>
      </c>
      <c r="O31" s="1">
        <v>16.846</v>
      </c>
      <c r="P31" s="1">
        <v>1.0796984447346551</v>
      </c>
      <c r="Q31" s="1">
        <v>0.13810993707705094</v>
      </c>
      <c r="R31" s="1">
        <v>0.73160000000000003</v>
      </c>
      <c r="T31" s="28">
        <v>20.58</v>
      </c>
      <c r="U31" s="29">
        <f t="shared" si="9"/>
        <v>0.50962566781431795</v>
      </c>
      <c r="V31" s="28">
        <v>44.68</v>
      </c>
      <c r="W31" s="28">
        <v>215.76</v>
      </c>
      <c r="X31" s="28">
        <v>787.19</v>
      </c>
      <c r="Y31" s="29">
        <f t="shared" si="10"/>
        <v>23.720369841496499</v>
      </c>
      <c r="Z31" s="29">
        <f t="shared" si="11"/>
        <v>105.81044758399621</v>
      </c>
      <c r="AA31" s="29">
        <f t="shared" si="12"/>
        <v>66.685340000000011</v>
      </c>
      <c r="AB31" s="29">
        <f t="shared" si="13"/>
        <v>246.92703431081563</v>
      </c>
      <c r="AC31" s="29">
        <f t="shared" si="14"/>
        <v>10.037397601804583</v>
      </c>
      <c r="AD31" s="29">
        <f t="shared" si="15"/>
        <v>19.688301139736435</v>
      </c>
      <c r="AF31">
        <f t="shared" si="18"/>
        <v>1.4292755051749539E-2</v>
      </c>
      <c r="AG31">
        <f t="shared" si="19"/>
        <v>3.0877845751034805E-2</v>
      </c>
      <c r="AH31">
        <f t="shared" si="20"/>
        <v>7.8953304759756815E-3</v>
      </c>
      <c r="AI31">
        <f t="shared" si="21"/>
        <v>9.5451993262212209E-3</v>
      </c>
      <c r="AJ31">
        <f t="shared" si="22"/>
        <v>1.0461593756418308E-2</v>
      </c>
      <c r="AK31">
        <f t="shared" si="23"/>
        <v>5.3984073811716993E-3</v>
      </c>
      <c r="AL31">
        <f t="shared" si="24"/>
        <v>-1.8440470571425283E-2</v>
      </c>
      <c r="AM31">
        <f t="shared" si="25"/>
        <v>-1.8893135392359373E-3</v>
      </c>
      <c r="AN31">
        <f t="shared" si="26"/>
        <v>-2.4624657339989864E-2</v>
      </c>
      <c r="AO31">
        <f t="shared" si="27"/>
        <v>-5.0687132988322947E-3</v>
      </c>
      <c r="AP31">
        <f t="shared" si="28"/>
        <v>1.6656929890308536E-3</v>
      </c>
    </row>
    <row r="32" spans="3:62" x14ac:dyDescent="0.3">
      <c r="C32" s="1">
        <v>21.13</v>
      </c>
      <c r="D32" s="1">
        <v>3.7</v>
      </c>
      <c r="E32" s="1">
        <v>44.2</v>
      </c>
      <c r="F32" s="1">
        <v>212.41</v>
      </c>
      <c r="G32" s="1">
        <v>775.15</v>
      </c>
      <c r="H32" s="1">
        <v>22.21</v>
      </c>
      <c r="I32" s="1">
        <v>98.3</v>
      </c>
      <c r="J32" s="1">
        <v>90.99</v>
      </c>
      <c r="K32" s="1">
        <v>232.1</v>
      </c>
      <c r="L32" s="1">
        <v>167.94</v>
      </c>
      <c r="M32" s="1">
        <v>18.34</v>
      </c>
      <c r="O32" s="1">
        <v>16.6782</v>
      </c>
      <c r="P32" s="1">
        <v>1.082550874794642</v>
      </c>
      <c r="Q32" s="1">
        <v>0.13847417587029776</v>
      </c>
      <c r="R32" s="1">
        <v>0.73250000000000004</v>
      </c>
      <c r="T32" s="28">
        <v>21.13</v>
      </c>
      <c r="U32" s="29">
        <f t="shared" si="9"/>
        <v>0.51235445072010177</v>
      </c>
      <c r="V32" s="28">
        <v>44.2</v>
      </c>
      <c r="W32" s="28">
        <v>212.41</v>
      </c>
      <c r="X32" s="28">
        <v>775.15</v>
      </c>
      <c r="Y32" s="29">
        <f t="shared" si="10"/>
        <v>23.980102457556693</v>
      </c>
      <c r="Z32" s="29">
        <f t="shared" si="11"/>
        <v>106.4147509923133</v>
      </c>
      <c r="AA32" s="29">
        <f t="shared" si="12"/>
        <v>66.650175000000004</v>
      </c>
      <c r="AB32" s="29">
        <f t="shared" si="13"/>
        <v>251.26005803983639</v>
      </c>
      <c r="AC32" s="29">
        <f t="shared" si="14"/>
        <v>10.069431953088463</v>
      </c>
      <c r="AD32" s="29">
        <f t="shared" si="15"/>
        <v>19.853983043733734</v>
      </c>
      <c r="AF32">
        <f t="shared" si="18"/>
        <v>2.6724975704567555E-2</v>
      </c>
      <c r="AG32">
        <f t="shared" si="19"/>
        <v>5.354484827043704E-3</v>
      </c>
      <c r="AH32">
        <f t="shared" si="20"/>
        <v>-1.0743061772605089E-2</v>
      </c>
      <c r="AI32">
        <f t="shared" si="21"/>
        <v>-1.552651093807933E-2</v>
      </c>
      <c r="AJ32">
        <f t="shared" si="22"/>
        <v>-1.5294909742247786E-2</v>
      </c>
      <c r="AK32">
        <f t="shared" si="23"/>
        <v>1.094977092666638E-2</v>
      </c>
      <c r="AL32">
        <f t="shared" si="24"/>
        <v>5.7111884706599891E-3</v>
      </c>
      <c r="AM32">
        <f t="shared" si="25"/>
        <v>-5.2732729562454672E-4</v>
      </c>
      <c r="AN32">
        <f t="shared" si="26"/>
        <v>1.7547789941730896E-2</v>
      </c>
      <c r="AO32">
        <f t="shared" si="27"/>
        <v>3.1914996849502497E-3</v>
      </c>
      <c r="AP32">
        <f t="shared" si="28"/>
        <v>8.4152463344289163E-3</v>
      </c>
      <c r="AR32" s="78" t="s">
        <v>2328</v>
      </c>
    </row>
    <row r="33" spans="3:53" ht="15" thickBot="1" x14ac:dyDescent="0.35">
      <c r="C33" s="1">
        <v>21.79</v>
      </c>
      <c r="D33" s="1">
        <v>3.79</v>
      </c>
      <c r="E33" s="1">
        <v>44.57</v>
      </c>
      <c r="F33" s="1">
        <v>213.67</v>
      </c>
      <c r="G33" s="1">
        <v>777.9</v>
      </c>
      <c r="H33" s="1">
        <v>22.13</v>
      </c>
      <c r="I33" s="1">
        <v>97.72</v>
      </c>
      <c r="J33" s="1">
        <v>89.91</v>
      </c>
      <c r="K33" s="1">
        <v>229.7</v>
      </c>
      <c r="L33" s="1">
        <v>163.76</v>
      </c>
      <c r="M33" s="1">
        <v>18.260000000000002</v>
      </c>
      <c r="O33" s="1">
        <v>16.689299999999999</v>
      </c>
      <c r="P33" s="1">
        <v>1.0872475178707315</v>
      </c>
      <c r="Q33" s="1">
        <v>0.13854385744159431</v>
      </c>
      <c r="R33" s="1">
        <v>0.73499999999999999</v>
      </c>
      <c r="T33" s="28">
        <v>21.79</v>
      </c>
      <c r="U33" s="29">
        <f t="shared" si="9"/>
        <v>0.52508121970364241</v>
      </c>
      <c r="V33" s="28">
        <v>44.57</v>
      </c>
      <c r="W33" s="28">
        <v>213.67</v>
      </c>
      <c r="X33" s="28">
        <v>777.9</v>
      </c>
      <c r="Y33" s="29">
        <f t="shared" si="10"/>
        <v>23.956850859205424</v>
      </c>
      <c r="Z33" s="29">
        <f t="shared" si="11"/>
        <v>106.24582744632788</v>
      </c>
      <c r="AA33" s="29">
        <f t="shared" si="12"/>
        <v>66.083849999999998</v>
      </c>
      <c r="AB33" s="29">
        <f t="shared" si="13"/>
        <v>249.74075485490701</v>
      </c>
      <c r="AC33" s="29">
        <f t="shared" si="14"/>
        <v>9.8122749306441843</v>
      </c>
      <c r="AD33" s="29">
        <f t="shared" si="15"/>
        <v>19.853139676319557</v>
      </c>
      <c r="AF33">
        <f t="shared" si="18"/>
        <v>3.1235210601041175E-2</v>
      </c>
      <c r="AG33">
        <f t="shared" si="19"/>
        <v>2.4839774428920158E-2</v>
      </c>
      <c r="AH33">
        <f t="shared" si="20"/>
        <v>8.3710407239818707E-3</v>
      </c>
      <c r="AI33">
        <f t="shared" si="21"/>
        <v>5.9319241090343144E-3</v>
      </c>
      <c r="AJ33">
        <f t="shared" si="22"/>
        <v>3.5477004450752414E-3</v>
      </c>
      <c r="AK33">
        <f t="shared" si="23"/>
        <v>-9.6962047565984921E-4</v>
      </c>
      <c r="AL33">
        <f t="shared" si="24"/>
        <v>-1.5874072382843218E-3</v>
      </c>
      <c r="AM33">
        <f t="shared" si="25"/>
        <v>-8.496976939670553E-3</v>
      </c>
      <c r="AN33">
        <f t="shared" si="26"/>
        <v>-6.0467357875421124E-3</v>
      </c>
      <c r="AO33">
        <f t="shared" si="27"/>
        <v>-2.553838425467525E-2</v>
      </c>
      <c r="AP33">
        <f t="shared" si="28"/>
        <v>-4.247849977101481E-5</v>
      </c>
      <c r="AS33" s="59" t="s">
        <v>2329</v>
      </c>
      <c r="AT33" s="59" t="s">
        <v>2330</v>
      </c>
      <c r="AU33" s="59" t="s">
        <v>764</v>
      </c>
    </row>
    <row r="34" spans="3:53" x14ac:dyDescent="0.3">
      <c r="C34" s="1">
        <v>21.51</v>
      </c>
      <c r="D34" s="1">
        <v>3.79</v>
      </c>
      <c r="E34" s="1">
        <v>45.13</v>
      </c>
      <c r="F34" s="1">
        <v>209.25</v>
      </c>
      <c r="G34" s="1">
        <v>787.04</v>
      </c>
      <c r="H34" s="1">
        <v>22.11</v>
      </c>
      <c r="I34" s="1">
        <v>97.36</v>
      </c>
      <c r="J34" s="1">
        <v>90.7</v>
      </c>
      <c r="K34" s="1">
        <v>227.1</v>
      </c>
      <c r="L34" s="1">
        <v>162.32</v>
      </c>
      <c r="M34" s="1">
        <v>18.54</v>
      </c>
      <c r="O34" s="1">
        <v>16.621700000000001</v>
      </c>
      <c r="P34" s="1">
        <v>1.083697816709482</v>
      </c>
      <c r="Q34" s="1">
        <v>0.1382349579164586</v>
      </c>
      <c r="R34" s="1">
        <v>0.73429999999999995</v>
      </c>
      <c r="T34" s="28">
        <v>21.51</v>
      </c>
      <c r="U34" s="29">
        <f t="shared" si="9"/>
        <v>0.52391049050337812</v>
      </c>
      <c r="V34" s="28">
        <v>45.13</v>
      </c>
      <c r="W34" s="28">
        <v>209.25</v>
      </c>
      <c r="X34" s="28">
        <v>787.04</v>
      </c>
      <c r="Y34" s="29">
        <f t="shared" si="10"/>
        <v>24.039042620121872</v>
      </c>
      <c r="Z34" s="29">
        <f t="shared" si="11"/>
        <v>105.50881943483516</v>
      </c>
      <c r="AA34" s="29">
        <f t="shared" si="12"/>
        <v>66.601010000000002</v>
      </c>
      <c r="AB34" s="29">
        <f t="shared" si="13"/>
        <v>246.10777417472335</v>
      </c>
      <c r="AC34" s="29">
        <f t="shared" si="14"/>
        <v>9.7655474470120378</v>
      </c>
      <c r="AD34" s="29">
        <f t="shared" si="15"/>
        <v>20.091757521793795</v>
      </c>
      <c r="AF34">
        <f t="shared" si="18"/>
        <v>-1.2849931161082906E-2</v>
      </c>
      <c r="AG34">
        <f t="shared" si="19"/>
        <v>-2.2296154505869747E-3</v>
      </c>
      <c r="AH34">
        <f t="shared" si="20"/>
        <v>1.2564505272604887E-2</v>
      </c>
      <c r="AI34">
        <f t="shared" si="21"/>
        <v>-2.0686104740955669E-2</v>
      </c>
      <c r="AJ34">
        <f t="shared" si="22"/>
        <v>1.1749582208510079E-2</v>
      </c>
      <c r="AK34">
        <f t="shared" si="23"/>
        <v>3.4308249193306661E-3</v>
      </c>
      <c r="AL34">
        <f t="shared" si="24"/>
        <v>-6.9368184069631411E-3</v>
      </c>
      <c r="AM34">
        <f t="shared" si="25"/>
        <v>7.8258152332226771E-3</v>
      </c>
      <c r="AN34">
        <f t="shared" si="26"/>
        <v>-1.4547007685206781E-2</v>
      </c>
      <c r="AO34">
        <f t="shared" si="27"/>
        <v>-4.7621457778577181E-3</v>
      </c>
      <c r="AP34">
        <f t="shared" si="28"/>
        <v>1.2019149079923963E-2</v>
      </c>
      <c r="AR34" s="66" t="s">
        <v>755</v>
      </c>
      <c r="AS34" s="66">
        <v>6.39389371804642E-2</v>
      </c>
      <c r="AT34" s="64" cm="1">
        <f t="array" ref="AT34:AT44">MMULT(MINVERSE(V),UNO)/MMULT(TRANSPOSE(UNO),MMULT(MINVERSE(V),UNO))</f>
        <v>6.3938937180464159E-2</v>
      </c>
      <c r="AU34" s="66" cm="1">
        <f t="array" ref="AU34:AU44">Port_min_var(V)</f>
        <v>6.3938937180464159E-2</v>
      </c>
      <c r="AW34" s="59" t="s">
        <v>762</v>
      </c>
      <c r="AX34" s="88" t="s">
        <v>2331</v>
      </c>
      <c r="AY34" s="59" t="s">
        <v>2332</v>
      </c>
      <c r="AZ34" s="59" t="s">
        <v>2324</v>
      </c>
      <c r="BA34" s="1" t="s">
        <v>763</v>
      </c>
    </row>
    <row r="35" spans="3:53" x14ac:dyDescent="0.3">
      <c r="C35" s="1">
        <v>21.2</v>
      </c>
      <c r="D35" s="1">
        <v>3.82</v>
      </c>
      <c r="E35" s="1">
        <v>44.97</v>
      </c>
      <c r="F35" s="1">
        <v>207.01</v>
      </c>
      <c r="G35" s="1">
        <v>793.07</v>
      </c>
      <c r="H35" s="1">
        <v>21.77</v>
      </c>
      <c r="I35" s="1">
        <v>99.34</v>
      </c>
      <c r="J35" s="1">
        <v>92.09</v>
      </c>
      <c r="K35" s="1">
        <v>234.3</v>
      </c>
      <c r="L35" s="1">
        <v>161.6</v>
      </c>
      <c r="M35" s="1">
        <v>18.22</v>
      </c>
      <c r="O35" s="1">
        <v>16.566800000000001</v>
      </c>
      <c r="P35" s="1">
        <v>1.0871019146727188</v>
      </c>
      <c r="Q35" s="1">
        <v>0.13810150421324577</v>
      </c>
      <c r="R35" s="1">
        <v>0.73460000000000003</v>
      </c>
      <c r="T35" s="28">
        <v>21.2</v>
      </c>
      <c r="U35" s="29">
        <f t="shared" si="9"/>
        <v>0.52754774609459876</v>
      </c>
      <c r="V35" s="28">
        <v>44.97</v>
      </c>
      <c r="W35" s="28">
        <v>207.01</v>
      </c>
      <c r="X35" s="28">
        <v>793.07</v>
      </c>
      <c r="Y35" s="29">
        <f t="shared" si="10"/>
        <v>23.592101469765421</v>
      </c>
      <c r="Z35" s="29">
        <f t="shared" si="11"/>
        <v>107.99270420358789</v>
      </c>
      <c r="AA35" s="29">
        <f t="shared" si="12"/>
        <v>67.649314000000004</v>
      </c>
      <c r="AB35" s="29">
        <f t="shared" si="13"/>
        <v>254.70797860781803</v>
      </c>
      <c r="AC35" s="29">
        <f t="shared" si="14"/>
        <v>9.754448656348842</v>
      </c>
      <c r="AD35" s="29">
        <f t="shared" si="15"/>
        <v>19.806996885336936</v>
      </c>
      <c r="AF35">
        <f t="shared" si="18"/>
        <v>-1.44119014411902E-2</v>
      </c>
      <c r="AG35">
        <f t="shared" si="19"/>
        <v>6.9425133818679097E-3</v>
      </c>
      <c r="AH35">
        <f t="shared" si="20"/>
        <v>-3.5453135386661616E-3</v>
      </c>
      <c r="AI35">
        <f t="shared" si="21"/>
        <v>-1.0704898446833977E-2</v>
      </c>
      <c r="AJ35">
        <f t="shared" si="22"/>
        <v>7.6616182150843759E-3</v>
      </c>
      <c r="AK35">
        <f t="shared" si="23"/>
        <v>-1.8592302423156348E-2</v>
      </c>
      <c r="AL35">
        <f t="shared" si="24"/>
        <v>2.3541963430714352E-2</v>
      </c>
      <c r="AM35">
        <f t="shared" si="25"/>
        <v>1.5740061599666566E-2</v>
      </c>
      <c r="AN35">
        <f t="shared" si="26"/>
        <v>3.4944871050635706E-2</v>
      </c>
      <c r="AO35">
        <f t="shared" si="27"/>
        <v>-1.1365251895418815E-3</v>
      </c>
      <c r="AP35">
        <f t="shared" si="28"/>
        <v>-1.417300781915054E-2</v>
      </c>
      <c r="AR35" s="70">
        <v>603336</v>
      </c>
      <c r="AS35" s="67">
        <v>2.4262159607022063E-2</v>
      </c>
      <c r="AT35" s="65">
        <v>2.4262159607022066E-2</v>
      </c>
      <c r="AU35" s="67">
        <v>2.4262159607022063E-2</v>
      </c>
      <c r="AW35" s="32" cm="1">
        <f t="array" ref="AW35">MMULT(TRANSPOSE(AS34:AS44),M)</f>
        <v>0.33690541470377772</v>
      </c>
      <c r="AX35" s="32" cm="1">
        <f t="array" ref="AX35">SQRT(MMULT(TRANSPOSE(AS34:AS44),MMULT(V,AS34:AS44)))</f>
        <v>8.9233170110689736E-2</v>
      </c>
      <c r="AY35" s="33">
        <f>AW35-$AS$14</f>
        <v>0.23760541470377772</v>
      </c>
      <c r="AZ35" s="37">
        <f>AW35/AX35</f>
        <v>3.7755625434562248</v>
      </c>
      <c r="BA35" s="37">
        <f>AY35/AX35</f>
        <v>2.662747657726817</v>
      </c>
    </row>
    <row r="36" spans="3:53" x14ac:dyDescent="0.3">
      <c r="C36" s="1">
        <v>21.25</v>
      </c>
      <c r="D36" s="1">
        <v>3.89</v>
      </c>
      <c r="E36" s="1">
        <v>45.69</v>
      </c>
      <c r="F36" s="1">
        <v>209.22</v>
      </c>
      <c r="G36" s="1">
        <v>795.81</v>
      </c>
      <c r="H36" s="1">
        <v>21.76</v>
      </c>
      <c r="I36" s="1">
        <v>99.96</v>
      </c>
      <c r="J36" s="1">
        <v>92.45</v>
      </c>
      <c r="K36" s="1">
        <v>234.3</v>
      </c>
      <c r="L36" s="1">
        <v>161.51</v>
      </c>
      <c r="M36" s="1">
        <v>18.164999999999999</v>
      </c>
      <c r="O36" s="1">
        <v>16.613800000000001</v>
      </c>
      <c r="P36" s="1">
        <v>1.0866990092573643</v>
      </c>
      <c r="Q36" s="1">
        <v>0.13804186880785851</v>
      </c>
      <c r="R36" s="1">
        <v>0.73380000000000001</v>
      </c>
      <c r="T36" s="28">
        <v>21.25</v>
      </c>
      <c r="U36" s="29">
        <f t="shared" si="9"/>
        <v>0.53698286966256958</v>
      </c>
      <c r="V36" s="28">
        <v>45.69</v>
      </c>
      <c r="W36" s="28">
        <v>209.22</v>
      </c>
      <c r="X36" s="28">
        <v>795.81</v>
      </c>
      <c r="Y36" s="29">
        <f t="shared" si="10"/>
        <v>23.655337663278363</v>
      </c>
      <c r="Z36" s="29">
        <f t="shared" si="11"/>
        <v>108.62643296536612</v>
      </c>
      <c r="AA36" s="29">
        <f t="shared" si="12"/>
        <v>67.83981</v>
      </c>
      <c r="AB36" s="29">
        <f t="shared" si="13"/>
        <v>254.61357786900047</v>
      </c>
      <c r="AC36" s="29">
        <f t="shared" si="14"/>
        <v>9.721436396248901</v>
      </c>
      <c r="AD36" s="29">
        <f t="shared" si="15"/>
        <v>19.73988750316002</v>
      </c>
      <c r="AF36">
        <f t="shared" si="18"/>
        <v>2.3584905660378741E-3</v>
      </c>
      <c r="AG36">
        <f t="shared" si="19"/>
        <v>1.7884871346372844E-2</v>
      </c>
      <c r="AH36">
        <f t="shared" si="20"/>
        <v>1.6010673782521634E-2</v>
      </c>
      <c r="AI36">
        <f t="shared" si="21"/>
        <v>1.0675812762668491E-2</v>
      </c>
      <c r="AJ36">
        <f t="shared" si="22"/>
        <v>3.4549283165419276E-3</v>
      </c>
      <c r="AK36">
        <f t="shared" si="23"/>
        <v>2.6803968096689168E-3</v>
      </c>
      <c r="AL36">
        <f t="shared" si="24"/>
        <v>5.8682553275406502E-3</v>
      </c>
      <c r="AM36">
        <f t="shared" si="25"/>
        <v>2.8159339501949709E-3</v>
      </c>
      <c r="AN36">
        <f t="shared" si="26"/>
        <v>-3.7062340698368335E-4</v>
      </c>
      <c r="AO36">
        <f t="shared" si="27"/>
        <v>-3.384328654849611E-3</v>
      </c>
      <c r="AP36">
        <f t="shared" si="28"/>
        <v>-3.3881654329231958E-3</v>
      </c>
      <c r="AR36" s="67" t="s">
        <v>1169</v>
      </c>
      <c r="AS36" s="67">
        <v>0.26306447268339206</v>
      </c>
      <c r="AT36" s="65">
        <v>0.26306447268339206</v>
      </c>
      <c r="AU36" s="67">
        <v>0.26306447268339206</v>
      </c>
    </row>
    <row r="37" spans="3:53" x14ac:dyDescent="0.3">
      <c r="C37" s="1">
        <v>21.1</v>
      </c>
      <c r="D37" s="1">
        <v>3.83</v>
      </c>
      <c r="E37" s="1">
        <v>45.89</v>
      </c>
      <c r="F37" s="1">
        <v>206.98</v>
      </c>
      <c r="G37" s="1">
        <v>793</v>
      </c>
      <c r="H37" s="1">
        <v>21.76</v>
      </c>
      <c r="I37" s="1">
        <v>99.82</v>
      </c>
      <c r="J37" s="1">
        <v>92.72</v>
      </c>
      <c r="K37" s="1">
        <v>234.1</v>
      </c>
      <c r="L37" s="1">
        <v>159.22999999999999</v>
      </c>
      <c r="M37" s="1">
        <v>18.335000000000001</v>
      </c>
      <c r="O37" s="1">
        <v>16.640499999999999</v>
      </c>
      <c r="P37" s="1">
        <v>1.0837474835491721</v>
      </c>
      <c r="Q37" s="1">
        <v>0.13797061386376613</v>
      </c>
      <c r="R37" s="1">
        <v>0.73229999999999995</v>
      </c>
      <c r="T37" s="28">
        <v>21.1</v>
      </c>
      <c r="U37" s="29">
        <f t="shared" si="9"/>
        <v>0.52842745109822431</v>
      </c>
      <c r="V37" s="28">
        <v>45.89</v>
      </c>
      <c r="W37" s="28">
        <v>206.98</v>
      </c>
      <c r="X37" s="28">
        <v>793</v>
      </c>
      <c r="Y37" s="29">
        <f t="shared" si="10"/>
        <v>23.64657044144025</v>
      </c>
      <c r="Z37" s="29">
        <f t="shared" si="11"/>
        <v>108.17967380787834</v>
      </c>
      <c r="AA37" s="29">
        <f t="shared" si="12"/>
        <v>67.898855999999995</v>
      </c>
      <c r="AB37" s="29">
        <f t="shared" si="13"/>
        <v>253.70528589886118</v>
      </c>
      <c r="AC37" s="29">
        <f t="shared" si="14"/>
        <v>9.5688230521919415</v>
      </c>
      <c r="AD37" s="29">
        <f t="shared" si="15"/>
        <v>19.870510110874072</v>
      </c>
      <c r="AF37">
        <f t="shared" si="18"/>
        <v>-7.058823529411673E-3</v>
      </c>
      <c r="AG37">
        <f t="shared" si="19"/>
        <v>-1.5932386390130726E-2</v>
      </c>
      <c r="AH37">
        <f t="shared" si="20"/>
        <v>4.3773254541474849E-3</v>
      </c>
      <c r="AI37">
        <f t="shared" si="21"/>
        <v>-1.0706433419367167E-2</v>
      </c>
      <c r="AJ37">
        <f t="shared" si="22"/>
        <v>-3.5309935788692126E-3</v>
      </c>
      <c r="AK37">
        <f t="shared" si="23"/>
        <v>-3.7062340698368335E-4</v>
      </c>
      <c r="AL37">
        <f t="shared" si="24"/>
        <v>-4.1128033508217587E-3</v>
      </c>
      <c r="AM37">
        <f t="shared" si="25"/>
        <v>8.7037389992672409E-4</v>
      </c>
      <c r="AN37">
        <f t="shared" si="26"/>
        <v>-3.567335166259733E-3</v>
      </c>
      <c r="AO37">
        <f t="shared" si="27"/>
        <v>-1.5698641418447901E-2</v>
      </c>
      <c r="AP37">
        <f t="shared" si="28"/>
        <v>6.6171910905339359E-3</v>
      </c>
      <c r="AR37" s="67" t="s">
        <v>756</v>
      </c>
      <c r="AS37" s="67">
        <v>6.6975998312915105E-2</v>
      </c>
      <c r="AT37" s="65">
        <v>6.6975998312915105E-2</v>
      </c>
      <c r="AU37" s="67">
        <v>6.6975998312915105E-2</v>
      </c>
    </row>
    <row r="38" spans="3:53" x14ac:dyDescent="0.3">
      <c r="C38" s="1">
        <v>21.2</v>
      </c>
      <c r="D38" s="1">
        <v>3.78</v>
      </c>
      <c r="E38" s="1">
        <v>45.82</v>
      </c>
      <c r="F38" s="1">
        <v>209.38</v>
      </c>
      <c r="G38" s="1">
        <v>800.93</v>
      </c>
      <c r="H38" s="1">
        <v>21.72</v>
      </c>
      <c r="I38" s="1">
        <v>98.6</v>
      </c>
      <c r="J38" s="1">
        <v>92.89</v>
      </c>
      <c r="K38" s="1">
        <v>229.8</v>
      </c>
      <c r="L38" s="1">
        <v>160.96</v>
      </c>
      <c r="M38" s="1">
        <v>18.32</v>
      </c>
      <c r="O38" s="1">
        <v>16.694500000000001</v>
      </c>
      <c r="P38" s="1">
        <v>1.084500883524514</v>
      </c>
      <c r="Q38" s="1">
        <v>0.13789571415735719</v>
      </c>
      <c r="R38" s="1">
        <v>0.73009999999999997</v>
      </c>
      <c r="T38" s="28">
        <v>21.2</v>
      </c>
      <c r="U38" s="29">
        <f t="shared" si="9"/>
        <v>0.52124579951481009</v>
      </c>
      <c r="V38" s="28">
        <v>45.82</v>
      </c>
      <c r="W38" s="28">
        <v>209.38</v>
      </c>
      <c r="X38" s="28">
        <v>800.93</v>
      </c>
      <c r="Y38" s="29">
        <f t="shared" si="10"/>
        <v>23.538995342688015</v>
      </c>
      <c r="Z38" s="29">
        <f t="shared" si="11"/>
        <v>106.93178711551708</v>
      </c>
      <c r="AA38" s="29">
        <f t="shared" si="12"/>
        <v>67.818989000000002</v>
      </c>
      <c r="AB38" s="29">
        <f t="shared" si="13"/>
        <v>249.21830303393332</v>
      </c>
      <c r="AC38" s="29">
        <f t="shared" si="14"/>
        <v>9.6414986971757166</v>
      </c>
      <c r="AD38" s="29">
        <f t="shared" si="15"/>
        <v>19.868056186169095</v>
      </c>
      <c r="AF38">
        <f t="shared" si="18"/>
        <v>4.7393364928909332E-3</v>
      </c>
      <c r="AG38">
        <f t="shared" si="19"/>
        <v>-1.3590610344880183E-2</v>
      </c>
      <c r="AH38">
        <f t="shared" si="20"/>
        <v>-1.525386794508643E-3</v>
      </c>
      <c r="AI38">
        <f t="shared" si="21"/>
        <v>1.1595323219634857E-2</v>
      </c>
      <c r="AJ38">
        <f t="shared" si="22"/>
        <v>1.0000000000000009E-2</v>
      </c>
      <c r="AK38">
        <f t="shared" si="23"/>
        <v>-4.5492896747391098E-3</v>
      </c>
      <c r="AL38">
        <f t="shared" si="24"/>
        <v>-1.1535315724629069E-2</v>
      </c>
      <c r="AM38">
        <f t="shared" si="25"/>
        <v>-1.1762642952334312E-3</v>
      </c>
      <c r="AN38">
        <f t="shared" si="26"/>
        <v>-1.7685807566171774E-2</v>
      </c>
      <c r="AO38">
        <f t="shared" si="27"/>
        <v>7.5950453454280975E-3</v>
      </c>
      <c r="AP38">
        <f t="shared" si="28"/>
        <v>-1.2349580817427874E-4</v>
      </c>
      <c r="AR38" s="67" t="s">
        <v>757</v>
      </c>
      <c r="AS38" s="67">
        <v>7.3578393588797822E-2</v>
      </c>
      <c r="AT38" s="65">
        <v>7.3578393588797822E-2</v>
      </c>
      <c r="AU38" s="67">
        <v>7.3578393588797822E-2</v>
      </c>
    </row>
    <row r="39" spans="3:53" x14ac:dyDescent="0.3">
      <c r="C39" s="1">
        <v>21.33</v>
      </c>
      <c r="D39" s="1">
        <v>3.91</v>
      </c>
      <c r="E39" s="1">
        <v>44.99</v>
      </c>
      <c r="F39" s="1">
        <v>206.34</v>
      </c>
      <c r="G39" s="1">
        <v>801.86</v>
      </c>
      <c r="H39" s="1">
        <v>21.62</v>
      </c>
      <c r="I39" s="1">
        <v>97.02</v>
      </c>
      <c r="J39" s="1">
        <v>92.83</v>
      </c>
      <c r="K39" s="1">
        <v>230.6</v>
      </c>
      <c r="L39" s="1">
        <v>158.22999999999999</v>
      </c>
      <c r="M39" s="1">
        <v>18.015000000000001</v>
      </c>
      <c r="O39" s="1">
        <v>16.702300000000001</v>
      </c>
      <c r="P39" s="1">
        <v>1.0840483047244991</v>
      </c>
      <c r="Q39" s="1">
        <v>0.13777144465133542</v>
      </c>
      <c r="R39" s="1">
        <v>0.72819999999999996</v>
      </c>
      <c r="T39" s="28">
        <v>21.33</v>
      </c>
      <c r="U39" s="29">
        <f t="shared" si="9"/>
        <v>0.53868634858672149</v>
      </c>
      <c r="V39" s="28">
        <v>44.99</v>
      </c>
      <c r="W39" s="28">
        <v>206.34</v>
      </c>
      <c r="X39" s="28">
        <v>801.86</v>
      </c>
      <c r="Y39" s="29">
        <f t="shared" si="10"/>
        <v>23.446909101799996</v>
      </c>
      <c r="Z39" s="29">
        <f t="shared" si="11"/>
        <v>105.1743665243709</v>
      </c>
      <c r="AA39" s="29">
        <f t="shared" si="12"/>
        <v>67.598805999999996</v>
      </c>
      <c r="AB39" s="29">
        <f t="shared" si="13"/>
        <v>249.98153906946948</v>
      </c>
      <c r="AC39" s="29">
        <f t="shared" si="14"/>
        <v>9.4735455595935871</v>
      </c>
      <c r="AD39" s="29">
        <f t="shared" si="15"/>
        <v>19.52913020961185</v>
      </c>
      <c r="AF39">
        <f t="shared" si="18"/>
        <v>6.1320754716980286E-3</v>
      </c>
      <c r="AG39">
        <f t="shared" si="19"/>
        <v>3.3459356580226807E-2</v>
      </c>
      <c r="AH39">
        <f t="shared" si="20"/>
        <v>-1.8114360541248375E-2</v>
      </c>
      <c r="AI39">
        <f t="shared" si="21"/>
        <v>-1.4519056261342977E-2</v>
      </c>
      <c r="AJ39">
        <f t="shared" si="22"/>
        <v>1.1611501629356091E-3</v>
      </c>
      <c r="AK39">
        <f t="shared" si="23"/>
        <v>-3.9120718428037327E-3</v>
      </c>
      <c r="AL39">
        <f t="shared" si="24"/>
        <v>-1.643496885774165E-2</v>
      </c>
      <c r="AM39">
        <f t="shared" si="25"/>
        <v>-3.2466275780077547E-3</v>
      </c>
      <c r="AN39">
        <f t="shared" si="26"/>
        <v>3.0625199924911861E-3</v>
      </c>
      <c r="AO39">
        <f t="shared" si="27"/>
        <v>-1.7419816447346248E-2</v>
      </c>
      <c r="AP39">
        <f t="shared" si="28"/>
        <v>-1.7058839243326962E-2</v>
      </c>
      <c r="AR39" s="67" t="s">
        <v>758</v>
      </c>
      <c r="AS39" s="67">
        <v>0.19828230805748054</v>
      </c>
      <c r="AT39" s="65">
        <v>0.19828230805748054</v>
      </c>
      <c r="AU39" s="67">
        <v>0.19828230805748054</v>
      </c>
    </row>
    <row r="40" spans="3:53" x14ac:dyDescent="0.3">
      <c r="C40" s="1">
        <v>21.34</v>
      </c>
      <c r="D40" s="1">
        <v>3.84</v>
      </c>
      <c r="E40" s="1">
        <v>44.07</v>
      </c>
      <c r="F40" s="1">
        <v>203.18</v>
      </c>
      <c r="G40" s="1">
        <v>796.34</v>
      </c>
      <c r="H40" s="1">
        <v>22.01</v>
      </c>
      <c r="I40" s="1">
        <v>96.72</v>
      </c>
      <c r="J40" s="1">
        <v>93.51</v>
      </c>
      <c r="K40" s="1">
        <v>230.9</v>
      </c>
      <c r="L40" s="1">
        <v>155.68</v>
      </c>
      <c r="M40" s="1">
        <v>18.13</v>
      </c>
      <c r="O40" s="1">
        <v>16.6568</v>
      </c>
      <c r="P40" s="1">
        <v>1.085850823687623</v>
      </c>
      <c r="Q40" s="1">
        <v>0.13775154891695884</v>
      </c>
      <c r="R40" s="1">
        <v>0.73160000000000003</v>
      </c>
      <c r="T40" s="28">
        <v>21.34</v>
      </c>
      <c r="U40" s="29">
        <f t="shared" si="9"/>
        <v>0.52896594784112194</v>
      </c>
      <c r="V40" s="28">
        <v>44.07</v>
      </c>
      <c r="W40" s="28">
        <v>203.18</v>
      </c>
      <c r="X40" s="28">
        <v>796.34</v>
      </c>
      <c r="Y40" s="29">
        <f t="shared" si="10"/>
        <v>23.859903186986227</v>
      </c>
      <c r="Z40" s="29">
        <f t="shared" si="11"/>
        <v>105.02349166706689</v>
      </c>
      <c r="AA40" s="29">
        <f t="shared" si="12"/>
        <v>68.411916000000005</v>
      </c>
      <c r="AB40" s="29">
        <f t="shared" si="13"/>
        <v>250.72295518947215</v>
      </c>
      <c r="AC40" s="29">
        <f t="shared" si="14"/>
        <v>9.3463330291532589</v>
      </c>
      <c r="AD40" s="29">
        <f t="shared" si="15"/>
        <v>19.686475433456604</v>
      </c>
      <c r="AF40">
        <f t="shared" si="18"/>
        <v>4.6882325363339916E-4</v>
      </c>
      <c r="AG40">
        <f t="shared" si="19"/>
        <v>-1.8044639094904946E-2</v>
      </c>
      <c r="AH40">
        <f t="shared" si="20"/>
        <v>-2.0448988664147572E-2</v>
      </c>
      <c r="AI40">
        <f t="shared" si="21"/>
        <v>-1.5314529417466249E-2</v>
      </c>
      <c r="AJ40">
        <f t="shared" si="22"/>
        <v>-6.8839947122938394E-3</v>
      </c>
      <c r="AK40">
        <f t="shared" si="23"/>
        <v>1.76140097354891E-2</v>
      </c>
      <c r="AL40">
        <f t="shared" si="24"/>
        <v>-1.4345211888586729E-3</v>
      </c>
      <c r="AM40">
        <f t="shared" si="25"/>
        <v>1.2028466893335477E-2</v>
      </c>
      <c r="AN40">
        <f t="shared" si="26"/>
        <v>2.9658834918870891E-3</v>
      </c>
      <c r="AO40">
        <f t="shared" si="27"/>
        <v>-1.342818585080896E-2</v>
      </c>
      <c r="AP40">
        <f t="shared" si="28"/>
        <v>8.0569499079539142E-3</v>
      </c>
      <c r="AR40" s="67" t="s">
        <v>759</v>
      </c>
      <c r="AS40" s="67">
        <v>3.7063336247188598E-2</v>
      </c>
      <c r="AT40" s="65">
        <v>3.7063336247188598E-2</v>
      </c>
      <c r="AU40" s="67">
        <v>3.7063336247188598E-2</v>
      </c>
    </row>
    <row r="41" spans="3:53" x14ac:dyDescent="0.3">
      <c r="C41" s="1">
        <v>21.52</v>
      </c>
      <c r="D41" s="1">
        <v>3.94</v>
      </c>
      <c r="E41" s="1">
        <v>44.12</v>
      </c>
      <c r="F41" s="1">
        <v>203.91</v>
      </c>
      <c r="G41" s="1">
        <v>809.73</v>
      </c>
      <c r="H41" s="1">
        <v>22.29</v>
      </c>
      <c r="I41" s="1">
        <v>95.72</v>
      </c>
      <c r="J41" s="1">
        <v>90.77</v>
      </c>
      <c r="K41" s="1">
        <v>228.5</v>
      </c>
      <c r="L41" s="1">
        <v>158.32</v>
      </c>
      <c r="M41" s="1">
        <v>18.3</v>
      </c>
      <c r="O41" s="1">
        <v>16.745699999999999</v>
      </c>
      <c r="P41" s="1">
        <v>1.0878971915178226</v>
      </c>
      <c r="Q41" s="1">
        <v>0.13768310670799072</v>
      </c>
      <c r="R41" s="1">
        <v>0.73340000000000005</v>
      </c>
      <c r="T41" s="28">
        <v>21.52</v>
      </c>
      <c r="U41" s="29">
        <f t="shared" si="9"/>
        <v>0.54247144042948348</v>
      </c>
      <c r="V41" s="28">
        <v>44.12</v>
      </c>
      <c r="W41" s="28">
        <v>203.91</v>
      </c>
      <c r="X41" s="28">
        <v>809.73</v>
      </c>
      <c r="Y41" s="29">
        <f t="shared" si="10"/>
        <v>24.203614859997117</v>
      </c>
      <c r="Z41" s="29">
        <f t="shared" si="11"/>
        <v>104.13351917208598</v>
      </c>
      <c r="AA41" s="29">
        <f t="shared" si="12"/>
        <v>66.570717999999999</v>
      </c>
      <c r="AB41" s="29">
        <f t="shared" si="13"/>
        <v>248.58450826182246</v>
      </c>
      <c r="AC41" s="29">
        <f t="shared" si="14"/>
        <v>9.4543673898373903</v>
      </c>
      <c r="AD41" s="29">
        <f t="shared" si="15"/>
        <v>19.908518604776155</v>
      </c>
      <c r="AF41">
        <f t="shared" si="18"/>
        <v>8.434864104967188E-3</v>
      </c>
      <c r="AG41">
        <f t="shared" si="19"/>
        <v>2.5531875243542057E-2</v>
      </c>
      <c r="AH41">
        <f t="shared" si="20"/>
        <v>1.1345586566824384E-3</v>
      </c>
      <c r="AI41">
        <f t="shared" si="21"/>
        <v>3.5928733143024694E-3</v>
      </c>
      <c r="AJ41">
        <f t="shared" si="22"/>
        <v>1.6814425998945115E-2</v>
      </c>
      <c r="AK41">
        <f t="shared" si="23"/>
        <v>1.4405409373092537E-2</v>
      </c>
      <c r="AL41">
        <f t="shared" si="24"/>
        <v>-8.4740326269306943E-3</v>
      </c>
      <c r="AM41">
        <f t="shared" si="25"/>
        <v>-2.6913410815741612E-2</v>
      </c>
      <c r="AN41">
        <f t="shared" si="26"/>
        <v>-8.5291230156155917E-3</v>
      </c>
      <c r="AO41">
        <f t="shared" si="27"/>
        <v>1.1559010399816438E-2</v>
      </c>
      <c r="AP41">
        <f t="shared" si="28"/>
        <v>1.1278970279372302E-2</v>
      </c>
      <c r="AR41" s="67" t="s">
        <v>1512</v>
      </c>
      <c r="AS41" s="67">
        <v>2.6433184164851877E-2</v>
      </c>
      <c r="AT41" s="65">
        <v>2.6433184164851877E-2</v>
      </c>
      <c r="AU41" s="67">
        <v>2.6433184164851877E-2</v>
      </c>
    </row>
    <row r="42" spans="3:53" x14ac:dyDescent="0.3">
      <c r="C42" s="1">
        <v>21.54</v>
      </c>
      <c r="D42" s="1">
        <v>3.91</v>
      </c>
      <c r="E42" s="1">
        <v>44.57</v>
      </c>
      <c r="F42" s="1">
        <v>205.18</v>
      </c>
      <c r="G42" s="1">
        <v>813.17</v>
      </c>
      <c r="H42" s="1">
        <v>22.64</v>
      </c>
      <c r="I42" s="1">
        <v>95.88</v>
      </c>
      <c r="J42" s="1">
        <v>88.99</v>
      </c>
      <c r="K42" s="1">
        <v>228</v>
      </c>
      <c r="L42" s="1">
        <v>160.66999999999999</v>
      </c>
      <c r="M42" s="1">
        <v>18.52</v>
      </c>
      <c r="O42" s="1">
        <v>16.95</v>
      </c>
      <c r="P42" s="1">
        <v>1.084802359882006</v>
      </c>
      <c r="Q42" s="1">
        <v>0.13749262536873155</v>
      </c>
      <c r="R42" s="1">
        <v>0.73270000000000002</v>
      </c>
      <c r="T42" s="28">
        <v>21.54</v>
      </c>
      <c r="U42" s="29">
        <f t="shared" si="9"/>
        <v>0.53759616519174036</v>
      </c>
      <c r="V42" s="28">
        <v>44.57</v>
      </c>
      <c r="W42" s="28">
        <v>205.18</v>
      </c>
      <c r="X42" s="28">
        <v>813.17</v>
      </c>
      <c r="Y42" s="29">
        <f t="shared" si="10"/>
        <v>24.629992415963503</v>
      </c>
      <c r="Z42" s="29">
        <f t="shared" si="11"/>
        <v>104.01085026548674</v>
      </c>
      <c r="AA42" s="29">
        <f t="shared" si="12"/>
        <v>65.202973</v>
      </c>
      <c r="AB42" s="29">
        <f t="shared" si="13"/>
        <v>247.33493805309737</v>
      </c>
      <c r="AC42" s="29">
        <f t="shared" si="14"/>
        <v>9.4790560471976395</v>
      </c>
      <c r="AD42" s="29">
        <f t="shared" si="15"/>
        <v>20.090539705014752</v>
      </c>
      <c r="AF42">
        <f t="shared" si="18"/>
        <v>9.2936802973975219E-4</v>
      </c>
      <c r="AG42">
        <f t="shared" si="19"/>
        <v>-8.9871555890265187E-3</v>
      </c>
      <c r="AH42">
        <f t="shared" si="20"/>
        <v>1.0199456029011955E-2</v>
      </c>
      <c r="AI42">
        <f t="shared" si="21"/>
        <v>6.2282379481144456E-3</v>
      </c>
      <c r="AJ42">
        <f t="shared" si="22"/>
        <v>4.2483296901436596E-3</v>
      </c>
      <c r="AK42">
        <f t="shared" si="23"/>
        <v>1.7616275851054297E-2</v>
      </c>
      <c r="AL42">
        <f t="shared" si="24"/>
        <v>-1.177996360581357E-3</v>
      </c>
      <c r="AM42">
        <f t="shared" si="25"/>
        <v>-2.0545745052652165E-2</v>
      </c>
      <c r="AN42">
        <f t="shared" si="26"/>
        <v>-5.0267420824510189E-3</v>
      </c>
      <c r="AO42">
        <f t="shared" si="27"/>
        <v>2.611349479266778E-3</v>
      </c>
      <c r="AP42">
        <f t="shared" si="28"/>
        <v>9.1428751607329772E-3</v>
      </c>
      <c r="AR42" s="67" t="s">
        <v>760</v>
      </c>
      <c r="AS42" s="67">
        <v>1.9970949720540067E-2</v>
      </c>
      <c r="AT42" s="65">
        <v>1.997094972054007E-2</v>
      </c>
      <c r="AU42" s="67">
        <v>1.9970949720540067E-2</v>
      </c>
    </row>
    <row r="43" spans="3:53" x14ac:dyDescent="0.3">
      <c r="C43" s="1">
        <v>21.51</v>
      </c>
      <c r="D43" s="1">
        <v>3.87</v>
      </c>
      <c r="E43" s="1">
        <v>44.16</v>
      </c>
      <c r="F43" s="1">
        <v>203.15</v>
      </c>
      <c r="G43" s="1">
        <v>806.52</v>
      </c>
      <c r="H43" s="1">
        <v>22.25</v>
      </c>
      <c r="I43" s="1">
        <v>94.3</v>
      </c>
      <c r="J43" s="1">
        <v>88.4</v>
      </c>
      <c r="K43" s="1">
        <v>228</v>
      </c>
      <c r="L43" s="1">
        <v>160.71</v>
      </c>
      <c r="M43" s="1">
        <v>18.7</v>
      </c>
      <c r="O43" s="1">
        <v>16.9377</v>
      </c>
      <c r="P43" s="1">
        <v>1.0817525401914072</v>
      </c>
      <c r="Q43" s="1">
        <v>0.13788767069909139</v>
      </c>
      <c r="R43" s="1">
        <v>0.72889999999999999</v>
      </c>
      <c r="T43" s="28">
        <v>21.51</v>
      </c>
      <c r="U43" s="29">
        <f t="shared" si="9"/>
        <v>0.53362528560548372</v>
      </c>
      <c r="V43" s="28">
        <v>44.16</v>
      </c>
      <c r="W43" s="28">
        <v>203.15</v>
      </c>
      <c r="X43" s="28">
        <v>806.52</v>
      </c>
      <c r="Y43" s="29">
        <f t="shared" si="10"/>
        <v>24.136852507374634</v>
      </c>
      <c r="Z43" s="29">
        <f t="shared" si="11"/>
        <v>102.0092645400497</v>
      </c>
      <c r="AA43" s="29">
        <f t="shared" si="12"/>
        <v>64.434759999999997</v>
      </c>
      <c r="AB43" s="29">
        <f t="shared" si="13"/>
        <v>246.63957916364083</v>
      </c>
      <c r="AC43" s="29">
        <f t="shared" si="14"/>
        <v>9.4883012451513498</v>
      </c>
      <c r="AD43" s="29">
        <f t="shared" si="15"/>
        <v>20.228772501579314</v>
      </c>
      <c r="AF43">
        <f t="shared" si="18"/>
        <v>-1.3927576601669989E-3</v>
      </c>
      <c r="AG43">
        <f t="shared" si="19"/>
        <v>-7.3863614425901947E-3</v>
      </c>
      <c r="AH43">
        <f t="shared" si="20"/>
        <v>-9.1990127888714746E-3</v>
      </c>
      <c r="AI43">
        <f t="shared" si="21"/>
        <v>-9.8937518276634995E-3</v>
      </c>
      <c r="AJ43">
        <f t="shared" si="22"/>
        <v>-8.1778717857274863E-3</v>
      </c>
      <c r="AK43">
        <f t="shared" si="23"/>
        <v>-2.002192693608984E-2</v>
      </c>
      <c r="AL43">
        <f t="shared" si="24"/>
        <v>-1.9244008873382068E-2</v>
      </c>
      <c r="AM43">
        <f t="shared" si="25"/>
        <v>-1.1781870743838629E-2</v>
      </c>
      <c r="AN43">
        <f t="shared" si="26"/>
        <v>-2.8114058407198161E-3</v>
      </c>
      <c r="AO43">
        <f t="shared" si="27"/>
        <v>9.7532896816687753E-4</v>
      </c>
      <c r="AP43">
        <f t="shared" si="28"/>
        <v>6.8804919426856959E-3</v>
      </c>
      <c r="AR43" s="67" t="s">
        <v>1918</v>
      </c>
      <c r="AS43" s="67">
        <v>5.6864439774714233E-2</v>
      </c>
      <c r="AT43" s="65">
        <v>5.6864439774714233E-2</v>
      </c>
      <c r="AU43" s="67">
        <v>5.6864439774714233E-2</v>
      </c>
    </row>
    <row r="44" spans="3:53" ht="15" thickBot="1" x14ac:dyDescent="0.35">
      <c r="C44" s="1">
        <v>21.03</v>
      </c>
      <c r="D44" s="1">
        <v>3.84</v>
      </c>
      <c r="E44" s="1">
        <v>44.24</v>
      </c>
      <c r="F44" s="1">
        <v>206.93</v>
      </c>
      <c r="G44" s="1">
        <v>815.34</v>
      </c>
      <c r="H44" s="1">
        <v>22.61</v>
      </c>
      <c r="I44" s="1">
        <v>94.84</v>
      </c>
      <c r="J44" s="1">
        <v>88.74</v>
      </c>
      <c r="K44" s="1">
        <v>229.3</v>
      </c>
      <c r="L44" s="1">
        <v>158.31</v>
      </c>
      <c r="M44" s="1">
        <v>18.645</v>
      </c>
      <c r="O44" s="1">
        <v>17.017700000000001</v>
      </c>
      <c r="P44" s="1">
        <v>1.0849997355694365</v>
      </c>
      <c r="Q44" s="1">
        <v>0.13772718992578314</v>
      </c>
      <c r="R44" s="1">
        <v>0.73089999999999999</v>
      </c>
      <c r="T44" s="28">
        <v>21.03</v>
      </c>
      <c r="U44" s="29">
        <f t="shared" si="9"/>
        <v>0.52887240931500723</v>
      </c>
      <c r="V44" s="28">
        <v>44.24</v>
      </c>
      <c r="W44" s="28">
        <v>206.93</v>
      </c>
      <c r="X44" s="28">
        <v>815.34</v>
      </c>
      <c r="Y44" s="29">
        <f t="shared" si="10"/>
        <v>24.458424933727716</v>
      </c>
      <c r="Z44" s="29">
        <f t="shared" si="11"/>
        <v>102.90137492140536</v>
      </c>
      <c r="AA44" s="29">
        <f t="shared" si="12"/>
        <v>64.860065999999989</v>
      </c>
      <c r="AB44" s="29">
        <f t="shared" si="13"/>
        <v>248.79043936607181</v>
      </c>
      <c r="AC44" s="29">
        <f t="shared" si="14"/>
        <v>9.3026672229502214</v>
      </c>
      <c r="AD44" s="29">
        <f t="shared" si="15"/>
        <v>20.229820069692142</v>
      </c>
      <c r="AF44">
        <f t="shared" si="18"/>
        <v>-2.2315202231520281E-2</v>
      </c>
      <c r="AG44">
        <f t="shared" si="19"/>
        <v>-8.9067673865633745E-3</v>
      </c>
      <c r="AH44">
        <f t="shared" si="20"/>
        <v>1.8115942028986698E-3</v>
      </c>
      <c r="AI44">
        <f t="shared" si="21"/>
        <v>1.8606940684223527E-2</v>
      </c>
      <c r="AJ44">
        <f t="shared" si="22"/>
        <v>1.0935872638000443E-2</v>
      </c>
      <c r="AK44">
        <f t="shared" si="23"/>
        <v>1.3322881525452912E-2</v>
      </c>
      <c r="AL44">
        <f t="shared" si="24"/>
        <v>8.7453858762545078E-3</v>
      </c>
      <c r="AM44">
        <f t="shared" si="25"/>
        <v>6.6005677680802677E-3</v>
      </c>
      <c r="AN44">
        <f t="shared" si="26"/>
        <v>8.720661175811939E-3</v>
      </c>
      <c r="AO44">
        <f t="shared" si="27"/>
        <v>-1.9564516071408411E-2</v>
      </c>
      <c r="AP44">
        <f t="shared" si="28"/>
        <v>5.1786044494184225E-5</v>
      </c>
      <c r="AR44" s="68" t="s">
        <v>2307</v>
      </c>
      <c r="AS44" s="68">
        <v>0.16956582066263332</v>
      </c>
      <c r="AT44" s="68">
        <v>0.16956582066263332</v>
      </c>
      <c r="AU44" s="68">
        <v>0.16956582066263332</v>
      </c>
    </row>
    <row r="45" spans="3:53" x14ac:dyDescent="0.3">
      <c r="C45" s="1">
        <v>22.1</v>
      </c>
      <c r="D45" s="1">
        <v>3.83</v>
      </c>
      <c r="E45" s="1">
        <v>43.99</v>
      </c>
      <c r="F45" s="1">
        <v>211.18</v>
      </c>
      <c r="G45" s="1">
        <v>809.89</v>
      </c>
      <c r="H45" s="1">
        <v>22.63</v>
      </c>
      <c r="I45" s="1">
        <v>95.12</v>
      </c>
      <c r="J45" s="1">
        <v>88.46</v>
      </c>
      <c r="K45" s="1">
        <v>228.7</v>
      </c>
      <c r="L45" s="1">
        <v>156.47</v>
      </c>
      <c r="M45" s="1">
        <v>18.704999999999998</v>
      </c>
      <c r="O45" s="1">
        <v>17.633800000000001</v>
      </c>
      <c r="P45" s="1">
        <v>1.0837482561898173</v>
      </c>
      <c r="Q45" s="1">
        <v>0.1377581689709535</v>
      </c>
      <c r="R45" s="1">
        <v>0.73370000000000002</v>
      </c>
      <c r="T45" s="28">
        <v>22.1</v>
      </c>
      <c r="U45" s="29">
        <f t="shared" si="9"/>
        <v>0.52761378715875196</v>
      </c>
      <c r="V45" s="28">
        <v>43.99</v>
      </c>
      <c r="W45" s="28">
        <v>211.18</v>
      </c>
      <c r="X45" s="28">
        <v>809.89</v>
      </c>
      <c r="Y45" s="29">
        <f t="shared" si="10"/>
        <v>24.553544015936346</v>
      </c>
      <c r="Z45" s="29">
        <f t="shared" si="11"/>
        <v>103.08613412877543</v>
      </c>
      <c r="AA45" s="29">
        <f t="shared" si="12"/>
        <v>64.903102000000004</v>
      </c>
      <c r="AB45" s="29">
        <f t="shared" si="13"/>
        <v>247.8532261906112</v>
      </c>
      <c r="AC45" s="29">
        <f t="shared" si="14"/>
        <v>8.8733001395048134</v>
      </c>
      <c r="AD45" s="29">
        <f t="shared" si="15"/>
        <v>20.271511132030529</v>
      </c>
      <c r="AF45">
        <f t="shared" si="18"/>
        <v>5.0879695672848335E-2</v>
      </c>
      <c r="AG45">
        <f t="shared" si="19"/>
        <v>-2.3798219269661747E-3</v>
      </c>
      <c r="AH45">
        <f t="shared" si="20"/>
        <v>-5.6509945750452539E-3</v>
      </c>
      <c r="AI45">
        <f t="shared" si="21"/>
        <v>2.0538346300681409E-2</v>
      </c>
      <c r="AJ45">
        <f t="shared" si="22"/>
        <v>-6.684328010400642E-3</v>
      </c>
      <c r="AK45">
        <f t="shared" si="23"/>
        <v>3.889010942706328E-3</v>
      </c>
      <c r="AL45">
        <f t="shared" si="24"/>
        <v>1.7954979465646392E-3</v>
      </c>
      <c r="AM45">
        <f t="shared" si="25"/>
        <v>6.6352075559117374E-4</v>
      </c>
      <c r="AN45">
        <f t="shared" si="26"/>
        <v>-3.7670787424495256E-3</v>
      </c>
      <c r="AO45">
        <f t="shared" si="27"/>
        <v>-4.615526635050804E-2</v>
      </c>
      <c r="AP45">
        <f t="shared" si="28"/>
        <v>2.0608716337942035E-3</v>
      </c>
      <c r="AS45" s="74">
        <f>SUM(AS34:AS44)</f>
        <v>0.99999999999999978</v>
      </c>
      <c r="AT45" s="73">
        <f>SUM(_xlfn.ANCHORARRAY(AT34))</f>
        <v>0.99999999999999978</v>
      </c>
      <c r="AU45" s="73">
        <f>SUM(_xlfn.ANCHORARRAY(AU34))</f>
        <v>0.99999999999999978</v>
      </c>
    </row>
    <row r="46" spans="3:53" x14ac:dyDescent="0.3">
      <c r="C46" s="1">
        <v>23.01</v>
      </c>
      <c r="D46" s="1">
        <v>3.74</v>
      </c>
      <c r="E46" s="1">
        <v>44.39</v>
      </c>
      <c r="F46" s="1">
        <v>209.38</v>
      </c>
      <c r="G46" s="1">
        <v>815.39</v>
      </c>
      <c r="H46" s="1">
        <v>22.59</v>
      </c>
      <c r="I46" s="1">
        <v>95.52</v>
      </c>
      <c r="J46" s="1">
        <v>88.87</v>
      </c>
      <c r="K46" s="1">
        <v>228.7</v>
      </c>
      <c r="L46" s="1">
        <v>161.52000000000001</v>
      </c>
      <c r="M46" s="1">
        <v>18.434999999999999</v>
      </c>
      <c r="O46" s="1">
        <v>17.860700000000001</v>
      </c>
      <c r="P46" s="1">
        <v>1.0866483396507416</v>
      </c>
      <c r="Q46" s="1">
        <v>0.13799011236961595</v>
      </c>
      <c r="R46" s="1">
        <v>0.73360000000000003</v>
      </c>
      <c r="T46" s="28">
        <v>23.01</v>
      </c>
      <c r="U46" s="29">
        <f t="shared" si="9"/>
        <v>0.51608302026236363</v>
      </c>
      <c r="V46" s="28">
        <v>44.39</v>
      </c>
      <c r="W46" s="28">
        <v>209.38</v>
      </c>
      <c r="X46" s="28">
        <v>815.39</v>
      </c>
      <c r="Y46" s="29">
        <f t="shared" si="10"/>
        <v>24.481873107327974</v>
      </c>
      <c r="Z46" s="29">
        <f t="shared" si="11"/>
        <v>103.79664940343883</v>
      </c>
      <c r="AA46" s="29">
        <f t="shared" si="12"/>
        <v>65.195032000000012</v>
      </c>
      <c r="AB46" s="29">
        <f t="shared" si="13"/>
        <v>248.5164752781246</v>
      </c>
      <c r="AC46" s="29">
        <f t="shared" si="14"/>
        <v>9.0433185709406683</v>
      </c>
      <c r="AD46" s="29">
        <f t="shared" si="15"/>
        <v>20.032362141461419</v>
      </c>
      <c r="AF46">
        <f t="shared" si="18"/>
        <v>4.117647058823537E-2</v>
      </c>
      <c r="AG46">
        <f t="shared" si="19"/>
        <v>-2.1854559484661196E-2</v>
      </c>
      <c r="AH46">
        <f t="shared" si="20"/>
        <v>9.0929756762900826E-3</v>
      </c>
      <c r="AI46">
        <f t="shared" si="21"/>
        <v>-8.5235344256084922E-3</v>
      </c>
      <c r="AJ46">
        <f t="shared" si="22"/>
        <v>6.7910456975639466E-3</v>
      </c>
      <c r="AK46">
        <f t="shared" si="23"/>
        <v>-2.9189639003580625E-3</v>
      </c>
      <c r="AL46">
        <f t="shared" si="24"/>
        <v>6.8924427195593552E-3</v>
      </c>
      <c r="AM46">
        <f t="shared" si="25"/>
        <v>4.4979360154466796E-3</v>
      </c>
      <c r="AN46">
        <f t="shared" si="26"/>
        <v>2.6759752039835494E-3</v>
      </c>
      <c r="AO46">
        <f t="shared" si="27"/>
        <v>1.9160676271832155E-2</v>
      </c>
      <c r="AP46">
        <f t="shared" si="28"/>
        <v>-1.179729468669144E-2</v>
      </c>
      <c r="AT46" s="69"/>
    </row>
    <row r="47" spans="3:53" x14ac:dyDescent="0.3">
      <c r="C47" s="1">
        <v>22.29</v>
      </c>
      <c r="D47" s="1">
        <v>3.78</v>
      </c>
      <c r="E47" s="1">
        <v>43.98</v>
      </c>
      <c r="F47" s="1">
        <v>211.97</v>
      </c>
      <c r="G47" s="1">
        <v>827.39</v>
      </c>
      <c r="H47" s="1">
        <v>22.61</v>
      </c>
      <c r="I47" s="1">
        <v>95.68</v>
      </c>
      <c r="J47" s="1">
        <v>88.28</v>
      </c>
      <c r="K47" s="1">
        <v>233.4</v>
      </c>
      <c r="L47" s="1">
        <v>163.16</v>
      </c>
      <c r="M47" s="1">
        <v>18.545000000000002</v>
      </c>
      <c r="O47" s="1">
        <v>17.559200000000001</v>
      </c>
      <c r="P47" s="1">
        <v>1.0869003143651192</v>
      </c>
      <c r="Q47" s="1">
        <v>0.13783657569820948</v>
      </c>
      <c r="R47" s="1">
        <v>0.73089999999999999</v>
      </c>
      <c r="T47" s="28">
        <v>22.29</v>
      </c>
      <c r="U47" s="29">
        <f t="shared" si="9"/>
        <v>0.52102225613923181</v>
      </c>
      <c r="V47" s="28">
        <v>43.98</v>
      </c>
      <c r="W47" s="28">
        <v>211.97</v>
      </c>
      <c r="X47" s="28">
        <v>827.39</v>
      </c>
      <c r="Y47" s="29">
        <f t="shared" si="10"/>
        <v>24.569118959503268</v>
      </c>
      <c r="Z47" s="29">
        <f t="shared" si="11"/>
        <v>103.99462207845461</v>
      </c>
      <c r="AA47" s="29">
        <f t="shared" si="12"/>
        <v>64.523852000000005</v>
      </c>
      <c r="AB47" s="29">
        <f t="shared" si="13"/>
        <v>253.68253337281885</v>
      </c>
      <c r="AC47" s="29">
        <f t="shared" si="14"/>
        <v>9.2919950795024828</v>
      </c>
      <c r="AD47" s="29">
        <f t="shared" si="15"/>
        <v>20.156566329901139</v>
      </c>
      <c r="AF47">
        <f t="shared" si="18"/>
        <v>-3.1290743155150014E-2</v>
      </c>
      <c r="AG47">
        <f t="shared" si="19"/>
        <v>9.5706227156189261E-3</v>
      </c>
      <c r="AH47">
        <f t="shared" si="20"/>
        <v>-9.2363144852445345E-3</v>
      </c>
      <c r="AI47">
        <f t="shared" si="21"/>
        <v>1.2369853854236279E-2</v>
      </c>
      <c r="AJ47">
        <f t="shared" si="22"/>
        <v>1.4716883945105952E-2</v>
      </c>
      <c r="AK47">
        <f t="shared" si="23"/>
        <v>3.5636918708306098E-3</v>
      </c>
      <c r="AL47">
        <f t="shared" si="24"/>
        <v>1.9073127712079252E-3</v>
      </c>
      <c r="AM47">
        <f t="shared" si="25"/>
        <v>-1.0294956216909346E-2</v>
      </c>
      <c r="AN47">
        <f t="shared" si="26"/>
        <v>2.0787587981491829E-2</v>
      </c>
      <c r="AO47">
        <f t="shared" si="27"/>
        <v>2.7498368725049627E-2</v>
      </c>
      <c r="AP47">
        <f t="shared" si="28"/>
        <v>6.2001768719353034E-3</v>
      </c>
    </row>
    <row r="48" spans="3:53" x14ac:dyDescent="0.3">
      <c r="C48" s="1">
        <v>22.24</v>
      </c>
      <c r="D48" s="1">
        <v>3.77</v>
      </c>
      <c r="E48" s="1">
        <v>44.49</v>
      </c>
      <c r="F48" s="1">
        <v>212.61</v>
      </c>
      <c r="G48" s="1">
        <v>834.3</v>
      </c>
      <c r="H48" s="1">
        <v>22.61</v>
      </c>
      <c r="I48" s="1">
        <v>95.14</v>
      </c>
      <c r="J48" s="1">
        <v>87.41</v>
      </c>
      <c r="K48" s="1">
        <v>230</v>
      </c>
      <c r="L48" s="1">
        <v>165.58</v>
      </c>
      <c r="M48" s="1">
        <v>18.254999999999999</v>
      </c>
      <c r="O48" s="1">
        <v>17.5335</v>
      </c>
      <c r="P48" s="1">
        <v>1.0877006872558246</v>
      </c>
      <c r="Q48" s="1">
        <v>0.13775914677617132</v>
      </c>
      <c r="R48" s="1">
        <v>0.73009999999999997</v>
      </c>
      <c r="T48" s="28">
        <v>22.24</v>
      </c>
      <c r="U48" s="29">
        <f t="shared" si="9"/>
        <v>0.51935198334616584</v>
      </c>
      <c r="V48" s="28">
        <v>44.49</v>
      </c>
      <c r="W48" s="28">
        <v>212.61</v>
      </c>
      <c r="X48" s="28">
        <v>834.3</v>
      </c>
      <c r="Y48" s="29">
        <f t="shared" si="10"/>
        <v>24.574816107795346</v>
      </c>
      <c r="Z48" s="29">
        <f t="shared" si="11"/>
        <v>103.48384338551915</v>
      </c>
      <c r="AA48" s="29">
        <f t="shared" si="12"/>
        <v>63.818040999999994</v>
      </c>
      <c r="AB48" s="29">
        <f t="shared" si="13"/>
        <v>250.17115806883965</v>
      </c>
      <c r="AC48" s="29">
        <f t="shared" si="14"/>
        <v>9.4436364673339614</v>
      </c>
      <c r="AD48" s="29">
        <f t="shared" si="15"/>
        <v>19.855976045855076</v>
      </c>
      <c r="AF48">
        <f t="shared" si="18"/>
        <v>-2.2431583669807464E-3</v>
      </c>
      <c r="AG48">
        <f t="shared" si="19"/>
        <v>-3.2057609312943214E-3</v>
      </c>
      <c r="AH48">
        <f t="shared" si="20"/>
        <v>1.1596180081855589E-2</v>
      </c>
      <c r="AI48">
        <f t="shared" si="21"/>
        <v>3.0192951832808124E-3</v>
      </c>
      <c r="AJ48">
        <f t="shared" si="22"/>
        <v>8.3515633498107977E-3</v>
      </c>
      <c r="AK48">
        <f t="shared" si="23"/>
        <v>2.3188248229288888E-4</v>
      </c>
      <c r="AL48">
        <f t="shared" si="24"/>
        <v>-4.9115875679621723E-3</v>
      </c>
      <c r="AM48">
        <f t="shared" si="25"/>
        <v>-1.0938761064668179E-2</v>
      </c>
      <c r="AN48">
        <f t="shared" si="26"/>
        <v>-1.3841612417275884E-2</v>
      </c>
      <c r="AO48">
        <f t="shared" si="27"/>
        <v>1.6319572549708949E-2</v>
      </c>
      <c r="AP48">
        <f t="shared" si="28"/>
        <v>-1.4912772300912924E-2</v>
      </c>
      <c r="AR48" s="87" t="s">
        <v>2333</v>
      </c>
    </row>
    <row r="49" spans="3:53" ht="15" thickBot="1" x14ac:dyDescent="0.35">
      <c r="C49" s="1">
        <v>21.23</v>
      </c>
      <c r="D49" s="1">
        <v>3.66</v>
      </c>
      <c r="E49" s="1">
        <v>44.84</v>
      </c>
      <c r="F49" s="1">
        <v>213.19</v>
      </c>
      <c r="G49" s="1">
        <v>842.64</v>
      </c>
      <c r="H49" s="1">
        <v>22.54</v>
      </c>
      <c r="I49" s="1">
        <v>99.36</v>
      </c>
      <c r="J49" s="1">
        <v>87.15</v>
      </c>
      <c r="K49" s="1">
        <v>235.5</v>
      </c>
      <c r="L49" s="1">
        <v>165.3</v>
      </c>
      <c r="M49" s="1">
        <v>18.38</v>
      </c>
      <c r="O49" s="1">
        <v>18.2622</v>
      </c>
      <c r="P49" s="1">
        <v>1.0888994754191719</v>
      </c>
      <c r="Q49" s="1">
        <v>0.13785305165861725</v>
      </c>
      <c r="R49" s="1">
        <v>0.73140000000000005</v>
      </c>
      <c r="T49" s="28">
        <v>21.23</v>
      </c>
      <c r="U49" s="29">
        <f t="shared" si="9"/>
        <v>0.50454216907053917</v>
      </c>
      <c r="V49" s="28">
        <v>44.84</v>
      </c>
      <c r="W49" s="28">
        <v>213.19</v>
      </c>
      <c r="X49" s="28">
        <v>842.64</v>
      </c>
      <c r="Y49" s="29">
        <f t="shared" si="10"/>
        <v>24.516773490746285</v>
      </c>
      <c r="Z49" s="29">
        <f t="shared" si="11"/>
        <v>108.19305187764891</v>
      </c>
      <c r="AA49" s="29">
        <f t="shared" si="12"/>
        <v>63.741510000000005</v>
      </c>
      <c r="AB49" s="29">
        <f t="shared" si="13"/>
        <v>256.43582646121496</v>
      </c>
      <c r="AC49" s="29">
        <f t="shared" si="14"/>
        <v>9.0514833919243038</v>
      </c>
      <c r="AD49" s="29">
        <f t="shared" si="15"/>
        <v>20.013972358204377</v>
      </c>
      <c r="AF49">
        <f t="shared" si="18"/>
        <v>-4.5413669064748086E-2</v>
      </c>
      <c r="AG49">
        <f t="shared" si="19"/>
        <v>-2.8515948240358302E-2</v>
      </c>
      <c r="AH49">
        <f t="shared" si="20"/>
        <v>7.8669363901999745E-3</v>
      </c>
      <c r="AI49">
        <f t="shared" si="21"/>
        <v>2.7279996237241644E-3</v>
      </c>
      <c r="AJ49">
        <f t="shared" si="22"/>
        <v>9.9964041711615437E-3</v>
      </c>
      <c r="AK49">
        <f t="shared" si="23"/>
        <v>-2.3618739116688658E-3</v>
      </c>
      <c r="AL49">
        <f t="shared" si="24"/>
        <v>4.5506702670348842E-2</v>
      </c>
      <c r="AM49">
        <f t="shared" si="25"/>
        <v>-1.1992063498155181E-3</v>
      </c>
      <c r="AN49">
        <f t="shared" si="26"/>
        <v>2.5041529330297463E-2</v>
      </c>
      <c r="AO49">
        <f t="shared" si="27"/>
        <v>-4.1525642877734192E-2</v>
      </c>
      <c r="AP49">
        <f t="shared" si="28"/>
        <v>7.957116385738372E-3</v>
      </c>
      <c r="AS49" s="59" t="s">
        <v>2329</v>
      </c>
      <c r="AT49" s="59" t="s">
        <v>2330</v>
      </c>
      <c r="AU49" s="59" t="s">
        <v>764</v>
      </c>
    </row>
    <row r="50" spans="3:53" x14ac:dyDescent="0.3">
      <c r="C50" s="1">
        <v>21.5</v>
      </c>
      <c r="D50" s="1">
        <v>3.66</v>
      </c>
      <c r="E50" s="1">
        <v>43.24</v>
      </c>
      <c r="F50" s="1">
        <v>212.53</v>
      </c>
      <c r="G50" s="1">
        <v>845.58</v>
      </c>
      <c r="H50" s="1">
        <v>22.53</v>
      </c>
      <c r="I50" s="1">
        <v>97</v>
      </c>
      <c r="J50" s="1">
        <v>87.99</v>
      </c>
      <c r="K50" s="1">
        <v>229.6</v>
      </c>
      <c r="L50" s="1">
        <v>161.5</v>
      </c>
      <c r="M50" s="1">
        <v>18.41</v>
      </c>
      <c r="O50" s="1">
        <v>18.384799999999998</v>
      </c>
      <c r="P50" s="1">
        <v>1.0738000957312563</v>
      </c>
      <c r="Q50" s="1">
        <v>0.13764087724642096</v>
      </c>
      <c r="R50" s="1">
        <v>0.72640000000000005</v>
      </c>
      <c r="T50" s="28">
        <v>21.5</v>
      </c>
      <c r="U50" s="29">
        <f t="shared" si="9"/>
        <v>0.50376561072190074</v>
      </c>
      <c r="V50" s="28">
        <v>43.24</v>
      </c>
      <c r="W50" s="28">
        <v>212.53</v>
      </c>
      <c r="X50" s="28">
        <v>845.58</v>
      </c>
      <c r="Y50" s="29">
        <f t="shared" si="10"/>
        <v>24.532905181193943</v>
      </c>
      <c r="Z50" s="29">
        <f t="shared" si="11"/>
        <v>104.15860928593186</v>
      </c>
      <c r="AA50" s="29">
        <f t="shared" si="12"/>
        <v>63.915936000000002</v>
      </c>
      <c r="AB50" s="29">
        <f t="shared" si="13"/>
        <v>246.54450197989644</v>
      </c>
      <c r="AC50" s="29">
        <f t="shared" si="14"/>
        <v>8.7844306165963193</v>
      </c>
      <c r="AD50" s="29">
        <f t="shared" si="15"/>
        <v>19.76865976241243</v>
      </c>
      <c r="AF50">
        <f t="shared" si="18"/>
        <v>1.2717852096090443E-2</v>
      </c>
      <c r="AG50">
        <f t="shared" si="19"/>
        <v>-1.5391346774225045E-3</v>
      </c>
      <c r="AH50">
        <f t="shared" si="20"/>
        <v>-3.5682426404995526E-2</v>
      </c>
      <c r="AI50">
        <f t="shared" si="21"/>
        <v>-3.0958300107885028E-3</v>
      </c>
      <c r="AJ50">
        <f t="shared" si="22"/>
        <v>3.489034463115992E-3</v>
      </c>
      <c r="AK50">
        <f t="shared" si="23"/>
        <v>6.579858664415017E-4</v>
      </c>
      <c r="AL50">
        <f t="shared" si="24"/>
        <v>-3.7289294660801664E-2</v>
      </c>
      <c r="AM50">
        <f t="shared" si="25"/>
        <v>2.736458549538634E-3</v>
      </c>
      <c r="AN50">
        <f t="shared" si="26"/>
        <v>-3.8572318922116544E-2</v>
      </c>
      <c r="AO50">
        <f t="shared" si="27"/>
        <v>-2.9503757976979572E-2</v>
      </c>
      <c r="AP50">
        <f t="shared" si="28"/>
        <v>-1.225706678321592E-2</v>
      </c>
      <c r="AR50" s="66" t="s">
        <v>755</v>
      </c>
      <c r="AS50" s="66">
        <v>6.4132027652423929E-2</v>
      </c>
      <c r="AT50" s="66" cm="1">
        <f t="array" ref="AT50:AT60">MMULT(MINVERSE(V),M)/MMULT(TRANSPOSE(UNO),MMULT(MINVERSE(V),M))</f>
        <v>6.5294913762300733E-2</v>
      </c>
      <c r="AU50" s="66" cm="1">
        <f t="array" ref="AU50:AU60">Port_max_sharpe(V,M)</f>
        <v>6.5294913762300733E-2</v>
      </c>
      <c r="AW50" s="59" t="s">
        <v>762</v>
      </c>
      <c r="AX50" s="59" t="s">
        <v>2331</v>
      </c>
      <c r="AY50" s="59" t="s">
        <v>2332</v>
      </c>
      <c r="AZ50" s="88" t="s">
        <v>2324</v>
      </c>
      <c r="BA50" s="59" t="s">
        <v>763</v>
      </c>
    </row>
    <row r="51" spans="3:53" x14ac:dyDescent="0.3">
      <c r="C51" s="1">
        <v>21.21</v>
      </c>
      <c r="D51" s="1">
        <v>3.6</v>
      </c>
      <c r="E51" s="1">
        <v>43.63</v>
      </c>
      <c r="F51" s="1">
        <v>210.28</v>
      </c>
      <c r="G51" s="1">
        <v>848.34</v>
      </c>
      <c r="H51" s="1">
        <v>22.63</v>
      </c>
      <c r="I51" s="1">
        <v>95.26</v>
      </c>
      <c r="J51" s="1">
        <v>87.1</v>
      </c>
      <c r="K51" s="1">
        <v>224.4</v>
      </c>
      <c r="L51" s="1">
        <v>162.24</v>
      </c>
      <c r="M51" s="1">
        <v>18.62</v>
      </c>
      <c r="O51" s="1">
        <v>18.445699999999999</v>
      </c>
      <c r="P51" s="1">
        <v>1.0739521948204731</v>
      </c>
      <c r="Q51" s="1">
        <v>0.13750630228183264</v>
      </c>
      <c r="R51" s="1">
        <v>0.72660000000000002</v>
      </c>
      <c r="T51" s="28">
        <v>21.21</v>
      </c>
      <c r="U51" s="29">
        <f t="shared" si="9"/>
        <v>0.49502268821459749</v>
      </c>
      <c r="V51" s="28">
        <v>43.63</v>
      </c>
      <c r="W51" s="28">
        <v>210.28</v>
      </c>
      <c r="X51" s="28">
        <v>848.34</v>
      </c>
      <c r="Y51" s="29">
        <f t="shared" si="10"/>
        <v>24.30009616639833</v>
      </c>
      <c r="Z51" s="29">
        <f t="shared" si="11"/>
        <v>102.30468607859828</v>
      </c>
      <c r="AA51" s="29">
        <f t="shared" si="12"/>
        <v>63.286859999999997</v>
      </c>
      <c r="AB51" s="29">
        <f t="shared" si="13"/>
        <v>240.99487251771416</v>
      </c>
      <c r="AC51" s="29">
        <f t="shared" si="14"/>
        <v>8.7955458453731783</v>
      </c>
      <c r="AD51" s="29">
        <f t="shared" si="15"/>
        <v>19.996989867557211</v>
      </c>
      <c r="AF51">
        <f t="shared" si="18"/>
        <v>-1.3488372093023226E-2</v>
      </c>
      <c r="AG51">
        <f t="shared" si="19"/>
        <v>-1.7355139614978032E-2</v>
      </c>
      <c r="AH51">
        <f t="shared" si="20"/>
        <v>9.0194264569842808E-3</v>
      </c>
      <c r="AI51">
        <f t="shared" si="21"/>
        <v>-1.0586740695431196E-2</v>
      </c>
      <c r="AJ51">
        <f t="shared" si="22"/>
        <v>3.2640317888312786E-3</v>
      </c>
      <c r="AK51">
        <f t="shared" si="23"/>
        <v>-9.4896634979079186E-3</v>
      </c>
      <c r="AL51">
        <f t="shared" si="24"/>
        <v>-1.7799039561331553E-2</v>
      </c>
      <c r="AM51">
        <f t="shared" si="25"/>
        <v>-9.8422402826112698E-3</v>
      </c>
      <c r="AN51">
        <f t="shared" si="26"/>
        <v>-2.2509645997438654E-2</v>
      </c>
      <c r="AO51">
        <f t="shared" si="27"/>
        <v>1.2653328669771646E-3</v>
      </c>
      <c r="AP51">
        <f t="shared" si="28"/>
        <v>1.1550105464353422E-2</v>
      </c>
      <c r="AR51" s="70">
        <v>603336</v>
      </c>
      <c r="AS51" s="67">
        <v>2.9885635758929181E-2</v>
      </c>
      <c r="AT51" s="67">
        <v>3.0292455930422898E-2</v>
      </c>
      <c r="AU51" s="67">
        <v>3.0292455930422898E-2</v>
      </c>
      <c r="AW51" s="14" cm="1">
        <f t="array" ref="AW51">MMULT(TRANSPOSE(AS50:AS60),M)</f>
        <v>0.3707906473790667</v>
      </c>
      <c r="AX51" s="72" cm="1">
        <f t="array" ref="AX51">SQRT(MMULT(TRANSPOSE(AS50:AS60),MMULT(V,AS50:AS60)))</f>
        <v>9.329542650981501E-2</v>
      </c>
      <c r="AY51" s="8">
        <f>AW51-$AS$14</f>
        <v>0.2714906473790667</v>
      </c>
      <c r="AZ51" s="36">
        <f>AW51/AX51</f>
        <v>3.9743711053194897</v>
      </c>
      <c r="BA51" s="36">
        <f>AY51/AX51</f>
        <v>2.9100102495432068</v>
      </c>
    </row>
    <row r="52" spans="3:53" x14ac:dyDescent="0.3">
      <c r="C52" s="1">
        <v>21.05</v>
      </c>
      <c r="D52" s="1">
        <v>3.57</v>
      </c>
      <c r="E52" s="1">
        <v>43.77</v>
      </c>
      <c r="F52" s="1">
        <v>208.49</v>
      </c>
      <c r="G52" s="1">
        <v>849.31</v>
      </c>
      <c r="H52" s="1">
        <v>22.57</v>
      </c>
      <c r="I52" s="1">
        <v>96.48</v>
      </c>
      <c r="J52" s="1">
        <v>87.55</v>
      </c>
      <c r="K52" s="1">
        <v>225</v>
      </c>
      <c r="L52" s="1">
        <v>161.94</v>
      </c>
      <c r="M52" s="1">
        <v>18.465</v>
      </c>
      <c r="O52" s="1">
        <v>18.783200000000001</v>
      </c>
      <c r="P52" s="1">
        <v>1.0758496954725498</v>
      </c>
      <c r="Q52" s="1">
        <v>0.13755377145534306</v>
      </c>
      <c r="R52" s="1">
        <v>0.72670000000000001</v>
      </c>
      <c r="T52" s="28">
        <v>21.05</v>
      </c>
      <c r="U52" s="29">
        <f t="shared" si="9"/>
        <v>0.49106696409557471</v>
      </c>
      <c r="V52" s="28">
        <v>43.77</v>
      </c>
      <c r="W52" s="28">
        <v>208.49</v>
      </c>
      <c r="X52" s="28">
        <v>849.31</v>
      </c>
      <c r="Y52" s="29">
        <f t="shared" si="10"/>
        <v>24.239101037098077</v>
      </c>
      <c r="Z52" s="29">
        <f t="shared" si="11"/>
        <v>103.79797861919161</v>
      </c>
      <c r="AA52" s="29">
        <f t="shared" si="12"/>
        <v>63.622585000000001</v>
      </c>
      <c r="AB52" s="29">
        <f t="shared" si="13"/>
        <v>242.06618148132372</v>
      </c>
      <c r="AC52" s="29">
        <f t="shared" si="14"/>
        <v>8.6215341368882825</v>
      </c>
      <c r="AD52" s="29">
        <f t="shared" si="15"/>
        <v>19.865564626900632</v>
      </c>
      <c r="AF52">
        <f t="shared" si="18"/>
        <v>-7.543611504007508E-3</v>
      </c>
      <c r="AG52">
        <f t="shared" si="19"/>
        <v>-7.9909955911110497E-3</v>
      </c>
      <c r="AH52">
        <f t="shared" si="20"/>
        <v>3.2088012835205237E-3</v>
      </c>
      <c r="AI52">
        <f t="shared" si="21"/>
        <v>-8.5124595777058554E-3</v>
      </c>
      <c r="AJ52">
        <f t="shared" si="22"/>
        <v>1.1434094820472751E-3</v>
      </c>
      <c r="AK52">
        <f t="shared" si="23"/>
        <v>-2.5100776919803058E-3</v>
      </c>
      <c r="AL52">
        <f t="shared" si="24"/>
        <v>1.4596521409059093E-2</v>
      </c>
      <c r="AM52">
        <f t="shared" si="25"/>
        <v>5.3048136690618808E-3</v>
      </c>
      <c r="AN52">
        <f t="shared" si="26"/>
        <v>4.4453599880256434E-3</v>
      </c>
      <c r="AO52">
        <f t="shared" si="27"/>
        <v>-1.9784071568046402E-2</v>
      </c>
      <c r="AP52">
        <f t="shared" si="28"/>
        <v>-6.57225120015692E-3</v>
      </c>
      <c r="AR52" s="67" t="s">
        <v>1169</v>
      </c>
      <c r="AS52" s="67">
        <v>0.24719742014011209</v>
      </c>
      <c r="AT52" s="67">
        <v>0.25424556391546382</v>
      </c>
      <c r="AU52" s="67">
        <v>0.25424556391546382</v>
      </c>
    </row>
    <row r="53" spans="3:53" x14ac:dyDescent="0.3">
      <c r="C53" s="1">
        <v>21.53</v>
      </c>
      <c r="D53" s="1">
        <v>3.5</v>
      </c>
      <c r="E53" s="1">
        <v>43.88</v>
      </c>
      <c r="F53" s="1">
        <v>202.44</v>
      </c>
      <c r="G53" s="1">
        <v>847.81</v>
      </c>
      <c r="H53" s="1">
        <v>22.8</v>
      </c>
      <c r="I53" s="1">
        <v>95.82</v>
      </c>
      <c r="J53" s="1">
        <v>85.86</v>
      </c>
      <c r="K53" s="1">
        <v>225</v>
      </c>
      <c r="L53" s="1">
        <v>158.44</v>
      </c>
      <c r="M53" s="1">
        <v>18.754999999999999</v>
      </c>
      <c r="O53" s="1">
        <v>18.538499999999999</v>
      </c>
      <c r="P53" s="1">
        <v>1.0794023248914422</v>
      </c>
      <c r="Q53" s="1">
        <v>0.13759473528063221</v>
      </c>
      <c r="R53" s="1">
        <v>0.72850000000000004</v>
      </c>
      <c r="T53" s="28">
        <v>21.53</v>
      </c>
      <c r="U53" s="29">
        <f t="shared" si="9"/>
        <v>0.48158157348221275</v>
      </c>
      <c r="V53" s="28">
        <v>43.88</v>
      </c>
      <c r="W53" s="28">
        <v>202.44</v>
      </c>
      <c r="X53" s="28">
        <v>847.81</v>
      </c>
      <c r="Y53" s="29">
        <f t="shared" si="10"/>
        <v>24.529373056774137</v>
      </c>
      <c r="Z53" s="29">
        <f t="shared" si="11"/>
        <v>103.42833077109798</v>
      </c>
      <c r="AA53" s="29">
        <f t="shared" si="12"/>
        <v>62.549010000000003</v>
      </c>
      <c r="AB53" s="29">
        <f t="shared" si="13"/>
        <v>242.86552310057448</v>
      </c>
      <c r="AC53" s="29">
        <f t="shared" si="14"/>
        <v>8.5465382851902802</v>
      </c>
      <c r="AD53" s="29">
        <f t="shared" si="15"/>
        <v>20.244190603338996</v>
      </c>
      <c r="AF53">
        <f t="shared" si="18"/>
        <v>2.280285035629448E-2</v>
      </c>
      <c r="AG53">
        <f t="shared" si="19"/>
        <v>-1.9315880128144447E-2</v>
      </c>
      <c r="AH53">
        <f t="shared" si="20"/>
        <v>2.5131368517248287E-3</v>
      </c>
      <c r="AI53">
        <f t="shared" si="21"/>
        <v>-2.9018178329895949E-2</v>
      </c>
      <c r="AJ53">
        <f t="shared" si="22"/>
        <v>-1.7661395721232376E-3</v>
      </c>
      <c r="AK53">
        <f t="shared" si="23"/>
        <v>1.1975362420899804E-2</v>
      </c>
      <c r="AL53">
        <f t="shared" si="24"/>
        <v>-3.5612239564873915E-3</v>
      </c>
      <c r="AM53">
        <f t="shared" si="25"/>
        <v>-1.6874117893826535E-2</v>
      </c>
      <c r="AN53">
        <f t="shared" si="26"/>
        <v>3.302161476498533E-3</v>
      </c>
      <c r="AO53">
        <f t="shared" si="27"/>
        <v>-8.6986666766327714E-3</v>
      </c>
      <c r="AP53">
        <f t="shared" si="28"/>
        <v>1.9059411778593605E-2</v>
      </c>
      <c r="AR53" s="67" t="s">
        <v>756</v>
      </c>
      <c r="AS53" s="67">
        <v>3.5424943383801505E-2</v>
      </c>
      <c r="AT53" s="67">
        <v>3.841030638427393E-2</v>
      </c>
      <c r="AU53" s="67">
        <v>3.841030638427393E-2</v>
      </c>
    </row>
    <row r="54" spans="3:53" x14ac:dyDescent="0.3">
      <c r="C54" s="1">
        <v>21.47</v>
      </c>
      <c r="D54" s="1">
        <v>3.41</v>
      </c>
      <c r="E54" s="1">
        <v>43.53</v>
      </c>
      <c r="F54" s="1">
        <v>203.6</v>
      </c>
      <c r="G54" s="1">
        <v>845.96</v>
      </c>
      <c r="H54" s="1">
        <v>22.89</v>
      </c>
      <c r="I54" s="1">
        <v>96</v>
      </c>
      <c r="J54" s="1">
        <v>85.18</v>
      </c>
      <c r="K54" s="1">
        <v>223.6</v>
      </c>
      <c r="L54" s="1">
        <v>156.68</v>
      </c>
      <c r="M54" s="1">
        <v>18.89</v>
      </c>
      <c r="O54" s="1">
        <v>18.4512</v>
      </c>
      <c r="P54" s="1">
        <v>1.0698003381893861</v>
      </c>
      <c r="Q54" s="1">
        <v>0.13749783211932015</v>
      </c>
      <c r="R54" s="1">
        <v>0.72760000000000002</v>
      </c>
      <c r="T54" s="28">
        <v>21.47</v>
      </c>
      <c r="U54" s="29">
        <f t="shared" si="9"/>
        <v>0.46886760752688172</v>
      </c>
      <c r="V54" s="28">
        <v>43.53</v>
      </c>
      <c r="W54" s="28">
        <v>203.6</v>
      </c>
      <c r="X54" s="28">
        <v>845.96</v>
      </c>
      <c r="Y54" s="29">
        <f t="shared" si="10"/>
        <v>24.70751921676511</v>
      </c>
      <c r="Z54" s="29">
        <f t="shared" si="11"/>
        <v>102.70083246618107</v>
      </c>
      <c r="AA54" s="29">
        <f t="shared" si="12"/>
        <v>61.976968000000006</v>
      </c>
      <c r="AB54" s="29">
        <f t="shared" si="13"/>
        <v>239.20735561914674</v>
      </c>
      <c r="AC54" s="29">
        <f t="shared" si="14"/>
        <v>8.4915886229621922</v>
      </c>
      <c r="AD54" s="29">
        <f t="shared" si="15"/>
        <v>20.208528388397504</v>
      </c>
      <c r="AF54">
        <f t="shared" si="18"/>
        <v>-2.7868091035765374E-3</v>
      </c>
      <c r="AG54">
        <f t="shared" si="19"/>
        <v>-2.64004410787545E-2</v>
      </c>
      <c r="AH54">
        <f t="shared" si="20"/>
        <v>-7.9762989972652631E-3</v>
      </c>
      <c r="AI54">
        <f t="shared" si="21"/>
        <v>5.7300928670223072E-3</v>
      </c>
      <c r="AJ54">
        <f t="shared" si="22"/>
        <v>-2.1820926858611145E-3</v>
      </c>
      <c r="AK54">
        <f t="shared" si="23"/>
        <v>7.2625647454849229E-3</v>
      </c>
      <c r="AL54">
        <f t="shared" si="24"/>
        <v>-7.033839756410365E-3</v>
      </c>
      <c r="AM54">
        <f t="shared" si="25"/>
        <v>-9.1455004643558047E-3</v>
      </c>
      <c r="AN54">
        <f t="shared" si="26"/>
        <v>-1.5062522809846657E-2</v>
      </c>
      <c r="AO54">
        <f t="shared" si="27"/>
        <v>-6.4294642338765806E-3</v>
      </c>
      <c r="AP54">
        <f t="shared" si="28"/>
        <v>-1.7616024093158877E-3</v>
      </c>
      <c r="AR54" s="67" t="s">
        <v>757</v>
      </c>
      <c r="AS54" s="67">
        <v>5.3648415747699602E-2</v>
      </c>
      <c r="AT54" s="67">
        <v>5.4929910458766808E-2</v>
      </c>
      <c r="AU54" s="67">
        <v>5.4929910458766808E-2</v>
      </c>
    </row>
    <row r="55" spans="3:53" x14ac:dyDescent="0.3">
      <c r="C55" s="1">
        <v>21.05</v>
      </c>
      <c r="D55" s="1">
        <v>3.3</v>
      </c>
      <c r="E55" s="1">
        <v>44.08</v>
      </c>
      <c r="F55" s="1">
        <v>203.92</v>
      </c>
      <c r="G55" s="1">
        <v>855.67</v>
      </c>
      <c r="H55" s="1">
        <v>22.89</v>
      </c>
      <c r="I55" s="1">
        <v>96</v>
      </c>
      <c r="J55" s="1">
        <v>85.53</v>
      </c>
      <c r="K55" s="1">
        <v>227.9</v>
      </c>
      <c r="L55" s="1">
        <v>156.63999999999999</v>
      </c>
      <c r="M55" s="1">
        <v>19.010000000000002</v>
      </c>
      <c r="O55" s="1">
        <v>18.524799999999999</v>
      </c>
      <c r="P55" s="1">
        <v>1.0710506996026949</v>
      </c>
      <c r="Q55" s="1">
        <v>0.1375561409569874</v>
      </c>
      <c r="R55" s="1">
        <v>0.72799999999999998</v>
      </c>
      <c r="T55" s="28">
        <v>21.05</v>
      </c>
      <c r="U55" s="29">
        <f t="shared" si="9"/>
        <v>0.45393526515805838</v>
      </c>
      <c r="V55" s="28">
        <v>44.08</v>
      </c>
      <c r="W55" s="28">
        <v>203.92</v>
      </c>
      <c r="X55" s="28">
        <v>855.67</v>
      </c>
      <c r="Y55" s="29">
        <f t="shared" si="10"/>
        <v>24.48772974115505</v>
      </c>
      <c r="Z55" s="29">
        <f t="shared" si="11"/>
        <v>102.82086716185871</v>
      </c>
      <c r="AA55" s="29">
        <f t="shared" si="12"/>
        <v>62.265839999999997</v>
      </c>
      <c r="AB55" s="29">
        <f t="shared" si="13"/>
        <v>244.09245443945417</v>
      </c>
      <c r="AC55" s="29">
        <f t="shared" si="14"/>
        <v>8.4556918293314904</v>
      </c>
      <c r="AD55" s="29">
        <f t="shared" si="15"/>
        <v>20.360673799447234</v>
      </c>
      <c r="AF55">
        <f t="shared" si="18"/>
        <v>-1.956217978574748E-2</v>
      </c>
      <c r="AG55">
        <f t="shared" si="19"/>
        <v>-3.1847673264498666E-2</v>
      </c>
      <c r="AH55">
        <f t="shared" si="20"/>
        <v>1.2634964392373105E-2</v>
      </c>
      <c r="AI55">
        <f t="shared" si="21"/>
        <v>1.5717092337916849E-3</v>
      </c>
      <c r="AJ55">
        <f t="shared" si="22"/>
        <v>1.1478084070168704E-2</v>
      </c>
      <c r="AK55">
        <f t="shared" si="23"/>
        <v>-8.8956513068670917E-3</v>
      </c>
      <c r="AL55">
        <f t="shared" si="24"/>
        <v>1.1687801626842909E-3</v>
      </c>
      <c r="AM55">
        <f t="shared" si="25"/>
        <v>4.6609572769031882E-3</v>
      </c>
      <c r="AN55">
        <f t="shared" si="26"/>
        <v>2.0422025935043608E-2</v>
      </c>
      <c r="AO55">
        <f t="shared" si="27"/>
        <v>-4.2273354521240591E-3</v>
      </c>
      <c r="AP55">
        <f t="shared" si="28"/>
        <v>7.5287724135857381E-3</v>
      </c>
      <c r="AR55" s="67" t="s">
        <v>758</v>
      </c>
      <c r="AS55" s="67">
        <v>0.24530477580537208</v>
      </c>
      <c r="AT55" s="67">
        <v>0.24658094014355458</v>
      </c>
      <c r="AU55" s="67">
        <v>0.24658094014355458</v>
      </c>
    </row>
    <row r="56" spans="3:53" x14ac:dyDescent="0.3">
      <c r="C56" s="1">
        <v>21.81</v>
      </c>
      <c r="D56" s="1">
        <v>3.12</v>
      </c>
      <c r="E56" s="1">
        <v>43.85</v>
      </c>
      <c r="F56" s="1">
        <v>208.24</v>
      </c>
      <c r="G56" s="1">
        <v>867.91</v>
      </c>
      <c r="H56" s="1">
        <v>22.88</v>
      </c>
      <c r="I56" s="1">
        <v>94.5</v>
      </c>
      <c r="J56" s="1">
        <v>85.77</v>
      </c>
      <c r="K56" s="1">
        <v>228.6</v>
      </c>
      <c r="L56" s="1">
        <v>157.30000000000001</v>
      </c>
      <c r="M56" s="1">
        <v>18.899999999999999</v>
      </c>
      <c r="O56" s="1">
        <v>18.412800000000001</v>
      </c>
      <c r="P56" s="1">
        <v>1.0717490006951684</v>
      </c>
      <c r="Q56" s="1">
        <v>0.1374370003475843</v>
      </c>
      <c r="R56" s="1">
        <v>0.72850000000000004</v>
      </c>
      <c r="T56" s="28">
        <v>21.81</v>
      </c>
      <c r="U56" s="29">
        <f t="shared" si="9"/>
        <v>0.428803441084463</v>
      </c>
      <c r="V56" s="28">
        <v>43.85</v>
      </c>
      <c r="W56" s="28">
        <v>208.24</v>
      </c>
      <c r="X56" s="28">
        <v>867.91</v>
      </c>
      <c r="Y56" s="29">
        <f t="shared" si="10"/>
        <v>24.505640006909658</v>
      </c>
      <c r="Z56" s="29">
        <f t="shared" si="11"/>
        <v>101.28028056569342</v>
      </c>
      <c r="AA56" s="29">
        <f t="shared" si="12"/>
        <v>62.483445000000003</v>
      </c>
      <c r="AB56" s="29">
        <f t="shared" si="13"/>
        <v>245.00182155891551</v>
      </c>
      <c r="AC56" s="29">
        <f t="shared" si="14"/>
        <v>8.5429701077511293</v>
      </c>
      <c r="AD56" s="29">
        <f t="shared" si="15"/>
        <v>20.256056113138683</v>
      </c>
      <c r="AF56">
        <f t="shared" si="18"/>
        <v>3.610451306413287E-2</v>
      </c>
      <c r="AG56">
        <f t="shared" si="19"/>
        <v>-5.5364334967111573E-2</v>
      </c>
      <c r="AH56">
        <f t="shared" si="20"/>
        <v>-5.2177858439200753E-3</v>
      </c>
      <c r="AI56">
        <f t="shared" si="21"/>
        <v>2.1184778344448985E-2</v>
      </c>
      <c r="AJ56">
        <f t="shared" si="22"/>
        <v>1.4304580036696324E-2</v>
      </c>
      <c r="AK56">
        <f t="shared" si="23"/>
        <v>7.3139755885609503E-4</v>
      </c>
      <c r="AL56">
        <f t="shared" si="24"/>
        <v>-1.4983209524387031E-2</v>
      </c>
      <c r="AM56">
        <f t="shared" si="25"/>
        <v>3.4947733781476309E-3</v>
      </c>
      <c r="AN56">
        <f t="shared" si="26"/>
        <v>3.7255027876614832E-3</v>
      </c>
      <c r="AO56">
        <f t="shared" si="27"/>
        <v>1.0321837666420697E-2</v>
      </c>
      <c r="AP56">
        <f t="shared" si="28"/>
        <v>-5.1382231913852383E-3</v>
      </c>
      <c r="AR56" s="67" t="s">
        <v>759</v>
      </c>
      <c r="AS56" s="67">
        <v>8.4266841142153687E-2</v>
      </c>
      <c r="AT56" s="67">
        <v>8.5418190245948225E-2</v>
      </c>
      <c r="AU56" s="67">
        <v>8.5418190245948225E-2</v>
      </c>
    </row>
    <row r="57" spans="3:53" x14ac:dyDescent="0.3">
      <c r="C57" s="1">
        <v>21.75</v>
      </c>
      <c r="D57" s="1">
        <v>3.27</v>
      </c>
      <c r="E57" s="1">
        <v>44.03</v>
      </c>
      <c r="F57" s="1">
        <v>210.75</v>
      </c>
      <c r="G57" s="1">
        <v>870.75</v>
      </c>
      <c r="H57" s="1">
        <v>23.15</v>
      </c>
      <c r="I57" s="1">
        <v>95.96</v>
      </c>
      <c r="J57" s="1">
        <v>85.89</v>
      </c>
      <c r="K57" s="1">
        <v>228.8</v>
      </c>
      <c r="L57" s="1">
        <v>157.63999999999999</v>
      </c>
      <c r="M57" s="1">
        <v>19.055</v>
      </c>
      <c r="O57" s="1">
        <v>18.422999999999998</v>
      </c>
      <c r="P57" s="1">
        <v>1.0749009390435871</v>
      </c>
      <c r="Q57" s="1">
        <v>0.13736633555881236</v>
      </c>
      <c r="R57" s="1">
        <v>0.72889999999999999</v>
      </c>
      <c r="T57" s="28">
        <v>21.75</v>
      </c>
      <c r="U57" s="29">
        <f t="shared" si="9"/>
        <v>0.44918791727731644</v>
      </c>
      <c r="V57" s="28">
        <v>44.03</v>
      </c>
      <c r="W57" s="28">
        <v>210.75</v>
      </c>
      <c r="X57" s="28">
        <v>870.75</v>
      </c>
      <c r="Y57" s="29">
        <f t="shared" si="10"/>
        <v>24.810989366093146</v>
      </c>
      <c r="Z57" s="29">
        <f t="shared" si="11"/>
        <v>103.1474941106226</v>
      </c>
      <c r="AA57" s="29">
        <f t="shared" si="12"/>
        <v>62.605221</v>
      </c>
      <c r="AB57" s="29">
        <f t="shared" si="13"/>
        <v>245.93733485317273</v>
      </c>
      <c r="AC57" s="29">
        <f t="shared" si="14"/>
        <v>8.5566954350540083</v>
      </c>
      <c r="AD57" s="29">
        <f t="shared" si="15"/>
        <v>20.48223739347555</v>
      </c>
      <c r="AF57">
        <f t="shared" si="18"/>
        <v>-2.7510316368637433E-3</v>
      </c>
      <c r="AG57">
        <f t="shared" si="19"/>
        <v>4.7538042468363129E-2</v>
      </c>
      <c r="AH57">
        <f t="shared" si="20"/>
        <v>4.10490307867728E-3</v>
      </c>
      <c r="AI57">
        <f t="shared" si="21"/>
        <v>1.2053399923165564E-2</v>
      </c>
      <c r="AJ57">
        <f t="shared" si="22"/>
        <v>3.2722286873063666E-3</v>
      </c>
      <c r="AK57">
        <f t="shared" si="23"/>
        <v>1.2460370718634151E-2</v>
      </c>
      <c r="AL57">
        <f t="shared" si="24"/>
        <v>1.8436101623139356E-2</v>
      </c>
      <c r="AM57">
        <f t="shared" si="25"/>
        <v>1.9489322331698311E-3</v>
      </c>
      <c r="AN57">
        <f t="shared" si="26"/>
        <v>3.8183932197102255E-3</v>
      </c>
      <c r="AO57">
        <f t="shared" si="27"/>
        <v>1.606622419341619E-3</v>
      </c>
      <c r="AP57">
        <f t="shared" si="28"/>
        <v>1.1166106525058339E-2</v>
      </c>
      <c r="AR57" s="67" t="s">
        <v>1512</v>
      </c>
      <c r="AS57" s="67">
        <v>2.9428204948617517E-2</v>
      </c>
      <c r="AT57" s="67">
        <v>2.9346648177380443E-2</v>
      </c>
      <c r="AU57" s="67">
        <v>2.9346648177380443E-2</v>
      </c>
    </row>
    <row r="58" spans="3:53" x14ac:dyDescent="0.3">
      <c r="C58" s="1">
        <v>21.2</v>
      </c>
      <c r="D58" s="1">
        <v>3.22</v>
      </c>
      <c r="E58" s="1">
        <v>44.58</v>
      </c>
      <c r="F58" s="1">
        <v>210.85</v>
      </c>
      <c r="G58" s="1">
        <v>862.44</v>
      </c>
      <c r="H58" s="1">
        <v>23.32</v>
      </c>
      <c r="I58" s="1">
        <v>94.58</v>
      </c>
      <c r="J58" s="1">
        <v>85.03</v>
      </c>
      <c r="K58" s="1">
        <v>220.8</v>
      </c>
      <c r="L58" s="1">
        <v>155.12</v>
      </c>
      <c r="M58" s="1">
        <v>19.175000000000001</v>
      </c>
      <c r="O58" s="1">
        <v>18.402699999999999</v>
      </c>
      <c r="P58" s="1">
        <v>1.0728480059991199</v>
      </c>
      <c r="Q58" s="1">
        <v>0.1372189950387715</v>
      </c>
      <c r="R58" s="1">
        <v>0.72940000000000005</v>
      </c>
      <c r="T58" s="28">
        <v>21.2</v>
      </c>
      <c r="U58" s="29">
        <f t="shared" si="9"/>
        <v>0.44184516402484425</v>
      </c>
      <c r="V58" s="28">
        <v>44.58</v>
      </c>
      <c r="W58" s="28">
        <v>210.85</v>
      </c>
      <c r="X58" s="28">
        <v>862.44</v>
      </c>
      <c r="Y58" s="29">
        <f t="shared" si="10"/>
        <v>25.066689898496453</v>
      </c>
      <c r="Z58" s="29">
        <f t="shared" si="11"/>
        <v>101.46996440739676</v>
      </c>
      <c r="AA58" s="29">
        <f t="shared" si="12"/>
        <v>62.020882000000007</v>
      </c>
      <c r="AB58" s="29">
        <f t="shared" si="13"/>
        <v>236.88483972460568</v>
      </c>
      <c r="AC58" s="29">
        <f t="shared" si="14"/>
        <v>8.4291978894401378</v>
      </c>
      <c r="AD58" s="29">
        <f t="shared" si="15"/>
        <v>20.571860515033126</v>
      </c>
      <c r="AF58">
        <f t="shared" si="18"/>
        <v>-2.5287356321839094E-2</v>
      </c>
      <c r="AG58">
        <f t="shared" si="19"/>
        <v>-1.6346729219652967E-2</v>
      </c>
      <c r="AH58">
        <f t="shared" si="20"/>
        <v>1.2491483079718257E-2</v>
      </c>
      <c r="AI58">
        <f t="shared" si="21"/>
        <v>4.7449584816128265E-4</v>
      </c>
      <c r="AJ58">
        <f t="shared" si="22"/>
        <v>-9.5434969853573914E-3</v>
      </c>
      <c r="AK58">
        <f t="shared" si="23"/>
        <v>1.0305938575458251E-2</v>
      </c>
      <c r="AL58">
        <f t="shared" si="24"/>
        <v>-1.6263407246973394E-2</v>
      </c>
      <c r="AM58">
        <f t="shared" si="25"/>
        <v>-9.3337103625908968E-3</v>
      </c>
      <c r="AN58">
        <f t="shared" si="26"/>
        <v>-3.6808137056423273E-2</v>
      </c>
      <c r="AO58">
        <f t="shared" si="27"/>
        <v>-1.4900325316190899E-2</v>
      </c>
      <c r="AP58">
        <f t="shared" si="28"/>
        <v>4.3756509523771303E-3</v>
      </c>
      <c r="AR58" s="67" t="s">
        <v>760</v>
      </c>
      <c r="AS58" s="67">
        <v>4.5922094946339847E-3</v>
      </c>
      <c r="AT58" s="67">
        <v>5.076338650619381E-3</v>
      </c>
      <c r="AU58" s="67">
        <v>5.076338650619381E-3</v>
      </c>
    </row>
    <row r="59" spans="3:53" x14ac:dyDescent="0.3">
      <c r="C59" s="1">
        <v>21.3</v>
      </c>
      <c r="D59" s="1">
        <v>3.27</v>
      </c>
      <c r="E59" s="1">
        <v>43.89</v>
      </c>
      <c r="F59" s="1">
        <v>209.19</v>
      </c>
      <c r="G59" s="1">
        <v>848.31</v>
      </c>
      <c r="H59" s="1">
        <v>23.32</v>
      </c>
      <c r="I59" s="1">
        <v>94.58</v>
      </c>
      <c r="J59" s="1">
        <v>85.19</v>
      </c>
      <c r="K59" s="1">
        <v>220.9</v>
      </c>
      <c r="L59" s="1">
        <v>150.77000000000001</v>
      </c>
      <c r="M59" s="1">
        <v>19.015000000000001</v>
      </c>
      <c r="O59" s="1">
        <v>18.184799999999999</v>
      </c>
      <c r="P59" s="1">
        <v>1.06810083146364</v>
      </c>
      <c r="Q59" s="1">
        <v>0.13718600149575469</v>
      </c>
      <c r="R59" s="1">
        <v>0.73040000000000005</v>
      </c>
      <c r="T59" s="28">
        <v>21.3</v>
      </c>
      <c r="U59" s="29">
        <f t="shared" si="9"/>
        <v>0.44859822489111784</v>
      </c>
      <c r="V59" s="28">
        <v>43.89</v>
      </c>
      <c r="W59" s="28">
        <v>209.19</v>
      </c>
      <c r="X59" s="28">
        <v>848.31</v>
      </c>
      <c r="Y59" s="29">
        <f t="shared" si="10"/>
        <v>25.018815499899475</v>
      </c>
      <c r="Z59" s="29">
        <f t="shared" si="11"/>
        <v>101.02097663983106</v>
      </c>
      <c r="AA59" s="29">
        <f t="shared" si="12"/>
        <v>62.222776000000003</v>
      </c>
      <c r="AB59" s="29">
        <f t="shared" si="13"/>
        <v>235.94347367031807</v>
      </c>
      <c r="AC59" s="29">
        <f t="shared" si="14"/>
        <v>8.2909902775944762</v>
      </c>
      <c r="AD59" s="29">
        <f t="shared" si="15"/>
        <v>20.309937310281114</v>
      </c>
      <c r="AF59">
        <f t="shared" si="18"/>
        <v>4.7169811320755262E-3</v>
      </c>
      <c r="AG59">
        <f t="shared" si="19"/>
        <v>1.5283772271622809E-2</v>
      </c>
      <c r="AH59">
        <f t="shared" si="20"/>
        <v>-1.5477792732166873E-2</v>
      </c>
      <c r="AI59">
        <f t="shared" si="21"/>
        <v>-7.8728954232867299E-3</v>
      </c>
      <c r="AJ59">
        <f t="shared" si="22"/>
        <v>-1.6383748434673828E-2</v>
      </c>
      <c r="AK59">
        <f t="shared" si="23"/>
        <v>-1.9098811526706561E-3</v>
      </c>
      <c r="AL59">
        <f t="shared" si="24"/>
        <v>-4.4248341880069875E-3</v>
      </c>
      <c r="AM59">
        <f t="shared" si="25"/>
        <v>3.2552584466631895E-3</v>
      </c>
      <c r="AN59">
        <f t="shared" si="26"/>
        <v>-3.973939638273194E-3</v>
      </c>
      <c r="AO59">
        <f t="shared" si="27"/>
        <v>-1.6396294601032424E-2</v>
      </c>
      <c r="AP59">
        <f t="shared" si="28"/>
        <v>-1.2732110669358643E-2</v>
      </c>
      <c r="AR59" s="67" t="s">
        <v>1918</v>
      </c>
      <c r="AS59" s="67">
        <v>0</v>
      </c>
      <c r="AT59" s="67">
        <v>-1.5040187082752846E-2</v>
      </c>
      <c r="AU59" s="67">
        <v>-1.5040187082752846E-2</v>
      </c>
    </row>
    <row r="60" spans="3:53" ht="15" thickBot="1" x14ac:dyDescent="0.35">
      <c r="C60" s="1">
        <v>21.51</v>
      </c>
      <c r="D60" s="1">
        <v>3.22</v>
      </c>
      <c r="E60" s="1">
        <v>44.08</v>
      </c>
      <c r="F60" s="1">
        <v>210.68</v>
      </c>
      <c r="G60" s="1">
        <v>848.16</v>
      </c>
      <c r="H60" s="1">
        <v>23.37</v>
      </c>
      <c r="I60" s="1">
        <v>96.38</v>
      </c>
      <c r="J60" s="1">
        <v>86.09</v>
      </c>
      <c r="K60" s="1">
        <v>233.2</v>
      </c>
      <c r="L60" s="1">
        <v>151.9</v>
      </c>
      <c r="M60" s="1">
        <v>17.8</v>
      </c>
      <c r="O60" s="1">
        <v>17.962700000000002</v>
      </c>
      <c r="P60" s="1">
        <v>1.0730513786902858</v>
      </c>
      <c r="Q60" s="1">
        <v>0.13728448395842496</v>
      </c>
      <c r="R60" s="1">
        <v>0.73</v>
      </c>
      <c r="T60" s="28">
        <v>21.51</v>
      </c>
      <c r="U60" s="29">
        <f t="shared" si="9"/>
        <v>0.44205603834612839</v>
      </c>
      <c r="V60" s="28">
        <v>44.08</v>
      </c>
      <c r="W60" s="28">
        <v>210.68</v>
      </c>
      <c r="X60" s="28">
        <v>848.16</v>
      </c>
      <c r="Y60" s="29">
        <f t="shared" si="10"/>
        <v>24.961516431305267</v>
      </c>
      <c r="Z60" s="29">
        <f t="shared" si="11"/>
        <v>103.42069187816973</v>
      </c>
      <c r="AA60" s="29">
        <f t="shared" si="12"/>
        <v>62.845700000000001</v>
      </c>
      <c r="AB60" s="29">
        <f t="shared" si="13"/>
        <v>250.23558151057463</v>
      </c>
      <c r="AC60" s="29">
        <f t="shared" si="14"/>
        <v>8.4564124546977908</v>
      </c>
      <c r="AD60" s="29">
        <f t="shared" si="15"/>
        <v>19.100314540687087</v>
      </c>
      <c r="AF60">
        <f t="shared" si="18"/>
        <v>9.8591549295774517E-3</v>
      </c>
      <c r="AG60">
        <f t="shared" si="19"/>
        <v>-1.4583621115703993E-2</v>
      </c>
      <c r="AH60">
        <f t="shared" si="20"/>
        <v>4.3290043290042934E-3</v>
      </c>
      <c r="AI60">
        <f t="shared" si="21"/>
        <v>7.1227114106793277E-3</v>
      </c>
      <c r="AJ60">
        <f t="shared" si="22"/>
        <v>-1.7682215227921017E-4</v>
      </c>
      <c r="AK60">
        <f t="shared" si="23"/>
        <v>-2.2902390640531234E-3</v>
      </c>
      <c r="AL60">
        <f t="shared" si="24"/>
        <v>2.3754623229335303E-2</v>
      </c>
      <c r="AM60">
        <f t="shared" si="25"/>
        <v>1.0011189471842208E-2</v>
      </c>
      <c r="AN60">
        <f t="shared" si="26"/>
        <v>6.0574287637329638E-2</v>
      </c>
      <c r="AO60">
        <f t="shared" si="27"/>
        <v>1.9952040897979417E-2</v>
      </c>
      <c r="AP60">
        <f t="shared" si="28"/>
        <v>-5.9558173475094955E-2</v>
      </c>
      <c r="AR60" s="68" t="s">
        <v>2307</v>
      </c>
      <c r="AS60" s="68">
        <v>0.20611952592625629</v>
      </c>
      <c r="AT60" s="68">
        <v>0.2054449194140221</v>
      </c>
      <c r="AU60" s="68">
        <v>0.2054449194140221</v>
      </c>
    </row>
    <row r="61" spans="3:53" x14ac:dyDescent="0.3">
      <c r="C61" s="1">
        <v>21.09</v>
      </c>
      <c r="D61" s="1">
        <v>3.23</v>
      </c>
      <c r="E61" s="1">
        <v>43.85</v>
      </c>
      <c r="F61" s="1">
        <v>208.28</v>
      </c>
      <c r="G61" s="1">
        <v>855.51</v>
      </c>
      <c r="H61" s="1">
        <v>23.48</v>
      </c>
      <c r="I61" s="1">
        <v>96.82</v>
      </c>
      <c r="J61" s="1">
        <v>86.5</v>
      </c>
      <c r="K61" s="1">
        <v>238.8</v>
      </c>
      <c r="L61" s="1">
        <v>154.03</v>
      </c>
      <c r="M61" s="1">
        <v>17.535</v>
      </c>
      <c r="O61" s="1">
        <v>18.1372</v>
      </c>
      <c r="P61" s="1">
        <v>1.0723485433253204</v>
      </c>
      <c r="Q61" s="1">
        <v>0.13724830734622764</v>
      </c>
      <c r="R61" s="1">
        <v>0.73209999999999997</v>
      </c>
      <c r="T61" s="28">
        <v>21.09</v>
      </c>
      <c r="U61" s="29">
        <f t="shared" si="9"/>
        <v>0.44331203272831526</v>
      </c>
      <c r="V61" s="28">
        <v>43.85</v>
      </c>
      <c r="W61" s="28">
        <v>208.28</v>
      </c>
      <c r="X61" s="28">
        <v>855.51</v>
      </c>
      <c r="Y61" s="29">
        <f t="shared" si="10"/>
        <v>25.195246371647912</v>
      </c>
      <c r="Z61" s="29">
        <f t="shared" si="11"/>
        <v>103.82478596475751</v>
      </c>
      <c r="AA61" s="29">
        <f t="shared" si="12"/>
        <v>63.326650000000001</v>
      </c>
      <c r="AB61" s="29">
        <f t="shared" si="13"/>
        <v>256.07683214608653</v>
      </c>
      <c r="AC61" s="29">
        <f t="shared" si="14"/>
        <v>8.4924905718633532</v>
      </c>
      <c r="AD61" s="29">
        <f t="shared" si="15"/>
        <v>18.803631707209494</v>
      </c>
      <c r="AF61">
        <f t="shared" si="18"/>
        <v>-1.9525801952580246E-2</v>
      </c>
      <c r="AG61">
        <f t="shared" si="19"/>
        <v>2.8412560246569019E-3</v>
      </c>
      <c r="AH61">
        <f t="shared" si="20"/>
        <v>-5.2177858439200753E-3</v>
      </c>
      <c r="AI61">
        <f t="shared" si="21"/>
        <v>-1.1391684070628516E-2</v>
      </c>
      <c r="AJ61">
        <f t="shared" si="22"/>
        <v>8.6658177702321204E-3</v>
      </c>
      <c r="AK61">
        <f t="shared" si="23"/>
        <v>9.363611421039808E-3</v>
      </c>
      <c r="AL61">
        <f t="shared" si="24"/>
        <v>3.9072846956371698E-3</v>
      </c>
      <c r="AM61">
        <f t="shared" si="25"/>
        <v>7.652870443005666E-3</v>
      </c>
      <c r="AN61">
        <f t="shared" si="26"/>
        <v>2.3343005819758122E-2</v>
      </c>
      <c r="AO61">
        <f t="shared" si="27"/>
        <v>4.2663620487810583E-3</v>
      </c>
      <c r="AP61">
        <f t="shared" si="28"/>
        <v>-1.5532876845855359E-2</v>
      </c>
      <c r="AS61" s="73">
        <f>SUM(AS50:AS60)</f>
        <v>0.99999999999999989</v>
      </c>
      <c r="AT61" s="73">
        <f t="shared" ref="AT61:AU61" si="34">SUM(AT50:AT60)</f>
        <v>1</v>
      </c>
      <c r="AU61" s="73">
        <f t="shared" si="34"/>
        <v>1</v>
      </c>
    </row>
    <row r="62" spans="3:53" x14ac:dyDescent="0.3">
      <c r="C62" s="1">
        <v>21.33</v>
      </c>
      <c r="D62" s="1">
        <v>3.14</v>
      </c>
      <c r="E62" s="1">
        <v>43.46</v>
      </c>
      <c r="F62" s="1">
        <v>208.19</v>
      </c>
      <c r="G62" s="1">
        <v>856.84</v>
      </c>
      <c r="H62" s="1">
        <v>23.68</v>
      </c>
      <c r="I62" s="1">
        <v>96.44</v>
      </c>
      <c r="J62" s="1">
        <v>85.66</v>
      </c>
      <c r="K62" s="1">
        <v>236.6</v>
      </c>
      <c r="L62" s="1">
        <v>153.18</v>
      </c>
      <c r="M62" s="1">
        <v>17.815000000000001</v>
      </c>
      <c r="O62" s="1">
        <v>18.221499999999999</v>
      </c>
      <c r="P62" s="1">
        <v>1.068550887687622</v>
      </c>
      <c r="Q62" s="1">
        <v>0.13698103888263866</v>
      </c>
      <c r="R62" s="1">
        <v>0.73209999999999997</v>
      </c>
      <c r="T62" s="28">
        <v>21.33</v>
      </c>
      <c r="U62" s="29">
        <f t="shared" si="9"/>
        <v>0.43012046209148541</v>
      </c>
      <c r="V62" s="28">
        <v>43.46</v>
      </c>
      <c r="W62" s="28">
        <v>208.19</v>
      </c>
      <c r="X62" s="28">
        <v>856.84</v>
      </c>
      <c r="Y62" s="29">
        <f t="shared" si="10"/>
        <v>25.393213505943585</v>
      </c>
      <c r="Z62" s="29">
        <f t="shared" si="11"/>
        <v>103.05104760859426</v>
      </c>
      <c r="AA62" s="29">
        <f t="shared" si="12"/>
        <v>62.711685999999993</v>
      </c>
      <c r="AB62" s="29">
        <f t="shared" si="13"/>
        <v>252.81914002689135</v>
      </c>
      <c r="AC62" s="29">
        <f t="shared" si="14"/>
        <v>8.4065526987350125</v>
      </c>
      <c r="AD62" s="29">
        <f t="shared" si="15"/>
        <v>19.036234064154986</v>
      </c>
      <c r="AF62">
        <f t="shared" si="18"/>
        <v>1.1379800853484889E-2</v>
      </c>
      <c r="AG62">
        <f t="shared" si="19"/>
        <v>-2.9756852201019202E-2</v>
      </c>
      <c r="AH62">
        <f t="shared" si="20"/>
        <v>-8.893956670467551E-3</v>
      </c>
      <c r="AI62">
        <f t="shared" si="21"/>
        <v>-4.3211062031878189E-4</v>
      </c>
      <c r="AJ62">
        <f t="shared" si="22"/>
        <v>1.5546282334515382E-3</v>
      </c>
      <c r="AK62">
        <f t="shared" si="23"/>
        <v>7.8573208364591807E-3</v>
      </c>
      <c r="AL62">
        <f t="shared" si="24"/>
        <v>-7.4523472307074234E-3</v>
      </c>
      <c r="AM62">
        <f t="shared" si="25"/>
        <v>-9.7109826589596437E-3</v>
      </c>
      <c r="AN62">
        <f t="shared" si="26"/>
        <v>-1.2721541780619683E-2</v>
      </c>
      <c r="AO62">
        <f t="shared" si="27"/>
        <v>-1.0119278014044886E-2</v>
      </c>
      <c r="AP62">
        <f t="shared" si="28"/>
        <v>1.2370076194180513E-2</v>
      </c>
    </row>
    <row r="63" spans="3:53" x14ac:dyDescent="0.3">
      <c r="C63" s="1">
        <v>21.12</v>
      </c>
      <c r="D63" s="1">
        <v>3.16</v>
      </c>
      <c r="E63" s="1">
        <v>43.96</v>
      </c>
      <c r="F63" s="1">
        <v>211.35</v>
      </c>
      <c r="G63" s="1">
        <v>850.62</v>
      </c>
      <c r="H63" s="1">
        <v>23.51</v>
      </c>
      <c r="I63" s="1">
        <v>94.96</v>
      </c>
      <c r="J63" s="1">
        <v>85.85</v>
      </c>
      <c r="K63" s="1">
        <v>244.6</v>
      </c>
      <c r="L63" s="1">
        <v>155.97999999999999</v>
      </c>
      <c r="M63" s="1">
        <v>17.77</v>
      </c>
      <c r="O63" s="1">
        <v>18.377300000000002</v>
      </c>
      <c r="P63" s="1">
        <v>1.0704020721215846</v>
      </c>
      <c r="Q63" s="1">
        <v>0.13701142169959676</v>
      </c>
      <c r="R63" s="1">
        <v>0.7298</v>
      </c>
      <c r="T63" s="28">
        <v>21.12</v>
      </c>
      <c r="U63" s="29">
        <f t="shared" si="9"/>
        <v>0.43295609257072581</v>
      </c>
      <c r="V63" s="28">
        <v>43.96</v>
      </c>
      <c r="W63" s="28">
        <v>211.35</v>
      </c>
      <c r="X63" s="28">
        <v>850.62</v>
      </c>
      <c r="Y63" s="29">
        <f t="shared" si="10"/>
        <v>25.121631369535994</v>
      </c>
      <c r="Z63" s="29">
        <f t="shared" si="11"/>
        <v>101.64538076866566</v>
      </c>
      <c r="AA63" s="29">
        <f t="shared" si="12"/>
        <v>62.653329999999997</v>
      </c>
      <c r="AB63" s="29">
        <f t="shared" si="13"/>
        <v>261.82034684093958</v>
      </c>
      <c r="AC63" s="29">
        <f t="shared" si="14"/>
        <v>8.4876450838806559</v>
      </c>
      <c r="AD63" s="29">
        <f t="shared" si="15"/>
        <v>19.021044821600558</v>
      </c>
      <c r="AF63">
        <f t="shared" si="18"/>
        <v>-9.8452883263008273E-3</v>
      </c>
      <c r="AG63">
        <f t="shared" si="19"/>
        <v>6.5926425947093747E-3</v>
      </c>
      <c r="AH63">
        <f t="shared" si="20"/>
        <v>1.1504832029452405E-2</v>
      </c>
      <c r="AI63">
        <f t="shared" si="21"/>
        <v>1.5178442768624789E-2</v>
      </c>
      <c r="AJ63">
        <f t="shared" si="22"/>
        <v>-7.2592315951636177E-3</v>
      </c>
      <c r="AK63">
        <f t="shared" si="23"/>
        <v>-1.0695067654356682E-2</v>
      </c>
      <c r="AL63">
        <f t="shared" si="24"/>
        <v>-1.3640490538898375E-2</v>
      </c>
      <c r="AM63">
        <f t="shared" si="25"/>
        <v>-9.3054426889427333E-4</v>
      </c>
      <c r="AN63">
        <f t="shared" si="26"/>
        <v>3.5603344007462345E-2</v>
      </c>
      <c r="AO63">
        <f t="shared" si="27"/>
        <v>9.6463304343343825E-3</v>
      </c>
      <c r="AP63">
        <f t="shared" si="28"/>
        <v>-7.9791215548397076E-4</v>
      </c>
      <c r="AR63" s="79" t="s">
        <v>2334</v>
      </c>
    </row>
    <row r="64" spans="3:53" x14ac:dyDescent="0.3">
      <c r="C64" s="1">
        <v>21.22</v>
      </c>
      <c r="D64" s="1">
        <v>3.14</v>
      </c>
      <c r="E64" s="1">
        <v>43.93</v>
      </c>
      <c r="F64" s="1">
        <v>207.71</v>
      </c>
      <c r="G64" s="1">
        <v>849.99</v>
      </c>
      <c r="H64" s="1">
        <v>23.76</v>
      </c>
      <c r="I64" s="1">
        <v>97.16</v>
      </c>
      <c r="J64" s="1">
        <v>85.91</v>
      </c>
      <c r="K64" s="1">
        <v>251</v>
      </c>
      <c r="L64" s="1">
        <v>156.87</v>
      </c>
      <c r="M64" s="1">
        <v>17.795000000000002</v>
      </c>
      <c r="O64" s="1">
        <v>18.247800000000002</v>
      </c>
      <c r="P64" s="1">
        <v>1.0709016977389054</v>
      </c>
      <c r="Q64" s="1">
        <v>0.13712885936934863</v>
      </c>
      <c r="R64" s="1">
        <v>0.7298</v>
      </c>
      <c r="T64" s="28">
        <v>21.22</v>
      </c>
      <c r="U64" s="29">
        <f t="shared" si="9"/>
        <v>0.43058461841975471</v>
      </c>
      <c r="V64" s="28">
        <v>43.93</v>
      </c>
      <c r="W64" s="28">
        <v>207.71</v>
      </c>
      <c r="X64" s="28">
        <v>849.99</v>
      </c>
      <c r="Y64" s="29">
        <f t="shared" si="10"/>
        <v>25.43275323360885</v>
      </c>
      <c r="Z64" s="29">
        <f t="shared" si="11"/>
        <v>104.04880895231204</v>
      </c>
      <c r="AA64" s="29">
        <f t="shared" si="12"/>
        <v>62.697117999999996</v>
      </c>
      <c r="AB64" s="29">
        <f t="shared" si="13"/>
        <v>268.79632613246525</v>
      </c>
      <c r="AC64" s="29">
        <f t="shared" si="14"/>
        <v>8.5966527471804817</v>
      </c>
      <c r="AD64" s="29">
        <f t="shared" si="15"/>
        <v>19.056695711263824</v>
      </c>
      <c r="AF64">
        <f t="shared" si="18"/>
        <v>4.7348484848483974E-3</v>
      </c>
      <c r="AG64">
        <f t="shared" si="19"/>
        <v>-5.4774010382674376E-3</v>
      </c>
      <c r="AH64">
        <f t="shared" si="20"/>
        <v>-6.8243858052774442E-4</v>
      </c>
      <c r="AI64">
        <f t="shared" si="21"/>
        <v>-1.7222616512893252E-2</v>
      </c>
      <c r="AJ64">
        <f t="shared" si="22"/>
        <v>-7.4063624180009668E-4</v>
      </c>
      <c r="AK64">
        <f t="shared" si="23"/>
        <v>1.2384620230123211E-2</v>
      </c>
      <c r="AL64">
        <f t="shared" si="24"/>
        <v>2.3645227805445757E-2</v>
      </c>
      <c r="AM64">
        <f t="shared" si="25"/>
        <v>6.9889341875373212E-4</v>
      </c>
      <c r="AN64">
        <f t="shared" si="26"/>
        <v>2.6644145024235621E-2</v>
      </c>
      <c r="AO64">
        <f t="shared" si="27"/>
        <v>1.2843098671367459E-2</v>
      </c>
      <c r="AP64">
        <f t="shared" si="28"/>
        <v>1.8742866124146218E-3</v>
      </c>
    </row>
    <row r="65" spans="3:55" ht="15" thickBot="1" x14ac:dyDescent="0.35">
      <c r="C65" s="1">
        <v>21.25</v>
      </c>
      <c r="D65" s="1">
        <v>3.06</v>
      </c>
      <c r="E65" s="1">
        <v>44.06</v>
      </c>
      <c r="F65" s="1">
        <v>209.46</v>
      </c>
      <c r="G65" s="1">
        <v>845.67</v>
      </c>
      <c r="H65" s="1">
        <v>23.75</v>
      </c>
      <c r="I65" s="1">
        <v>98.78</v>
      </c>
      <c r="J65" s="1">
        <v>86</v>
      </c>
      <c r="K65" s="1">
        <v>253</v>
      </c>
      <c r="L65" s="1">
        <v>152.78</v>
      </c>
      <c r="M65" s="1">
        <v>18.074999999999999</v>
      </c>
      <c r="O65" s="1">
        <v>18.389700000000001</v>
      </c>
      <c r="P65" s="1">
        <v>1.074900623718712</v>
      </c>
      <c r="Q65" s="1">
        <v>0.13701691707858202</v>
      </c>
      <c r="R65" s="1">
        <v>0.73089999999999999</v>
      </c>
      <c r="T65" s="28">
        <v>21.25</v>
      </c>
      <c r="U65" s="29">
        <f t="shared" si="9"/>
        <v>0.41927176626046098</v>
      </c>
      <c r="V65" s="28">
        <v>44.06</v>
      </c>
      <c r="W65" s="28">
        <v>209.46</v>
      </c>
      <c r="X65" s="28">
        <v>845.67</v>
      </c>
      <c r="Y65" s="29">
        <f t="shared" si="10"/>
        <v>25.433915321299004</v>
      </c>
      <c r="Z65" s="29">
        <f t="shared" si="11"/>
        <v>106.17868361093437</v>
      </c>
      <c r="AA65" s="29">
        <f t="shared" si="12"/>
        <v>62.857399999999998</v>
      </c>
      <c r="AB65" s="29">
        <f t="shared" si="13"/>
        <v>271.94985780083414</v>
      </c>
      <c r="AC65" s="29">
        <f t="shared" si="14"/>
        <v>8.3079114939341032</v>
      </c>
      <c r="AD65" s="29">
        <f t="shared" si="15"/>
        <v>19.428828773715718</v>
      </c>
      <c r="AF65">
        <f t="shared" si="18"/>
        <v>1.413760603204528E-3</v>
      </c>
      <c r="AG65">
        <f t="shared" si="19"/>
        <v>-2.6273238000957599E-2</v>
      </c>
      <c r="AH65">
        <f t="shared" si="20"/>
        <v>2.9592533576143776E-3</v>
      </c>
      <c r="AI65">
        <f t="shared" si="21"/>
        <v>8.4252082230031888E-3</v>
      </c>
      <c r="AJ65">
        <f t="shared" si="22"/>
        <v>-5.0824127342675718E-3</v>
      </c>
      <c r="AK65">
        <f t="shared" si="23"/>
        <v>4.5692563423349597E-5</v>
      </c>
      <c r="AL65">
        <f t="shared" si="24"/>
        <v>2.0469957129432448E-2</v>
      </c>
      <c r="AM65">
        <f t="shared" si="25"/>
        <v>2.5564492454024368E-3</v>
      </c>
      <c r="AN65">
        <f t="shared" si="26"/>
        <v>1.1732048996885514E-2</v>
      </c>
      <c r="AO65">
        <f t="shared" si="27"/>
        <v>-3.3587637158087991E-2</v>
      </c>
      <c r="AP65">
        <f t="shared" si="28"/>
        <v>1.9527680353941923E-2</v>
      </c>
      <c r="AS65" s="59" t="s">
        <v>2329</v>
      </c>
      <c r="AT65" s="59" t="s">
        <v>2330</v>
      </c>
      <c r="AU65" s="59" t="s">
        <v>764</v>
      </c>
      <c r="BC65" s="59" t="s">
        <v>2335</v>
      </c>
    </row>
    <row r="66" spans="3:55" ht="15" thickBot="1" x14ac:dyDescent="0.35">
      <c r="C66" s="1">
        <v>21.45</v>
      </c>
      <c r="D66" s="1">
        <v>3.06</v>
      </c>
      <c r="E66" s="1">
        <v>44.06</v>
      </c>
      <c r="F66" s="1">
        <v>211.12</v>
      </c>
      <c r="G66" s="1">
        <v>859.36</v>
      </c>
      <c r="H66" s="1">
        <v>23.83</v>
      </c>
      <c r="I66" s="1">
        <v>98.42</v>
      </c>
      <c r="J66" s="1">
        <v>85.9</v>
      </c>
      <c r="K66" s="1">
        <v>252.8</v>
      </c>
      <c r="L66" s="1">
        <v>148.03</v>
      </c>
      <c r="M66" s="1">
        <v>18.3</v>
      </c>
      <c r="O66" s="1">
        <v>18.2485</v>
      </c>
      <c r="P66" s="1">
        <v>1.0716990437570211</v>
      </c>
      <c r="Q66" s="1">
        <v>0.13683316436967422</v>
      </c>
      <c r="R66" s="1">
        <v>0.72799999999999998</v>
      </c>
      <c r="T66" s="28">
        <v>21.45</v>
      </c>
      <c r="U66" s="29">
        <f t="shared" si="9"/>
        <v>0.41870948297120308</v>
      </c>
      <c r="V66" s="28">
        <v>44.06</v>
      </c>
      <c r="W66" s="28">
        <v>211.12</v>
      </c>
      <c r="X66" s="28">
        <v>859.36</v>
      </c>
      <c r="Y66" s="29">
        <f t="shared" si="10"/>
        <v>25.614881863216905</v>
      </c>
      <c r="Z66" s="29">
        <f t="shared" si="11"/>
        <v>105.47661988656601</v>
      </c>
      <c r="AA66" s="29">
        <f t="shared" si="12"/>
        <v>62.535200000000003</v>
      </c>
      <c r="AB66" s="29">
        <f t="shared" si="13"/>
        <v>270.92551826177493</v>
      </c>
      <c r="AC66" s="29">
        <f t="shared" si="14"/>
        <v>8.1118996081869739</v>
      </c>
      <c r="AD66" s="29">
        <f t="shared" si="15"/>
        <v>19.612092500753487</v>
      </c>
      <c r="AF66">
        <f t="shared" si="18"/>
        <v>9.4117647058822307E-3</v>
      </c>
      <c r="AG66">
        <f t="shared" si="19"/>
        <v>-1.3410950474270766E-3</v>
      </c>
      <c r="AH66">
        <f t="shared" si="20"/>
        <v>0</v>
      </c>
      <c r="AI66">
        <f t="shared" si="21"/>
        <v>7.9251408383462785E-3</v>
      </c>
      <c r="AJ66">
        <f t="shared" si="22"/>
        <v>1.6188347700639705E-2</v>
      </c>
      <c r="AK66">
        <f t="shared" si="23"/>
        <v>7.1151664866302422E-3</v>
      </c>
      <c r="AL66">
        <f t="shared" si="24"/>
        <v>-6.6120967080445237E-3</v>
      </c>
      <c r="AM66">
        <f t="shared" si="25"/>
        <v>-5.1258881213667173E-3</v>
      </c>
      <c r="AN66">
        <f t="shared" si="26"/>
        <v>-3.7666485555193363E-3</v>
      </c>
      <c r="AO66">
        <f t="shared" si="27"/>
        <v>-2.3593400807199849E-2</v>
      </c>
      <c r="AP66">
        <f t="shared" si="28"/>
        <v>9.4325668918189276E-3</v>
      </c>
      <c r="AR66" s="66" t="s">
        <v>755</v>
      </c>
      <c r="AS66" s="66">
        <v>6.2526499566422311E-2</v>
      </c>
      <c r="AT66" s="66" cm="1">
        <f t="array" ref="AT66:AT76">MMULT(MINVERSE(V),BC66:BC76)/MMULT(TRANSPOSE(UNO),MMULT(MINVERSE(V),BC66:BC76))</f>
        <v>6.5861603182002029E-2</v>
      </c>
      <c r="AU66" s="66" cm="1">
        <f t="array" ref="AU66:AU76">Port_Tangencia(V,M,AS14)</f>
        <v>6.5861603182002029E-2</v>
      </c>
      <c r="BC66" s="75">
        <f>AS17-$AS$14</f>
        <v>0.20096231949682225</v>
      </c>
    </row>
    <row r="67" spans="3:55" ht="15" thickBot="1" x14ac:dyDescent="0.35">
      <c r="C67" s="1">
        <v>21.6</v>
      </c>
      <c r="D67" s="1">
        <v>2.92</v>
      </c>
      <c r="E67" s="1">
        <v>44.55</v>
      </c>
      <c r="F67" s="1">
        <v>210.27</v>
      </c>
      <c r="G67" s="1">
        <v>862.66</v>
      </c>
      <c r="H67" s="1">
        <v>23.9</v>
      </c>
      <c r="I67" s="1">
        <v>99.68</v>
      </c>
      <c r="J67" s="1">
        <v>85.92</v>
      </c>
      <c r="K67" s="1">
        <v>253.7</v>
      </c>
      <c r="L67" s="1">
        <v>151.63</v>
      </c>
      <c r="M67" s="1">
        <v>18.22</v>
      </c>
      <c r="O67" s="1">
        <v>18.1355</v>
      </c>
      <c r="P67" s="1">
        <v>1.0759504838576273</v>
      </c>
      <c r="Q67" s="1">
        <v>0.13687518954536682</v>
      </c>
      <c r="R67" s="1">
        <v>0.73089999999999999</v>
      </c>
      <c r="T67" s="28">
        <v>21.6</v>
      </c>
      <c r="U67" s="29">
        <f t="shared" si="9"/>
        <v>0.39967555347247108</v>
      </c>
      <c r="V67" s="28">
        <v>44.55</v>
      </c>
      <c r="W67" s="28">
        <v>210.27</v>
      </c>
      <c r="X67" s="28">
        <v>862.66</v>
      </c>
      <c r="Y67" s="29">
        <f t="shared" si="10"/>
        <v>25.613607145792802</v>
      </c>
      <c r="Z67" s="29">
        <f t="shared" si="11"/>
        <v>107.25074423092829</v>
      </c>
      <c r="AA67" s="29">
        <f t="shared" si="12"/>
        <v>62.798928000000004</v>
      </c>
      <c r="AB67" s="29">
        <f t="shared" si="13"/>
        <v>272.96863775468</v>
      </c>
      <c r="AC67" s="29">
        <f t="shared" si="14"/>
        <v>8.3609495188993961</v>
      </c>
      <c r="AD67" s="29">
        <f t="shared" si="15"/>
        <v>19.603817815885968</v>
      </c>
      <c r="AF67">
        <f t="shared" si="18"/>
        <v>6.9930069930070893E-3</v>
      </c>
      <c r="AG67">
        <f t="shared" si="19"/>
        <v>-4.5458558434514962E-2</v>
      </c>
      <c r="AH67">
        <f t="shared" si="20"/>
        <v>1.112119836586456E-2</v>
      </c>
      <c r="AI67">
        <f t="shared" si="21"/>
        <v>-4.02614626752551E-3</v>
      </c>
      <c r="AJ67">
        <f t="shared" si="22"/>
        <v>3.8400670266243164E-3</v>
      </c>
      <c r="AK67">
        <f t="shared" si="23"/>
        <v>-4.9764720013500963E-5</v>
      </c>
      <c r="AL67">
        <f t="shared" si="24"/>
        <v>1.6820072033690847E-2</v>
      </c>
      <c r="AM67">
        <f t="shared" si="25"/>
        <v>4.2172728319409547E-3</v>
      </c>
      <c r="AN67">
        <f t="shared" si="26"/>
        <v>7.5412589630297067E-3</v>
      </c>
      <c r="AO67">
        <f t="shared" si="27"/>
        <v>3.0701798930187429E-2</v>
      </c>
      <c r="AP67">
        <f t="shared" si="28"/>
        <v>-4.2191749132336476E-4</v>
      </c>
      <c r="AR67" s="70">
        <v>603336</v>
      </c>
      <c r="AS67" s="67">
        <v>3.1381102728392868E-2</v>
      </c>
      <c r="AT67" s="5">
        <v>3.2812635976236411E-2</v>
      </c>
      <c r="AU67" s="5">
        <v>3.2812635976236411E-2</v>
      </c>
      <c r="AW67" s="59" t="s">
        <v>762</v>
      </c>
      <c r="AX67" s="59" t="s">
        <v>2331</v>
      </c>
      <c r="AY67" s="59" t="s">
        <v>2332</v>
      </c>
      <c r="AZ67" s="59" t="s">
        <v>2324</v>
      </c>
      <c r="BA67" s="88" t="s">
        <v>763</v>
      </c>
      <c r="BC67" s="75">
        <f t="shared" ref="BC67:BC76" si="35">AS18-$AS$14</f>
        <v>0.26531979694015123</v>
      </c>
    </row>
    <row r="68" spans="3:55" ht="15" thickBot="1" x14ac:dyDescent="0.35">
      <c r="C68" s="1">
        <v>21.83</v>
      </c>
      <c r="D68" s="1">
        <v>2.96</v>
      </c>
      <c r="E68" s="1">
        <v>45.15</v>
      </c>
      <c r="F68" s="1">
        <v>210.18</v>
      </c>
      <c r="G68" s="1">
        <v>885.67</v>
      </c>
      <c r="H68" s="1">
        <v>23.64</v>
      </c>
      <c r="I68" s="1">
        <v>97.62</v>
      </c>
      <c r="J68" s="1">
        <v>84.53</v>
      </c>
      <c r="K68" s="1">
        <v>249.2</v>
      </c>
      <c r="L68" s="1">
        <v>153.66</v>
      </c>
      <c r="M68" s="1">
        <v>17.920000000000002</v>
      </c>
      <c r="O68" s="1">
        <v>18.095800000000001</v>
      </c>
      <c r="P68" s="1">
        <v>1.080797754175002</v>
      </c>
      <c r="Q68" s="1">
        <v>0.13707600658716387</v>
      </c>
      <c r="R68" s="1">
        <v>0.73309999999999997</v>
      </c>
      <c r="T68" s="28">
        <v>21.83</v>
      </c>
      <c r="U68" s="29">
        <f t="shared" si="9"/>
        <v>0.40574497949800509</v>
      </c>
      <c r="V68" s="28">
        <v>45.15</v>
      </c>
      <c r="W68" s="28">
        <v>210.18</v>
      </c>
      <c r="X68" s="28">
        <v>885.67</v>
      </c>
      <c r="Y68" s="29">
        <f t="shared" si="10"/>
        <v>25.435469438394311</v>
      </c>
      <c r="Z68" s="29">
        <f t="shared" si="11"/>
        <v>105.5074767625637</v>
      </c>
      <c r="AA68" s="29">
        <f t="shared" si="12"/>
        <v>61.968942999999996</v>
      </c>
      <c r="AB68" s="29">
        <f t="shared" si="13"/>
        <v>269.33480034041048</v>
      </c>
      <c r="AC68" s="29">
        <f t="shared" si="14"/>
        <v>8.4914731595176782</v>
      </c>
      <c r="AD68" s="29">
        <f t="shared" si="15"/>
        <v>19.367895754816036</v>
      </c>
      <c r="AF68">
        <f t="shared" si="18"/>
        <v>1.0648148148147962E-2</v>
      </c>
      <c r="AG68">
        <f t="shared" si="19"/>
        <v>1.5185882581012278E-2</v>
      </c>
      <c r="AH68">
        <f t="shared" si="20"/>
        <v>1.3468013468013407E-2</v>
      </c>
      <c r="AI68">
        <f t="shared" si="21"/>
        <v>-4.2802111570838797E-4</v>
      </c>
      <c r="AJ68">
        <f t="shared" si="22"/>
        <v>2.6673312776760216E-2</v>
      </c>
      <c r="AK68">
        <f t="shared" si="23"/>
        <v>-6.9548075124495901E-3</v>
      </c>
      <c r="AL68">
        <f t="shared" si="24"/>
        <v>-1.6254129338357348E-2</v>
      </c>
      <c r="AM68">
        <f t="shared" si="25"/>
        <v>-1.3216547263354639E-2</v>
      </c>
      <c r="AN68">
        <f t="shared" si="26"/>
        <v>-1.3312289075257389E-2</v>
      </c>
      <c r="AO68">
        <f t="shared" si="27"/>
        <v>1.5611102581500003E-2</v>
      </c>
      <c r="AP68">
        <f t="shared" si="28"/>
        <v>-1.2034495692913039E-2</v>
      </c>
      <c r="AR68" s="67" t="s">
        <v>1169</v>
      </c>
      <c r="AS68" s="67">
        <v>0.23110035984927543</v>
      </c>
      <c r="AT68" s="67">
        <v>0.25055996760130972</v>
      </c>
      <c r="AU68" s="67">
        <v>0.25055996760130972</v>
      </c>
      <c r="AW68" s="8" cm="1">
        <f t="array" ref="AW68">MMULT(TRANSPOSE(AS66:AS76),M)</f>
        <v>0.37899110929126184</v>
      </c>
      <c r="AX68" s="72" cm="1">
        <f t="array" ref="AX68">SQRT(MMULT(TRANSPOSE(AS66:AS76),MMULT(V,AS66:AS76)))</f>
        <v>9.5702929321650518E-2</v>
      </c>
      <c r="AY68" s="8">
        <f>AW68-$AS$14</f>
        <v>0.27969110929126184</v>
      </c>
      <c r="AZ68" s="36">
        <f>AW68/AX68</f>
        <v>3.9600784634031476</v>
      </c>
      <c r="BA68" s="36">
        <f>AY68/AX68</f>
        <v>2.9224926684452943</v>
      </c>
      <c r="BC68" s="75">
        <f t="shared" si="35"/>
        <v>0.19535107152379427</v>
      </c>
    </row>
    <row r="69" spans="3:55" ht="15" thickBot="1" x14ac:dyDescent="0.35">
      <c r="C69" s="1">
        <v>21.27</v>
      </c>
      <c r="D69" s="1">
        <v>3.07</v>
      </c>
      <c r="E69" s="1">
        <v>44.6</v>
      </c>
      <c r="F69" s="1">
        <v>209.71</v>
      </c>
      <c r="G69" s="1">
        <v>880.84</v>
      </c>
      <c r="H69" s="1">
        <v>23.85</v>
      </c>
      <c r="I69" s="1">
        <v>97.94</v>
      </c>
      <c r="J69" s="1">
        <v>84.79</v>
      </c>
      <c r="K69" s="1">
        <v>246.7</v>
      </c>
      <c r="L69" s="1">
        <v>148.93</v>
      </c>
      <c r="M69" s="1">
        <v>17.995000000000001</v>
      </c>
      <c r="O69" s="1">
        <v>18.0977</v>
      </c>
      <c r="P69" s="1">
        <v>1.0824027362593036</v>
      </c>
      <c r="Q69" s="1">
        <v>0.1371610757168038</v>
      </c>
      <c r="R69" s="1">
        <v>0.73440000000000005</v>
      </c>
      <c r="T69" s="28">
        <v>21.27</v>
      </c>
      <c r="U69" s="29">
        <f t="shared" ref="U69:U132" si="36">Q69*D69</f>
        <v>0.42108450245058765</v>
      </c>
      <c r="V69" s="28">
        <v>44.6</v>
      </c>
      <c r="W69" s="28">
        <v>209.71</v>
      </c>
      <c r="X69" s="28">
        <v>880.84</v>
      </c>
      <c r="Y69" s="29">
        <f t="shared" si="10"/>
        <v>25.7770264370738</v>
      </c>
      <c r="Z69" s="29">
        <f t="shared" si="11"/>
        <v>106.01052398923619</v>
      </c>
      <c r="AA69" s="29">
        <f t="shared" si="12"/>
        <v>62.269776000000007</v>
      </c>
      <c r="AB69" s="29">
        <f t="shared" si="13"/>
        <v>267.02875503517021</v>
      </c>
      <c r="AC69" s="29">
        <f t="shared" si="14"/>
        <v>8.2292224978864716</v>
      </c>
      <c r="AD69" s="29">
        <f t="shared" si="15"/>
        <v>19.477837238986169</v>
      </c>
      <c r="AF69">
        <f t="shared" si="18"/>
        <v>-2.5652771415483278E-2</v>
      </c>
      <c r="AG69">
        <f t="shared" si="19"/>
        <v>3.780582318371728E-2</v>
      </c>
      <c r="AH69">
        <f t="shared" si="20"/>
        <v>-1.2181616832779518E-2</v>
      </c>
      <c r="AI69">
        <f t="shared" si="21"/>
        <v>-2.236178513654985E-3</v>
      </c>
      <c r="AJ69">
        <f t="shared" si="22"/>
        <v>-5.4534984813755516E-3</v>
      </c>
      <c r="AK69">
        <f t="shared" si="23"/>
        <v>1.3428374086303263E-2</v>
      </c>
      <c r="AL69">
        <f t="shared" si="24"/>
        <v>4.7678822592314152E-3</v>
      </c>
      <c r="AM69">
        <f t="shared" si="25"/>
        <v>4.8545769128256477E-3</v>
      </c>
      <c r="AN69">
        <f t="shared" si="26"/>
        <v>-8.5620027650555874E-3</v>
      </c>
      <c r="AO69">
        <f t="shared" si="27"/>
        <v>-3.0884000538500489E-2</v>
      </c>
      <c r="AP69">
        <f t="shared" si="28"/>
        <v>5.6764805821920561E-3</v>
      </c>
      <c r="AR69" s="67" t="s">
        <v>756</v>
      </c>
      <c r="AS69" s="67">
        <v>1.9187858942945109E-2</v>
      </c>
      <c r="AT69" s="67">
        <v>2.6472139015275127E-2</v>
      </c>
      <c r="AU69" s="67">
        <v>2.6472139015275127E-2</v>
      </c>
      <c r="BC69" s="75">
        <f t="shared" si="35"/>
        <v>0.13909684950108822</v>
      </c>
    </row>
    <row r="70" spans="3:55" ht="15" thickBot="1" x14ac:dyDescent="0.35">
      <c r="C70" s="1">
        <v>22.02</v>
      </c>
      <c r="D70" s="1">
        <v>3.01</v>
      </c>
      <c r="E70" s="1">
        <v>44.66</v>
      </c>
      <c r="F70" s="1">
        <v>209.49</v>
      </c>
      <c r="G70" s="1">
        <v>886.85</v>
      </c>
      <c r="H70" s="1">
        <v>23.76</v>
      </c>
      <c r="I70" s="1">
        <v>99.76</v>
      </c>
      <c r="J70" s="1">
        <v>84.74</v>
      </c>
      <c r="K70" s="1">
        <v>245.2</v>
      </c>
      <c r="L70" s="1">
        <v>151.01</v>
      </c>
      <c r="M70" s="1">
        <v>18.309999999999999</v>
      </c>
      <c r="O70" s="1">
        <v>18.009499999999999</v>
      </c>
      <c r="P70" s="1">
        <v>1.0829506649268441</v>
      </c>
      <c r="Q70" s="1">
        <v>0.13718870596074295</v>
      </c>
      <c r="R70" s="1">
        <v>0.73299999999999998</v>
      </c>
      <c r="T70" s="28">
        <v>22.02</v>
      </c>
      <c r="U70" s="29">
        <f t="shared" si="36"/>
        <v>0.41293800494183625</v>
      </c>
      <c r="V70" s="28">
        <v>44.66</v>
      </c>
      <c r="W70" s="28">
        <v>209.49</v>
      </c>
      <c r="X70" s="28">
        <v>886.85</v>
      </c>
      <c r="Y70" s="29">
        <f t="shared" ref="Y70:Y133" si="37">P69*H70</f>
        <v>25.717889013521056</v>
      </c>
      <c r="Z70" s="29">
        <f t="shared" ref="Z70:Z133" si="38">P70*I70</f>
        <v>108.03515833310198</v>
      </c>
      <c r="AA70" s="29">
        <f t="shared" ref="AA70:AA133" si="39">R70*J70</f>
        <v>62.114419999999996</v>
      </c>
      <c r="AB70" s="29">
        <f t="shared" ref="AB70:AB133" si="40">P70*K70</f>
        <v>265.53950304006219</v>
      </c>
      <c r="AC70" s="29">
        <f t="shared" ref="AC70:AC133" si="41">L70/O70</f>
        <v>8.3850190177406372</v>
      </c>
      <c r="AD70" s="29">
        <f t="shared" ref="AD70:AD133" si="42">P70*M70</f>
        <v>19.828826674810514</v>
      </c>
      <c r="AF70">
        <f t="shared" si="18"/>
        <v>3.5260930888575404E-2</v>
      </c>
      <c r="AG70">
        <f t="shared" si="19"/>
        <v>-1.9346467184950256E-2</v>
      </c>
      <c r="AH70">
        <f t="shared" si="20"/>
        <v>1.3452914798204318E-3</v>
      </c>
      <c r="AI70">
        <f t="shared" si="21"/>
        <v>-1.0490677602402743E-3</v>
      </c>
      <c r="AJ70">
        <f t="shared" si="22"/>
        <v>6.8230325598293007E-3</v>
      </c>
      <c r="AK70">
        <f t="shared" si="23"/>
        <v>-2.2941910579604707E-3</v>
      </c>
      <c r="AL70">
        <f t="shared" si="24"/>
        <v>1.9098427851100386E-2</v>
      </c>
      <c r="AM70">
        <f t="shared" si="25"/>
        <v>-2.4948861226031793E-3</v>
      </c>
      <c r="AN70">
        <f t="shared" si="26"/>
        <v>-5.5771221901247392E-3</v>
      </c>
      <c r="AO70">
        <f t="shared" si="27"/>
        <v>1.8932106878162491E-2</v>
      </c>
      <c r="AP70">
        <f t="shared" si="28"/>
        <v>1.8019938842173788E-2</v>
      </c>
      <c r="AR70" s="67" t="s">
        <v>757</v>
      </c>
      <c r="AS70" s="67">
        <v>4.3894045705439332E-2</v>
      </c>
      <c r="AT70" s="67">
        <v>4.7136340698916326E-2</v>
      </c>
      <c r="AU70" s="67">
        <v>4.7136340698916319E-2</v>
      </c>
      <c r="BC70" s="75">
        <f t="shared" si="35"/>
        <v>0.18596229497604017</v>
      </c>
    </row>
    <row r="71" spans="3:55" ht="15" thickBot="1" x14ac:dyDescent="0.35">
      <c r="C71" s="1">
        <v>21.9</v>
      </c>
      <c r="D71" s="1">
        <v>3.01</v>
      </c>
      <c r="E71" s="1">
        <v>44.83</v>
      </c>
      <c r="F71" s="1">
        <v>209.99</v>
      </c>
      <c r="G71" s="1">
        <v>884.31</v>
      </c>
      <c r="H71" s="1">
        <v>23.88</v>
      </c>
      <c r="I71" s="1">
        <v>102.2</v>
      </c>
      <c r="J71" s="1">
        <v>85.85</v>
      </c>
      <c r="K71" s="1">
        <v>251.6</v>
      </c>
      <c r="L71" s="1">
        <v>149.32</v>
      </c>
      <c r="M71" s="1">
        <v>18.350000000000001</v>
      </c>
      <c r="O71" s="1">
        <v>17.942799999999998</v>
      </c>
      <c r="P71" s="1">
        <v>1.0822001025480974</v>
      </c>
      <c r="Q71" s="1">
        <v>0.13716922665358808</v>
      </c>
      <c r="R71" s="1">
        <v>0.73329999999999995</v>
      </c>
      <c r="T71" s="28">
        <v>21.9</v>
      </c>
      <c r="U71" s="29">
        <f t="shared" si="36"/>
        <v>0.41287937222730009</v>
      </c>
      <c r="V71" s="28">
        <v>44.83</v>
      </c>
      <c r="W71" s="28">
        <v>209.99</v>
      </c>
      <c r="X71" s="28">
        <v>884.31</v>
      </c>
      <c r="Y71" s="29">
        <f t="shared" si="37"/>
        <v>25.860861878453036</v>
      </c>
      <c r="Z71" s="29">
        <f t="shared" si="38"/>
        <v>110.60085048041556</v>
      </c>
      <c r="AA71" s="29">
        <f t="shared" si="39"/>
        <v>62.953804999999988</v>
      </c>
      <c r="AB71" s="29">
        <f t="shared" si="40"/>
        <v>272.28154580110129</v>
      </c>
      <c r="AC71" s="29">
        <f t="shared" si="41"/>
        <v>8.322001025480974</v>
      </c>
      <c r="AD71" s="29">
        <f t="shared" si="42"/>
        <v>19.858371881757588</v>
      </c>
      <c r="AF71">
        <f t="shared" ref="AF71:AF134" si="43">(T71/T70)-1</f>
        <v>-5.4495912806540314E-3</v>
      </c>
      <c r="AG71">
        <f t="shared" ref="AG71:AG134" si="44">(U71/U70)-1</f>
        <v>-1.4198914566954102E-4</v>
      </c>
      <c r="AH71">
        <f t="shared" ref="AH71:AH134" si="45">(V71/V70)-1</f>
        <v>3.8065382892968902E-3</v>
      </c>
      <c r="AI71">
        <f t="shared" ref="AI71:AI134" si="46">(W71/W70)-1</f>
        <v>2.3867487708244539E-3</v>
      </c>
      <c r="AJ71">
        <f t="shared" ref="AJ71:AJ134" si="47">(X71/X70)-1</f>
        <v>-2.8640694593223825E-3</v>
      </c>
      <c r="AK71">
        <f t="shared" ref="AK71:AK134" si="48">(Y71/Y70)-1</f>
        <v>5.559276846432093E-3</v>
      </c>
      <c r="AL71">
        <f t="shared" ref="AL71:AL134" si="49">(Z71/Z70)-1</f>
        <v>2.3748677624027215E-2</v>
      </c>
      <c r="AM71">
        <f t="shared" ref="AM71:AM134" si="50">(AA71/AA70)-1</f>
        <v>1.3513528742601144E-2</v>
      </c>
      <c r="AN71">
        <f t="shared" ref="AN71:AN134" si="51">(AB71/AB70)-1</f>
        <v>2.5389980337584328E-2</v>
      </c>
      <c r="AO71">
        <f t="shared" ref="AO71:AO134" si="52">(AC71/AC70)-1</f>
        <v>-7.5155455373843161E-3</v>
      </c>
      <c r="AP71">
        <f t="shared" ref="AP71:AP134" si="53">(AD71/AD70)-1</f>
        <v>1.4900128702322046E-3</v>
      </c>
      <c r="AR71" s="67" t="s">
        <v>758</v>
      </c>
      <c r="AS71" s="67">
        <v>0.26116623369936004</v>
      </c>
      <c r="AT71" s="67">
        <v>0.26676589330266653</v>
      </c>
      <c r="AU71" s="67">
        <v>0.26676589330266653</v>
      </c>
      <c r="BC71" s="75">
        <f t="shared" si="35"/>
        <v>0.30758813388654266</v>
      </c>
    </row>
    <row r="72" spans="3:55" ht="15" thickBot="1" x14ac:dyDescent="0.35">
      <c r="C72" s="1">
        <v>23.39</v>
      </c>
      <c r="D72" s="1">
        <v>3.07</v>
      </c>
      <c r="E72" s="1">
        <v>45.63</v>
      </c>
      <c r="F72" s="1">
        <v>211.82</v>
      </c>
      <c r="G72" s="1">
        <v>846.59</v>
      </c>
      <c r="H72" s="1">
        <v>23.8</v>
      </c>
      <c r="I72" s="1">
        <v>101.15</v>
      </c>
      <c r="J72" s="1">
        <v>86.81</v>
      </c>
      <c r="K72" s="1">
        <v>250.3</v>
      </c>
      <c r="L72" s="1">
        <v>152.16999999999999</v>
      </c>
      <c r="M72" s="1">
        <v>17.98</v>
      </c>
      <c r="O72" s="1">
        <v>17.828800000000001</v>
      </c>
      <c r="P72" s="1">
        <v>1.0822489455263393</v>
      </c>
      <c r="Q72" s="1">
        <v>0.13713205599928205</v>
      </c>
      <c r="R72" s="1">
        <v>0.73319999999999996</v>
      </c>
      <c r="T72" s="28">
        <v>23.39</v>
      </c>
      <c r="U72" s="29">
        <f t="shared" si="36"/>
        <v>0.42099541191779588</v>
      </c>
      <c r="V72" s="28">
        <v>45.63</v>
      </c>
      <c r="W72" s="28">
        <v>211.82</v>
      </c>
      <c r="X72" s="28">
        <v>846.59</v>
      </c>
      <c r="Y72" s="29">
        <f t="shared" si="37"/>
        <v>25.756362440644718</v>
      </c>
      <c r="Z72" s="29">
        <f t="shared" si="38"/>
        <v>109.46948083998923</v>
      </c>
      <c r="AA72" s="29">
        <f t="shared" si="39"/>
        <v>63.649091999999996</v>
      </c>
      <c r="AB72" s="29">
        <f t="shared" si="40"/>
        <v>270.88691106524277</v>
      </c>
      <c r="AC72" s="29">
        <f t="shared" si="41"/>
        <v>8.5350668581172027</v>
      </c>
      <c r="AD72" s="29">
        <f t="shared" si="42"/>
        <v>19.458836040563583</v>
      </c>
      <c r="AF72">
        <f t="shared" si="43"/>
        <v>6.8036529680365332E-2</v>
      </c>
      <c r="AG72">
        <f t="shared" si="44"/>
        <v>1.9657169227693227E-2</v>
      </c>
      <c r="AH72">
        <f t="shared" si="45"/>
        <v>1.7845192951148947E-2</v>
      </c>
      <c r="AI72">
        <f t="shared" si="46"/>
        <v>8.7147007000332177E-3</v>
      </c>
      <c r="AJ72">
        <f t="shared" si="47"/>
        <v>-4.2654725152943995E-2</v>
      </c>
      <c r="AK72">
        <f t="shared" si="48"/>
        <v>-4.0408335305864851E-3</v>
      </c>
      <c r="AL72">
        <f t="shared" si="49"/>
        <v>-1.022930326043614E-2</v>
      </c>
      <c r="AM72">
        <f t="shared" si="50"/>
        <v>1.1044399937382821E-2</v>
      </c>
      <c r="AN72">
        <f t="shared" si="51"/>
        <v>-5.1220317989426611E-3</v>
      </c>
      <c r="AO72">
        <f t="shared" si="52"/>
        <v>2.5602716460121355E-2</v>
      </c>
      <c r="AP72">
        <f t="shared" si="53"/>
        <v>-2.0119264739977494E-2</v>
      </c>
      <c r="AR72" s="67" t="s">
        <v>759</v>
      </c>
      <c r="AS72" s="67">
        <v>9.9721084405571037E-2</v>
      </c>
      <c r="AT72" s="67">
        <v>0.1056266396538164</v>
      </c>
      <c r="AU72" s="67">
        <v>0.1056266396538164</v>
      </c>
      <c r="BC72" s="75">
        <f t="shared" si="35"/>
        <v>0.43051883181687861</v>
      </c>
    </row>
    <row r="73" spans="3:55" ht="15" thickBot="1" x14ac:dyDescent="0.35">
      <c r="C73" s="1">
        <v>23.48</v>
      </c>
      <c r="D73" s="1">
        <v>3.14</v>
      </c>
      <c r="E73" s="1">
        <v>45.61</v>
      </c>
      <c r="F73" s="1">
        <v>213.3</v>
      </c>
      <c r="G73" s="1">
        <v>842.9</v>
      </c>
      <c r="H73" s="1">
        <v>23.81</v>
      </c>
      <c r="I73" s="1">
        <v>102.8</v>
      </c>
      <c r="J73" s="1">
        <v>88.23</v>
      </c>
      <c r="K73" s="1">
        <v>250.8</v>
      </c>
      <c r="L73" s="1">
        <v>153.22999999999999</v>
      </c>
      <c r="M73" s="1">
        <v>17.824999999999999</v>
      </c>
      <c r="O73" s="1">
        <v>17.819199999999999</v>
      </c>
      <c r="P73" s="1">
        <v>1.0849476968663014</v>
      </c>
      <c r="Q73" s="1">
        <v>0.13737429289754874</v>
      </c>
      <c r="R73" s="1">
        <v>0.73409999999999997</v>
      </c>
      <c r="T73" s="28">
        <v>23.48</v>
      </c>
      <c r="U73" s="29">
        <f t="shared" si="36"/>
        <v>0.43135527969830306</v>
      </c>
      <c r="V73" s="28">
        <v>45.61</v>
      </c>
      <c r="W73" s="28">
        <v>213.3</v>
      </c>
      <c r="X73" s="28">
        <v>842.9</v>
      </c>
      <c r="Y73" s="29">
        <f t="shared" si="37"/>
        <v>25.76834739298214</v>
      </c>
      <c r="Z73" s="29">
        <f t="shared" si="38"/>
        <v>111.53262323785579</v>
      </c>
      <c r="AA73" s="29">
        <f t="shared" si="39"/>
        <v>64.769643000000002</v>
      </c>
      <c r="AB73" s="29">
        <f t="shared" si="40"/>
        <v>272.10488237406844</v>
      </c>
      <c r="AC73" s="29">
        <f t="shared" si="41"/>
        <v>8.5991514770584541</v>
      </c>
      <c r="AD73" s="29">
        <f t="shared" si="42"/>
        <v>19.339192696641824</v>
      </c>
      <c r="AF73">
        <f t="shared" si="43"/>
        <v>3.8477982043607639E-3</v>
      </c>
      <c r="AG73">
        <f t="shared" si="44"/>
        <v>2.4608030128675296E-2</v>
      </c>
      <c r="AH73">
        <f t="shared" si="45"/>
        <v>-4.3830813061584983E-4</v>
      </c>
      <c r="AI73">
        <f t="shared" si="46"/>
        <v>6.9870644887168876E-3</v>
      </c>
      <c r="AJ73">
        <f t="shared" si="47"/>
        <v>-4.3586623985637507E-3</v>
      </c>
      <c r="AK73">
        <f t="shared" si="48"/>
        <v>4.6532006858646113E-4</v>
      </c>
      <c r="AL73">
        <f t="shared" si="49"/>
        <v>1.884673593074071E-2</v>
      </c>
      <c r="AM73">
        <f t="shared" si="50"/>
        <v>1.7605137242177937E-2</v>
      </c>
      <c r="AN73">
        <f t="shared" si="51"/>
        <v>4.4962353627058249E-3</v>
      </c>
      <c r="AO73">
        <f t="shared" si="52"/>
        <v>7.5083909718063335E-3</v>
      </c>
      <c r="AP73">
        <f t="shared" si="53"/>
        <v>-6.1485354865189468E-3</v>
      </c>
      <c r="AR73" s="67" t="s">
        <v>1512</v>
      </c>
      <c r="AS73" s="67">
        <v>3.0332297610968804E-2</v>
      </c>
      <c r="AT73" s="67">
        <v>3.056424238416551E-2</v>
      </c>
      <c r="AU73" s="67">
        <v>3.056424238416551E-2</v>
      </c>
      <c r="BC73" s="75">
        <f t="shared" si="35"/>
        <v>0.2609393434556378</v>
      </c>
    </row>
    <row r="74" spans="3:55" ht="15" thickBot="1" x14ac:dyDescent="0.35">
      <c r="C74" s="1">
        <v>22.8</v>
      </c>
      <c r="D74" s="1">
        <v>3.14</v>
      </c>
      <c r="E74" s="1">
        <v>45.76</v>
      </c>
      <c r="F74" s="1">
        <v>217.1</v>
      </c>
      <c r="G74" s="1">
        <v>848.73</v>
      </c>
      <c r="H74" s="1">
        <v>24.04</v>
      </c>
      <c r="I74" s="1">
        <v>101.85</v>
      </c>
      <c r="J74" s="1">
        <v>89.23</v>
      </c>
      <c r="K74" s="1">
        <v>249</v>
      </c>
      <c r="L74" s="1">
        <v>157.59</v>
      </c>
      <c r="M74" s="1">
        <v>17.850000000000001</v>
      </c>
      <c r="O74" s="1">
        <v>17.650200000000002</v>
      </c>
      <c r="P74" s="1">
        <v>1.0890018243419337</v>
      </c>
      <c r="Q74" s="1">
        <v>0.1375508492821611</v>
      </c>
      <c r="R74" s="1">
        <v>0.73350000000000004</v>
      </c>
      <c r="T74" s="28">
        <v>22.8</v>
      </c>
      <c r="U74" s="29">
        <f t="shared" si="36"/>
        <v>0.43190966674598585</v>
      </c>
      <c r="V74" s="28">
        <v>45.76</v>
      </c>
      <c r="W74" s="28">
        <v>217.1</v>
      </c>
      <c r="X74" s="28">
        <v>848.73</v>
      </c>
      <c r="Y74" s="29">
        <f t="shared" si="37"/>
        <v>26.082142632665885</v>
      </c>
      <c r="Z74" s="29">
        <f t="shared" si="38"/>
        <v>110.91483580922595</v>
      </c>
      <c r="AA74" s="29">
        <f t="shared" si="39"/>
        <v>65.450205000000011</v>
      </c>
      <c r="AB74" s="29">
        <f t="shared" si="40"/>
        <v>271.1614542611415</v>
      </c>
      <c r="AC74" s="29">
        <f t="shared" si="41"/>
        <v>8.9285107250909324</v>
      </c>
      <c r="AD74" s="29">
        <f t="shared" si="42"/>
        <v>19.43868256450352</v>
      </c>
      <c r="AF74">
        <f t="shared" si="43"/>
        <v>-2.8960817717206155E-2</v>
      </c>
      <c r="AG74">
        <f t="shared" si="44"/>
        <v>1.2852214259915229E-3</v>
      </c>
      <c r="AH74">
        <f t="shared" si="45"/>
        <v>3.2887524665643486E-3</v>
      </c>
      <c r="AI74">
        <f t="shared" si="46"/>
        <v>1.781528363806828E-2</v>
      </c>
      <c r="AJ74">
        <f t="shared" si="47"/>
        <v>6.9165974611460346E-3</v>
      </c>
      <c r="AK74">
        <f t="shared" si="48"/>
        <v>1.217754615374389E-2</v>
      </c>
      <c r="AL74">
        <f t="shared" si="49"/>
        <v>-5.5390737767579967E-3</v>
      </c>
      <c r="AM74">
        <f t="shared" si="50"/>
        <v>1.0507422435538372E-2</v>
      </c>
      <c r="AN74">
        <f t="shared" si="51"/>
        <v>-3.4671487872458551E-3</v>
      </c>
      <c r="AO74">
        <f t="shared" si="52"/>
        <v>3.8301366002351678E-2</v>
      </c>
      <c r="AP74">
        <f t="shared" si="53"/>
        <v>5.144468511292688E-3</v>
      </c>
      <c r="AR74" s="67" t="s">
        <v>760</v>
      </c>
      <c r="AS74" s="67">
        <v>0</v>
      </c>
      <c r="AT74" s="67">
        <v>-1.1484137654273259E-3</v>
      </c>
      <c r="AU74" s="67">
        <v>-1.1484137654273257E-3</v>
      </c>
      <c r="BC74" s="75">
        <f t="shared" si="35"/>
        <v>0.2514970688965506</v>
      </c>
    </row>
    <row r="75" spans="3:55" ht="15" thickBot="1" x14ac:dyDescent="0.35">
      <c r="C75" s="1">
        <v>23.75</v>
      </c>
      <c r="D75" s="1">
        <v>2.99</v>
      </c>
      <c r="E75" s="1">
        <v>46.66</v>
      </c>
      <c r="F75" s="1">
        <v>210</v>
      </c>
      <c r="G75" s="1">
        <v>850.77</v>
      </c>
      <c r="H75" s="1">
        <v>24.26</v>
      </c>
      <c r="I75" s="1">
        <v>101.45</v>
      </c>
      <c r="J75" s="1">
        <v>90.76</v>
      </c>
      <c r="K75" s="1">
        <v>245.9</v>
      </c>
      <c r="L75" s="1">
        <v>153.33000000000001</v>
      </c>
      <c r="M75" s="1">
        <v>18.004999999999999</v>
      </c>
      <c r="O75" s="1">
        <v>17.7837</v>
      </c>
      <c r="P75" s="1">
        <v>1.0910496690789879</v>
      </c>
      <c r="Q75" s="1">
        <v>0.13753605830057863</v>
      </c>
      <c r="R75" s="1">
        <v>0.73350000000000004</v>
      </c>
      <c r="T75" s="28">
        <v>23.75</v>
      </c>
      <c r="U75" s="29">
        <f t="shared" si="36"/>
        <v>0.41123281431873016</v>
      </c>
      <c r="V75" s="28">
        <v>46.66</v>
      </c>
      <c r="W75" s="28">
        <v>210</v>
      </c>
      <c r="X75" s="28">
        <v>850.77</v>
      </c>
      <c r="Y75" s="29">
        <f t="shared" si="37"/>
        <v>26.419184258535314</v>
      </c>
      <c r="Z75" s="29">
        <f t="shared" si="38"/>
        <v>110.68698892806333</v>
      </c>
      <c r="AA75" s="29">
        <f t="shared" si="39"/>
        <v>66.572460000000007</v>
      </c>
      <c r="AB75" s="29">
        <f t="shared" si="40"/>
        <v>268.28911362652315</v>
      </c>
      <c r="AC75" s="29">
        <f t="shared" si="41"/>
        <v>8.6219403161321893</v>
      </c>
      <c r="AD75" s="29">
        <f t="shared" si="42"/>
        <v>19.644349291767178</v>
      </c>
      <c r="AF75">
        <f t="shared" si="43"/>
        <v>4.1666666666666741E-2</v>
      </c>
      <c r="AG75">
        <f t="shared" si="44"/>
        <v>-4.7873094814097183E-2</v>
      </c>
      <c r="AH75">
        <f t="shared" si="45"/>
        <v>1.9667832167832078E-2</v>
      </c>
      <c r="AI75">
        <f t="shared" si="46"/>
        <v>-3.270382312298481E-2</v>
      </c>
      <c r="AJ75">
        <f t="shared" si="47"/>
        <v>2.4035912480999677E-3</v>
      </c>
      <c r="AK75">
        <f t="shared" si="48"/>
        <v>1.292231357738638E-2</v>
      </c>
      <c r="AL75">
        <f t="shared" si="49"/>
        <v>-2.0542507185830061E-3</v>
      </c>
      <c r="AM75">
        <f t="shared" si="50"/>
        <v>1.7146699540513177E-2</v>
      </c>
      <c r="AN75">
        <f t="shared" si="51"/>
        <v>-1.0592732077075229E-2</v>
      </c>
      <c r="AO75">
        <f t="shared" si="52"/>
        <v>-3.4336119247437069E-2</v>
      </c>
      <c r="AP75">
        <f t="shared" si="53"/>
        <v>1.0580281178068196E-2</v>
      </c>
      <c r="AR75" s="67" t="s">
        <v>1918</v>
      </c>
      <c r="AS75" s="67">
        <v>0</v>
      </c>
      <c r="AT75" s="67">
        <v>-4.5090552121142533E-2</v>
      </c>
      <c r="AU75" s="67">
        <v>-4.5090552121142526E-2</v>
      </c>
      <c r="BC75" s="75">
        <f t="shared" si="35"/>
        <v>2.9999999999999472E-4</v>
      </c>
    </row>
    <row r="76" spans="3:55" ht="15" thickBot="1" x14ac:dyDescent="0.35">
      <c r="C76" s="1">
        <v>23.82</v>
      </c>
      <c r="D76" s="1">
        <v>3.02</v>
      </c>
      <c r="E76" s="1">
        <v>46.44</v>
      </c>
      <c r="F76" s="1">
        <v>221.35</v>
      </c>
      <c r="G76" s="1">
        <v>846.28</v>
      </c>
      <c r="H76" s="1">
        <v>24.19</v>
      </c>
      <c r="I76" s="1">
        <v>100.6</v>
      </c>
      <c r="J76" s="1">
        <v>90.73</v>
      </c>
      <c r="K76" s="1">
        <v>247.8</v>
      </c>
      <c r="L76" s="1">
        <v>155.36000000000001</v>
      </c>
      <c r="M76" s="1">
        <v>17.75</v>
      </c>
      <c r="O76" s="1">
        <v>17.679500000000001</v>
      </c>
      <c r="P76" s="1">
        <v>1.0899516389038151</v>
      </c>
      <c r="Q76" s="1">
        <v>0.13726632540513023</v>
      </c>
      <c r="R76" s="1">
        <v>0.73080000000000001</v>
      </c>
      <c r="T76" s="28">
        <v>23.82</v>
      </c>
      <c r="U76" s="29">
        <f t="shared" si="36"/>
        <v>0.4145443027234933</v>
      </c>
      <c r="V76" s="28">
        <v>46.44</v>
      </c>
      <c r="W76" s="28">
        <v>221.35</v>
      </c>
      <c r="X76" s="28">
        <v>846.28</v>
      </c>
      <c r="Y76" s="29">
        <f t="shared" si="37"/>
        <v>26.392491495020721</v>
      </c>
      <c r="Z76" s="29">
        <f t="shared" si="38"/>
        <v>109.6491348737238</v>
      </c>
      <c r="AA76" s="29">
        <f t="shared" si="39"/>
        <v>66.305484000000007</v>
      </c>
      <c r="AB76" s="29">
        <f t="shared" si="40"/>
        <v>270.09001612036536</v>
      </c>
      <c r="AC76" s="29">
        <f t="shared" si="41"/>
        <v>8.7875788342430496</v>
      </c>
      <c r="AD76" s="29">
        <f t="shared" si="42"/>
        <v>19.346641590542717</v>
      </c>
      <c r="AF76">
        <f t="shared" si="43"/>
        <v>2.9473684210525875E-3</v>
      </c>
      <c r="AG76">
        <f t="shared" si="44"/>
        <v>8.0525879488706487E-3</v>
      </c>
      <c r="AH76">
        <f t="shared" si="45"/>
        <v>-4.7149592798970685E-3</v>
      </c>
      <c r="AI76">
        <f t="shared" si="46"/>
        <v>5.4047619047619122E-2</v>
      </c>
      <c r="AJ76">
        <f t="shared" si="47"/>
        <v>-5.2775720817612726E-3</v>
      </c>
      <c r="AK76">
        <f t="shared" si="48"/>
        <v>-1.0103553256368691E-3</v>
      </c>
      <c r="AL76">
        <f t="shared" si="49"/>
        <v>-9.3764774377776972E-3</v>
      </c>
      <c r="AM76">
        <f t="shared" si="50"/>
        <v>-4.0103069647718925E-3</v>
      </c>
      <c r="AN76">
        <f t="shared" si="51"/>
        <v>6.712544051821645E-3</v>
      </c>
      <c r="AO76">
        <f t="shared" si="52"/>
        <v>1.9211280992161406E-2</v>
      </c>
      <c r="AP76">
        <f t="shared" si="53"/>
        <v>-1.5154877201721706E-2</v>
      </c>
      <c r="AR76" s="68" t="s">
        <v>2307</v>
      </c>
      <c r="AS76" s="68">
        <v>0.22069051749162524</v>
      </c>
      <c r="AT76" s="68">
        <v>0.2204395040721816</v>
      </c>
      <c r="AU76" s="68">
        <v>0.22043950407218157</v>
      </c>
      <c r="BC76" s="75">
        <f t="shared" si="35"/>
        <v>0.32463547479279048</v>
      </c>
    </row>
    <row r="77" spans="3:55" x14ac:dyDescent="0.3">
      <c r="C77" s="1">
        <v>23.23</v>
      </c>
      <c r="D77" s="1">
        <v>2.92</v>
      </c>
      <c r="E77" s="1">
        <v>46.15</v>
      </c>
      <c r="F77" s="1">
        <v>224.53</v>
      </c>
      <c r="G77" s="1">
        <v>839.37</v>
      </c>
      <c r="H77" s="1">
        <v>24.31</v>
      </c>
      <c r="I77" s="1">
        <v>101.95</v>
      </c>
      <c r="J77" s="1">
        <v>89.64</v>
      </c>
      <c r="K77" s="1">
        <v>247.7</v>
      </c>
      <c r="L77" s="1">
        <v>155.86000000000001</v>
      </c>
      <c r="M77" s="1">
        <v>17.895</v>
      </c>
      <c r="O77" s="1">
        <v>17.7438</v>
      </c>
      <c r="P77" s="1">
        <v>1.0930973072284405</v>
      </c>
      <c r="Q77" s="1">
        <v>0.13752409292259832</v>
      </c>
      <c r="R77" s="1">
        <v>0.73129999999999995</v>
      </c>
      <c r="T77" s="28">
        <v>23.23</v>
      </c>
      <c r="U77" s="29">
        <f t="shared" si="36"/>
        <v>0.40157035133398705</v>
      </c>
      <c r="V77" s="28">
        <v>46.15</v>
      </c>
      <c r="W77" s="28">
        <v>224.53</v>
      </c>
      <c r="X77" s="28">
        <v>839.37</v>
      </c>
      <c r="Y77" s="29">
        <f t="shared" si="37"/>
        <v>26.496724341751744</v>
      </c>
      <c r="Z77" s="29">
        <f t="shared" si="38"/>
        <v>111.4412704719395</v>
      </c>
      <c r="AA77" s="29">
        <f t="shared" si="39"/>
        <v>65.553731999999997</v>
      </c>
      <c r="AB77" s="29">
        <f t="shared" si="40"/>
        <v>270.76020300048469</v>
      </c>
      <c r="AC77" s="29">
        <f t="shared" si="41"/>
        <v>8.7839132542071034</v>
      </c>
      <c r="AD77" s="29">
        <f t="shared" si="42"/>
        <v>19.56097631285294</v>
      </c>
      <c r="AF77">
        <f t="shared" si="43"/>
        <v>-2.4769101595298104E-2</v>
      </c>
      <c r="AG77">
        <f t="shared" si="44"/>
        <v>-3.1296899521400579E-2</v>
      </c>
      <c r="AH77">
        <f t="shared" si="45"/>
        <v>-6.2446167097329752E-3</v>
      </c>
      <c r="AI77">
        <f t="shared" si="46"/>
        <v>1.4366388073187242E-2</v>
      </c>
      <c r="AJ77">
        <f t="shared" si="47"/>
        <v>-8.1651462872808223E-3</v>
      </c>
      <c r="AK77">
        <f t="shared" si="48"/>
        <v>3.9493371344152539E-3</v>
      </c>
      <c r="AL77">
        <f t="shared" si="49"/>
        <v>1.6344274857066576E-2</v>
      </c>
      <c r="AM77">
        <f t="shared" si="50"/>
        <v>-1.1337704736459009E-2</v>
      </c>
      <c r="AN77">
        <f t="shared" si="51"/>
        <v>2.4813463664672408E-3</v>
      </c>
      <c r="AO77">
        <f t="shared" si="52"/>
        <v>-4.1713196604986624E-4</v>
      </c>
      <c r="AP77">
        <f t="shared" si="53"/>
        <v>1.1078652659539445E-2</v>
      </c>
      <c r="AS77" s="73">
        <f>SUM(AS66:AS76)</f>
        <v>1.0000000000000002</v>
      </c>
      <c r="AT77" s="73">
        <f t="shared" ref="AT77:AU77" si="54">SUM(AT66:AT76)</f>
        <v>0.99999999999999989</v>
      </c>
      <c r="AU77" s="73">
        <f t="shared" si="54"/>
        <v>0.99999999999999989</v>
      </c>
    </row>
    <row r="78" spans="3:55" x14ac:dyDescent="0.3">
      <c r="C78" s="1">
        <v>22.67</v>
      </c>
      <c r="D78" s="1">
        <v>2.87</v>
      </c>
      <c r="E78" s="1">
        <v>45.32</v>
      </c>
      <c r="F78" s="1">
        <v>219.35</v>
      </c>
      <c r="G78" s="1">
        <v>838.13</v>
      </c>
      <c r="H78" s="1">
        <v>24.15</v>
      </c>
      <c r="I78" s="1">
        <v>102.05</v>
      </c>
      <c r="J78" s="1">
        <v>89.09</v>
      </c>
      <c r="K78" s="1">
        <v>253.2</v>
      </c>
      <c r="L78" s="1">
        <v>154.68</v>
      </c>
      <c r="M78" s="1">
        <v>17.905000000000001</v>
      </c>
      <c r="O78" s="1">
        <v>17.890699999999999</v>
      </c>
      <c r="P78" s="1">
        <v>1.0932998708826374</v>
      </c>
      <c r="Q78" s="1">
        <v>0.13754073345369383</v>
      </c>
      <c r="R78" s="1">
        <v>0.73070000000000002</v>
      </c>
      <c r="T78" s="28">
        <v>22.67</v>
      </c>
      <c r="U78" s="29">
        <f t="shared" si="36"/>
        <v>0.39474190501210132</v>
      </c>
      <c r="V78" s="28">
        <v>45.32</v>
      </c>
      <c r="W78" s="28">
        <v>219.35</v>
      </c>
      <c r="X78" s="28">
        <v>838.13</v>
      </c>
      <c r="Y78" s="29">
        <f t="shared" si="37"/>
        <v>26.398299969566835</v>
      </c>
      <c r="Z78" s="29">
        <f t="shared" si="38"/>
        <v>111.57125182357314</v>
      </c>
      <c r="AA78" s="29">
        <f t="shared" si="39"/>
        <v>65.09806300000001</v>
      </c>
      <c r="AB78" s="29">
        <f t="shared" si="40"/>
        <v>276.82352730748374</v>
      </c>
      <c r="AC78" s="29">
        <f t="shared" si="41"/>
        <v>8.6458327510941455</v>
      </c>
      <c r="AD78" s="29">
        <f t="shared" si="42"/>
        <v>19.575534188153622</v>
      </c>
      <c r="AF78">
        <f t="shared" si="43"/>
        <v>-2.4106758501937109E-2</v>
      </c>
      <c r="AG78">
        <f t="shared" si="44"/>
        <v>-1.7004358761054328E-2</v>
      </c>
      <c r="AH78">
        <f t="shared" si="45"/>
        <v>-1.7984832069339096E-2</v>
      </c>
      <c r="AI78">
        <f t="shared" si="46"/>
        <v>-2.3070413753173313E-2</v>
      </c>
      <c r="AJ78">
        <f t="shared" si="47"/>
        <v>-1.4772984500279751E-3</v>
      </c>
      <c r="AK78">
        <f t="shared" si="48"/>
        <v>-3.7145864113405924E-3</v>
      </c>
      <c r="AL78">
        <f t="shared" si="49"/>
        <v>1.166366383685169E-3</v>
      </c>
      <c r="AM78">
        <f t="shared" si="50"/>
        <v>-6.9510764085862764E-3</v>
      </c>
      <c r="AN78">
        <f t="shared" si="51"/>
        <v>2.239370572117716E-2</v>
      </c>
      <c r="AO78">
        <f t="shared" si="52"/>
        <v>-1.5719702496700294E-2</v>
      </c>
      <c r="AP78">
        <f t="shared" si="53"/>
        <v>7.4423050607741459E-4</v>
      </c>
    </row>
    <row r="79" spans="3:55" x14ac:dyDescent="0.3">
      <c r="C79" s="1">
        <v>22.03</v>
      </c>
      <c r="D79" s="1">
        <v>2.81</v>
      </c>
      <c r="E79" s="1">
        <v>45.33</v>
      </c>
      <c r="F79" s="1">
        <v>216.3</v>
      </c>
      <c r="G79" s="1">
        <v>847.42</v>
      </c>
      <c r="H79" s="1">
        <v>24.02</v>
      </c>
      <c r="I79" s="1">
        <v>99.88</v>
      </c>
      <c r="J79" s="1">
        <v>89.48</v>
      </c>
      <c r="K79" s="1">
        <v>253.1</v>
      </c>
      <c r="L79" s="1">
        <v>160.22</v>
      </c>
      <c r="M79" s="1">
        <v>17.989999999999998</v>
      </c>
      <c r="O79" s="1">
        <v>17.997</v>
      </c>
      <c r="P79" s="1">
        <v>1.0884980830138358</v>
      </c>
      <c r="Q79" s="1">
        <v>0.13728399177640718</v>
      </c>
      <c r="R79" s="1">
        <v>0.72940000000000005</v>
      </c>
      <c r="T79" s="28">
        <v>22.03</v>
      </c>
      <c r="U79" s="29">
        <f t="shared" si="36"/>
        <v>0.3857680168917042</v>
      </c>
      <c r="V79" s="28">
        <v>45.33</v>
      </c>
      <c r="W79" s="28">
        <v>216.3</v>
      </c>
      <c r="X79" s="28">
        <v>847.42</v>
      </c>
      <c r="Y79" s="29">
        <f t="shared" si="37"/>
        <v>26.261062898600947</v>
      </c>
      <c r="Z79" s="29">
        <f t="shared" si="38"/>
        <v>108.71918853142191</v>
      </c>
      <c r="AA79" s="29">
        <f t="shared" si="39"/>
        <v>65.266712000000012</v>
      </c>
      <c r="AB79" s="29">
        <f t="shared" si="40"/>
        <v>275.49886481080182</v>
      </c>
      <c r="AC79" s="29">
        <f t="shared" si="41"/>
        <v>8.9025948769239314</v>
      </c>
      <c r="AD79" s="29">
        <f t="shared" si="42"/>
        <v>19.582080513418905</v>
      </c>
      <c r="AF79">
        <f t="shared" si="43"/>
        <v>-2.8231142479047233E-2</v>
      </c>
      <c r="AG79">
        <f t="shared" si="44"/>
        <v>-2.2733558323690062E-2</v>
      </c>
      <c r="AH79">
        <f t="shared" si="45"/>
        <v>2.2065313327446212E-4</v>
      </c>
      <c r="AI79">
        <f t="shared" si="46"/>
        <v>-1.3904718486437151E-2</v>
      </c>
      <c r="AJ79">
        <f t="shared" si="47"/>
        <v>1.1084199348549761E-2</v>
      </c>
      <c r="AK79">
        <f t="shared" si="48"/>
        <v>-5.1987086715470365E-3</v>
      </c>
      <c r="AL79">
        <f t="shared" si="49"/>
        <v>-2.5562707646779592E-2</v>
      </c>
      <c r="AM79">
        <f t="shared" si="50"/>
        <v>2.5906915233406824E-3</v>
      </c>
      <c r="AN79">
        <f t="shared" si="51"/>
        <v>-4.785223675047523E-3</v>
      </c>
      <c r="AO79">
        <f t="shared" si="52"/>
        <v>2.9697790047730432E-2</v>
      </c>
      <c r="AP79">
        <f t="shared" si="53"/>
        <v>3.3441362071462422E-4</v>
      </c>
    </row>
    <row r="80" spans="3:55" x14ac:dyDescent="0.3">
      <c r="C80" s="1">
        <v>21.82</v>
      </c>
      <c r="D80" s="1">
        <v>2.97</v>
      </c>
      <c r="E80" s="1">
        <v>45.49</v>
      </c>
      <c r="F80" s="1">
        <v>215.9</v>
      </c>
      <c r="G80" s="1">
        <v>852.11</v>
      </c>
      <c r="H80" s="1">
        <v>24.21</v>
      </c>
      <c r="I80" s="1">
        <v>97.86</v>
      </c>
      <c r="J80" s="1">
        <v>89.87</v>
      </c>
      <c r="K80" s="1">
        <v>253.5</v>
      </c>
      <c r="L80" s="1">
        <v>165.6</v>
      </c>
      <c r="M80" s="1">
        <v>18.04</v>
      </c>
      <c r="O80" s="1">
        <v>17.910699999999999</v>
      </c>
      <c r="P80" s="1">
        <v>1.0889524139201707</v>
      </c>
      <c r="Q80" s="1">
        <v>0.13711915223860599</v>
      </c>
      <c r="R80" s="1">
        <v>0.72799999999999998</v>
      </c>
      <c r="T80" s="28">
        <v>21.82</v>
      </c>
      <c r="U80" s="29">
        <f t="shared" si="36"/>
        <v>0.40724388214865981</v>
      </c>
      <c r="V80" s="28">
        <v>45.49</v>
      </c>
      <c r="W80" s="28">
        <v>215.9</v>
      </c>
      <c r="X80" s="28">
        <v>852.11</v>
      </c>
      <c r="Y80" s="29">
        <f t="shared" si="37"/>
        <v>26.352538589764965</v>
      </c>
      <c r="Z80" s="29">
        <f t="shared" si="38"/>
        <v>106.56488322622791</v>
      </c>
      <c r="AA80" s="29">
        <f t="shared" si="39"/>
        <v>65.425359999999998</v>
      </c>
      <c r="AB80" s="29">
        <f t="shared" si="40"/>
        <v>276.04943692876327</v>
      </c>
      <c r="AC80" s="29">
        <f t="shared" si="41"/>
        <v>9.2458697873338291</v>
      </c>
      <c r="AD80" s="29">
        <f t="shared" si="42"/>
        <v>19.64470154711988</v>
      </c>
      <c r="AF80">
        <f t="shared" si="43"/>
        <v>-9.5324557421697653E-3</v>
      </c>
      <c r="AG80">
        <f t="shared" si="44"/>
        <v>5.567041412607443E-2</v>
      </c>
      <c r="AH80">
        <f t="shared" si="45"/>
        <v>3.5296712993604373E-3</v>
      </c>
      <c r="AI80">
        <f t="shared" si="46"/>
        <v>-1.8492834026815341E-3</v>
      </c>
      <c r="AJ80">
        <f t="shared" si="47"/>
        <v>5.5344457293904359E-3</v>
      </c>
      <c r="AK80">
        <f t="shared" si="48"/>
        <v>3.4833202112658501E-3</v>
      </c>
      <c r="AL80">
        <f t="shared" si="49"/>
        <v>-1.98153181080023E-2</v>
      </c>
      <c r="AM80">
        <f t="shared" si="50"/>
        <v>2.4307643994687655E-3</v>
      </c>
      <c r="AN80">
        <f t="shared" si="51"/>
        <v>1.9984551237246517E-3</v>
      </c>
      <c r="AO80">
        <f t="shared" si="52"/>
        <v>3.8558972429452831E-2</v>
      </c>
      <c r="AP80">
        <f t="shared" si="53"/>
        <v>3.1978743861287295E-3</v>
      </c>
      <c r="AR80" t="s">
        <v>2336</v>
      </c>
    </row>
    <row r="81" spans="3:58" x14ac:dyDescent="0.3">
      <c r="C81" s="1">
        <v>21.1</v>
      </c>
      <c r="D81" s="1">
        <v>3.08</v>
      </c>
      <c r="E81" s="1">
        <v>45.31</v>
      </c>
      <c r="F81" s="1">
        <v>215.44</v>
      </c>
      <c r="G81" s="1">
        <v>830.82</v>
      </c>
      <c r="H81" s="1">
        <v>24.24</v>
      </c>
      <c r="I81" s="1">
        <v>99.82</v>
      </c>
      <c r="J81" s="1">
        <v>89.94</v>
      </c>
      <c r="K81" s="1">
        <v>257.89999999999998</v>
      </c>
      <c r="L81" s="1">
        <v>160.03</v>
      </c>
      <c r="M81" s="1">
        <v>18.024999999999999</v>
      </c>
      <c r="O81" s="1">
        <v>18.098700000000001</v>
      </c>
      <c r="P81" s="1">
        <v>1.0861995612944575</v>
      </c>
      <c r="Q81" s="1">
        <v>0.13720874979970935</v>
      </c>
      <c r="R81" s="1">
        <v>0.7268</v>
      </c>
      <c r="T81" s="28">
        <v>21.1</v>
      </c>
      <c r="U81" s="29">
        <f t="shared" si="36"/>
        <v>0.42260294938310478</v>
      </c>
      <c r="V81" s="28">
        <v>45.31</v>
      </c>
      <c r="W81" s="28">
        <v>215.44</v>
      </c>
      <c r="X81" s="28">
        <v>830.82</v>
      </c>
      <c r="Y81" s="29">
        <f t="shared" si="37"/>
        <v>26.396206513424936</v>
      </c>
      <c r="Z81" s="29">
        <f t="shared" si="38"/>
        <v>108.42444020841273</v>
      </c>
      <c r="AA81" s="29">
        <f t="shared" si="39"/>
        <v>65.368392</v>
      </c>
      <c r="AB81" s="29">
        <f t="shared" si="40"/>
        <v>280.13086685784054</v>
      </c>
      <c r="AC81" s="29">
        <f t="shared" si="41"/>
        <v>8.8420715299993926</v>
      </c>
      <c r="AD81" s="29">
        <f t="shared" si="42"/>
        <v>19.578747092332595</v>
      </c>
      <c r="AF81">
        <f t="shared" si="43"/>
        <v>-3.2997250229147568E-2</v>
      </c>
      <c r="AG81">
        <f t="shared" si="44"/>
        <v>3.771466658604905E-2</v>
      </c>
      <c r="AH81">
        <f t="shared" si="45"/>
        <v>-3.9569136073862587E-3</v>
      </c>
      <c r="AI81">
        <f t="shared" si="46"/>
        <v>-2.1306160259380036E-3</v>
      </c>
      <c r="AJ81">
        <f t="shared" si="47"/>
        <v>-2.4985037143091859E-2</v>
      </c>
      <c r="AK81">
        <f t="shared" si="48"/>
        <v>1.6570670605879911E-3</v>
      </c>
      <c r="AL81">
        <f t="shared" si="49"/>
        <v>1.7449997840631504E-2</v>
      </c>
      <c r="AM81">
        <f t="shared" si="50"/>
        <v>-8.7073269447801582E-4</v>
      </c>
      <c r="AN81">
        <f t="shared" si="51"/>
        <v>1.4785141293842008E-2</v>
      </c>
      <c r="AO81">
        <f t="shared" si="52"/>
        <v>-4.367336622970952E-2</v>
      </c>
      <c r="AP81">
        <f t="shared" si="53"/>
        <v>-3.3573660882089129E-3</v>
      </c>
      <c r="AS81" t="s">
        <v>762</v>
      </c>
      <c r="AT81" s="57" t="s">
        <v>755</v>
      </c>
      <c r="AU81" s="57">
        <v>603336</v>
      </c>
      <c r="AV81" s="57" t="s">
        <v>1169</v>
      </c>
      <c r="AW81" s="57" t="s">
        <v>756</v>
      </c>
      <c r="AX81" s="57" t="s">
        <v>757</v>
      </c>
      <c r="AY81" s="57" t="s">
        <v>758</v>
      </c>
      <c r="AZ81" s="57" t="s">
        <v>759</v>
      </c>
      <c r="BA81" s="57" t="s">
        <v>1512</v>
      </c>
      <c r="BB81" s="57" t="s">
        <v>760</v>
      </c>
      <c r="BC81" s="57" t="s">
        <v>1918</v>
      </c>
      <c r="BD81" s="57" t="s">
        <v>2307</v>
      </c>
      <c r="BE81" s="59" t="s">
        <v>2331</v>
      </c>
      <c r="BF81" s="59" t="s">
        <v>762</v>
      </c>
    </row>
    <row r="82" spans="3:58" x14ac:dyDescent="0.3">
      <c r="C82" s="1">
        <v>21.09</v>
      </c>
      <c r="D82" s="1">
        <v>2.92</v>
      </c>
      <c r="E82" s="1">
        <v>44.62</v>
      </c>
      <c r="F82" s="1">
        <v>212.77</v>
      </c>
      <c r="G82" s="1">
        <v>815.95</v>
      </c>
      <c r="H82" s="1">
        <v>24.17</v>
      </c>
      <c r="I82" s="1">
        <v>98.66</v>
      </c>
      <c r="J82" s="1">
        <v>90.6</v>
      </c>
      <c r="K82" s="1">
        <v>255</v>
      </c>
      <c r="L82" s="1">
        <v>157.5</v>
      </c>
      <c r="M82" s="1">
        <v>18.02</v>
      </c>
      <c r="O82" s="1">
        <v>18.345800000000001</v>
      </c>
      <c r="P82" s="1">
        <v>1.0842481657927154</v>
      </c>
      <c r="Q82" s="1">
        <v>0.13720851639067252</v>
      </c>
      <c r="R82" s="1">
        <v>0.72529999999999994</v>
      </c>
      <c r="T82" s="28">
        <v>21.09</v>
      </c>
      <c r="U82" s="29">
        <f t="shared" si="36"/>
        <v>0.40064886786076376</v>
      </c>
      <c r="V82" s="28">
        <v>44.62</v>
      </c>
      <c r="W82" s="28">
        <v>212.77</v>
      </c>
      <c r="X82" s="28">
        <v>815.95</v>
      </c>
      <c r="Y82" s="29">
        <f t="shared" si="37"/>
        <v>26.25344339648704</v>
      </c>
      <c r="Z82" s="29">
        <f t="shared" si="38"/>
        <v>106.9719240371093</v>
      </c>
      <c r="AA82" s="29">
        <f t="shared" si="39"/>
        <v>65.712179999999989</v>
      </c>
      <c r="AB82" s="29">
        <f t="shared" si="40"/>
        <v>276.48328227714245</v>
      </c>
      <c r="AC82" s="29">
        <f t="shared" si="41"/>
        <v>8.585071242464215</v>
      </c>
      <c r="AD82" s="29">
        <f t="shared" si="42"/>
        <v>19.538151947584733</v>
      </c>
      <c r="AF82">
        <f t="shared" si="43"/>
        <v>-4.7393364928915993E-4</v>
      </c>
      <c r="AG82">
        <f t="shared" si="44"/>
        <v>-5.1949664701556153E-2</v>
      </c>
      <c r="AH82">
        <f t="shared" si="45"/>
        <v>-1.5228426395939243E-2</v>
      </c>
      <c r="AI82">
        <f t="shared" si="46"/>
        <v>-1.2393241737838734E-2</v>
      </c>
      <c r="AJ82">
        <f t="shared" si="47"/>
        <v>-1.7897980308610784E-2</v>
      </c>
      <c r="AK82">
        <f t="shared" si="48"/>
        <v>-5.4084709810588993E-3</v>
      </c>
      <c r="AL82">
        <f t="shared" si="49"/>
        <v>-1.3396575241812703E-2</v>
      </c>
      <c r="AM82">
        <f t="shared" si="50"/>
        <v>5.259239052415321E-3</v>
      </c>
      <c r="AN82">
        <f t="shared" si="51"/>
        <v>-1.3021002010996319E-2</v>
      </c>
      <c r="AO82">
        <f t="shared" si="52"/>
        <v>-2.9065619596406411E-2</v>
      </c>
      <c r="AP82">
        <f t="shared" si="53"/>
        <v>-2.0734291400985594E-3</v>
      </c>
      <c r="AS82" s="8">
        <v>2.5000000000000001E-2</v>
      </c>
      <c r="AT82" s="57" cm="1">
        <f t="array" ref="AT82:BD82">TRANSPOSE(Port_R(V,M,AS82))</f>
        <v>5.2515159046091608E-2</v>
      </c>
      <c r="AU82" s="57">
        <v>-2.6541643501250267E-2</v>
      </c>
      <c r="AV82" s="57">
        <v>0.33736166815238189</v>
      </c>
      <c r="AW82" s="57">
        <v>0.30763511530566146</v>
      </c>
      <c r="AX82" s="57">
        <v>0.23068740024400169</v>
      </c>
      <c r="AY82" s="57">
        <v>-0.2086221064698599</v>
      </c>
      <c r="AZ82" s="57">
        <v>-0.3703147344372073</v>
      </c>
      <c r="BA82" s="57">
        <v>1.8879472282921916E-3</v>
      </c>
      <c r="BB82" s="57">
        <v>0.14545448279902651</v>
      </c>
      <c r="BC82" s="57">
        <v>0.66264370990192278</v>
      </c>
      <c r="BD82" s="57">
        <v>-0.13270699826906318</v>
      </c>
      <c r="BE82" s="14" cm="1">
        <f t="array" ref="BE82">SQRT(MMULT(_xlfn.ANCHORARRAY(AT82),MMULT(V,TRANSPOSE(_xlfn.ANCHORARRAY(AT82)))))</f>
        <v>0.26470238842904953</v>
      </c>
      <c r="BF82" s="14" cm="1">
        <f t="array" ref="BF82">MMULT(_xlfn.ANCHORARRAY(AT82),M)</f>
        <v>2.4999999999999779E-2</v>
      </c>
    </row>
    <row r="83" spans="3:58" x14ac:dyDescent="0.3">
      <c r="C83" s="1">
        <v>22.11</v>
      </c>
      <c r="D83" s="1">
        <v>3.21</v>
      </c>
      <c r="E83" s="1">
        <v>45.08</v>
      </c>
      <c r="F83" s="1">
        <v>215.68</v>
      </c>
      <c r="G83" s="1">
        <v>817.6</v>
      </c>
      <c r="H83" s="1">
        <v>24.09</v>
      </c>
      <c r="I83" s="1">
        <v>97.8</v>
      </c>
      <c r="J83" s="1">
        <v>91.5</v>
      </c>
      <c r="K83" s="1">
        <v>259.7</v>
      </c>
      <c r="L83" s="1">
        <v>156.78</v>
      </c>
      <c r="M83" s="1">
        <v>18.015000000000001</v>
      </c>
      <c r="O83" s="1">
        <v>18.385000000000002</v>
      </c>
      <c r="P83" s="1">
        <v>1.0852488441664401</v>
      </c>
      <c r="Q83" s="1">
        <v>0.13866195267881423</v>
      </c>
      <c r="R83" s="1">
        <v>0.72409999999999997</v>
      </c>
      <c r="T83" s="28">
        <v>22.11</v>
      </c>
      <c r="U83" s="29">
        <f t="shared" si="36"/>
        <v>0.44510486809899369</v>
      </c>
      <c r="V83" s="28">
        <v>45.08</v>
      </c>
      <c r="W83" s="28">
        <v>215.68</v>
      </c>
      <c r="X83" s="28">
        <v>817.6</v>
      </c>
      <c r="Y83" s="29">
        <f t="shared" si="37"/>
        <v>26.119538313946514</v>
      </c>
      <c r="Z83" s="29">
        <f t="shared" si="38"/>
        <v>106.13733695947784</v>
      </c>
      <c r="AA83" s="29">
        <f t="shared" si="39"/>
        <v>66.25515</v>
      </c>
      <c r="AB83" s="29">
        <f t="shared" si="40"/>
        <v>281.8391248300245</v>
      </c>
      <c r="AC83" s="29">
        <f t="shared" si="41"/>
        <v>8.5276040250203966</v>
      </c>
      <c r="AD83" s="29">
        <f t="shared" si="42"/>
        <v>19.55075792765842</v>
      </c>
      <c r="AF83">
        <f t="shared" si="43"/>
        <v>4.8364153627311612E-2</v>
      </c>
      <c r="AG83">
        <f t="shared" si="44"/>
        <v>0.11096000464346645</v>
      </c>
      <c r="AH83">
        <f t="shared" si="45"/>
        <v>1.0309278350515427E-2</v>
      </c>
      <c r="AI83">
        <f t="shared" si="46"/>
        <v>1.3676740141937316E-2</v>
      </c>
      <c r="AJ83">
        <f t="shared" si="47"/>
        <v>2.022182731785005E-3</v>
      </c>
      <c r="AK83">
        <f t="shared" si="48"/>
        <v>-5.1004769362347213E-3</v>
      </c>
      <c r="AL83">
        <f t="shared" si="49"/>
        <v>-7.8019263946486062E-3</v>
      </c>
      <c r="AM83">
        <f t="shared" si="50"/>
        <v>8.2628517270315616E-3</v>
      </c>
      <c r="AN83">
        <f t="shared" si="51"/>
        <v>1.9371307041680108E-2</v>
      </c>
      <c r="AO83">
        <f t="shared" si="52"/>
        <v>-6.6938544621003571E-3</v>
      </c>
      <c r="AP83">
        <f t="shared" si="53"/>
        <v>6.4519817982300331E-4</v>
      </c>
      <c r="AS83" s="8">
        <f>AS82+2.5%</f>
        <v>0.05</v>
      </c>
      <c r="AT83" s="57" cm="1">
        <f t="array" ref="AT83:BD83">TRANSPOSE(Port_R(V,M,AS83))</f>
        <v>5.3430803468714205E-2</v>
      </c>
      <c r="AU83" s="57">
        <v>-2.2469591469344879E-2</v>
      </c>
      <c r="AV83" s="57">
        <v>0.3314065618952855</v>
      </c>
      <c r="AW83" s="57">
        <v>0.2883456844680064</v>
      </c>
      <c r="AX83" s="57">
        <v>0.21809471995946639</v>
      </c>
      <c r="AY83" s="57">
        <v>-0.17600769875640387</v>
      </c>
      <c r="AZ83" s="57">
        <v>-0.337662361996728</v>
      </c>
      <c r="BA83" s="57">
        <v>3.8553094300569912E-3</v>
      </c>
      <c r="BB83" s="57">
        <v>0.13539666341188472</v>
      </c>
      <c r="BC83" s="57">
        <v>0.61408898452928629</v>
      </c>
      <c r="BD83" s="57">
        <v>-0.10847907494022535</v>
      </c>
      <c r="BE83" s="14" cm="1">
        <f t="array" ref="BE83">SQRT(MMULT(_xlfn.ANCHORARRAY(AT83),MMULT(V,TRANSPOSE(_xlfn.ANCHORARRAY(AT83)))))</f>
        <v>0.24598908957080531</v>
      </c>
      <c r="BF83" s="14" cm="1">
        <f t="array" ref="BF83">MMULT(_xlfn.ANCHORARRAY(AT83),M)</f>
        <v>5.00000000000001E-2</v>
      </c>
    </row>
    <row r="84" spans="3:58" x14ac:dyDescent="0.3">
      <c r="C84" s="1">
        <v>22.1</v>
      </c>
      <c r="D84" s="1">
        <v>3.53</v>
      </c>
      <c r="E84" s="1">
        <v>45.02</v>
      </c>
      <c r="F84" s="1">
        <v>213.63</v>
      </c>
      <c r="G84" s="1">
        <v>815.56</v>
      </c>
      <c r="H84" s="1">
        <v>24.17</v>
      </c>
      <c r="I84" s="1">
        <v>96.48</v>
      </c>
      <c r="J84" s="1">
        <v>90.91</v>
      </c>
      <c r="K84" s="1">
        <v>261.7</v>
      </c>
      <c r="L84" s="1">
        <v>162.53</v>
      </c>
      <c r="M84" s="1">
        <v>17.899999999999999</v>
      </c>
      <c r="O84" s="1">
        <v>18.447500000000002</v>
      </c>
      <c r="P84" s="1">
        <v>1.0855996747526764</v>
      </c>
      <c r="Q84" s="1">
        <v>0.1377259791299634</v>
      </c>
      <c r="R84" s="1">
        <v>0.72330000000000005</v>
      </c>
      <c r="T84" s="28">
        <v>22.1</v>
      </c>
      <c r="U84" s="29">
        <f t="shared" si="36"/>
        <v>0.4861727063287708</v>
      </c>
      <c r="V84" s="28">
        <v>45.02</v>
      </c>
      <c r="W84" s="28">
        <v>213.63</v>
      </c>
      <c r="X84" s="28">
        <v>815.56</v>
      </c>
      <c r="Y84" s="29">
        <f t="shared" si="37"/>
        <v>26.23046456350286</v>
      </c>
      <c r="Z84" s="29">
        <f t="shared" si="38"/>
        <v>104.73865662013822</v>
      </c>
      <c r="AA84" s="29">
        <f t="shared" si="39"/>
        <v>65.755203000000009</v>
      </c>
      <c r="AB84" s="29">
        <f t="shared" si="40"/>
        <v>284.10143488277538</v>
      </c>
      <c r="AC84" s="29">
        <f t="shared" si="41"/>
        <v>8.8104079143515381</v>
      </c>
      <c r="AD84" s="29">
        <f t="shared" si="42"/>
        <v>19.432234178072907</v>
      </c>
      <c r="AF84">
        <f t="shared" si="43"/>
        <v>-4.5228403437347353E-4</v>
      </c>
      <c r="AG84">
        <f t="shared" si="44"/>
        <v>9.226553374977553E-2</v>
      </c>
      <c r="AH84">
        <f t="shared" si="45"/>
        <v>-1.3309671694763381E-3</v>
      </c>
      <c r="AI84">
        <f t="shared" si="46"/>
        <v>-9.5048219584570326E-3</v>
      </c>
      <c r="AJ84">
        <f t="shared" si="47"/>
        <v>-2.4951076320940402E-3</v>
      </c>
      <c r="AK84">
        <f t="shared" si="48"/>
        <v>4.2468686935832611E-3</v>
      </c>
      <c r="AL84">
        <f t="shared" si="49"/>
        <v>-1.317802367581189E-2</v>
      </c>
      <c r="AM84">
        <f t="shared" si="50"/>
        <v>-7.5457832334542285E-3</v>
      </c>
      <c r="AN84">
        <f t="shared" si="51"/>
        <v>8.0269552856271353E-3</v>
      </c>
      <c r="AO84">
        <f t="shared" si="52"/>
        <v>3.3163346762042689E-2</v>
      </c>
      <c r="AP84">
        <f t="shared" si="53"/>
        <v>-6.0623608570099519E-3</v>
      </c>
      <c r="AS84" s="8">
        <f t="shared" ref="AS84:AS94" si="55">AS83+2.5%</f>
        <v>7.5000000000000011E-2</v>
      </c>
      <c r="AT84" s="57" cm="1">
        <f t="array" ref="AT84:BD84">TRANSPOSE(Port_R(V,M,AS84))</f>
        <v>5.4346447891336858E-2</v>
      </c>
      <c r="AU84" s="57">
        <v>-1.8397539437439492E-2</v>
      </c>
      <c r="AV84" s="57">
        <v>0.32545145563818911</v>
      </c>
      <c r="AW84" s="57">
        <v>0.26905625363035124</v>
      </c>
      <c r="AX84" s="57">
        <v>0.20550203967493091</v>
      </c>
      <c r="AY84" s="57">
        <v>-0.14339329104294829</v>
      </c>
      <c r="AZ84" s="57">
        <v>-0.3050099895562487</v>
      </c>
      <c r="BA84" s="57">
        <v>5.8226716318218186E-3</v>
      </c>
      <c r="BB84" s="57">
        <v>0.12533884402474288</v>
      </c>
      <c r="BC84" s="57">
        <v>0.5655342591566499</v>
      </c>
      <c r="BD84" s="57">
        <v>-8.4251151611387964E-2</v>
      </c>
      <c r="BE84" s="14" cm="1">
        <f t="array" ref="BE84">SQRT(MMULT(_xlfn.ANCHORARRAY(AT84),MMULT(V,TRANSPOSE(_xlfn.ANCHORARRAY(AT84)))))</f>
        <v>0.22749040640034249</v>
      </c>
      <c r="BF84" s="14" cm="1">
        <f t="array" ref="BF84">MMULT(_xlfn.ANCHORARRAY(AT84),M)</f>
        <v>7.4999999999999942E-2</v>
      </c>
    </row>
    <row r="85" spans="3:58" x14ac:dyDescent="0.3">
      <c r="C85" s="1">
        <v>22.53</v>
      </c>
      <c r="D85" s="1">
        <v>3.88</v>
      </c>
      <c r="E85" s="1">
        <v>45.49</v>
      </c>
      <c r="F85" s="1">
        <v>215.68</v>
      </c>
      <c r="G85" s="1">
        <v>810.03</v>
      </c>
      <c r="H85" s="1">
        <v>23.96</v>
      </c>
      <c r="I85" s="1">
        <v>94.2</v>
      </c>
      <c r="J85" s="1">
        <v>92.23</v>
      </c>
      <c r="K85" s="1">
        <v>260.10000000000002</v>
      </c>
      <c r="L85" s="1">
        <v>163.27000000000001</v>
      </c>
      <c r="M85" s="1">
        <v>17.97</v>
      </c>
      <c r="O85" s="1">
        <v>18.681799999999999</v>
      </c>
      <c r="P85" s="1">
        <v>1.0836482565919772</v>
      </c>
      <c r="Q85" s="1">
        <v>0.13757239666413301</v>
      </c>
      <c r="R85" s="1">
        <v>0.72250000000000003</v>
      </c>
      <c r="T85" s="28">
        <v>22.53</v>
      </c>
      <c r="U85" s="29">
        <f t="shared" si="36"/>
        <v>0.53378089905683612</v>
      </c>
      <c r="V85" s="28">
        <v>45.49</v>
      </c>
      <c r="W85" s="28">
        <v>215.68</v>
      </c>
      <c r="X85" s="28">
        <v>810.03</v>
      </c>
      <c r="Y85" s="29">
        <f t="shared" si="37"/>
        <v>26.010968207074129</v>
      </c>
      <c r="Z85" s="29">
        <f t="shared" si="38"/>
        <v>102.07966577096425</v>
      </c>
      <c r="AA85" s="29">
        <f t="shared" si="39"/>
        <v>66.636175000000009</v>
      </c>
      <c r="AB85" s="29">
        <f t="shared" si="40"/>
        <v>281.85691153957328</v>
      </c>
      <c r="AC85" s="29">
        <f t="shared" si="41"/>
        <v>8.7395218876125433</v>
      </c>
      <c r="AD85" s="29">
        <f t="shared" si="42"/>
        <v>19.473159170957828</v>
      </c>
      <c r="AF85">
        <f t="shared" si="43"/>
        <v>1.9457013574660564E-2</v>
      </c>
      <c r="AG85">
        <f t="shared" si="44"/>
        <v>9.7924445589651521E-2</v>
      </c>
      <c r="AH85">
        <f t="shared" si="45"/>
        <v>1.043980453131943E-2</v>
      </c>
      <c r="AI85">
        <f t="shared" si="46"/>
        <v>9.5960305200581963E-3</v>
      </c>
      <c r="AJ85">
        <f t="shared" si="47"/>
        <v>-6.7806169993623877E-3</v>
      </c>
      <c r="AK85">
        <f t="shared" si="48"/>
        <v>-8.3679934793887689E-3</v>
      </c>
      <c r="AL85">
        <f t="shared" si="49"/>
        <v>-2.5386910000359086E-2</v>
      </c>
      <c r="AM85">
        <f t="shared" si="50"/>
        <v>1.3397753482716768E-2</v>
      </c>
      <c r="AN85">
        <f t="shared" si="51"/>
        <v>-7.9004294509397166E-3</v>
      </c>
      <c r="AO85">
        <f t="shared" si="52"/>
        <v>-8.0457145035846001E-3</v>
      </c>
      <c r="AP85">
        <f t="shared" si="53"/>
        <v>2.106036419173174E-3</v>
      </c>
      <c r="AS85" s="8">
        <f t="shared" si="55"/>
        <v>0.1</v>
      </c>
      <c r="AT85" s="57" cm="1">
        <f t="array" ref="AT85:BD85">TRANSPOSE(Port_R(V,M,AS85))</f>
        <v>5.526209231395951E-2</v>
      </c>
      <c r="AU85" s="57">
        <v>-1.4325487405534132E-2</v>
      </c>
      <c r="AV85" s="57">
        <v>0.3194963493810925</v>
      </c>
      <c r="AW85" s="57">
        <v>0.24976682279269616</v>
      </c>
      <c r="AX85" s="57">
        <v>0.19290935939039555</v>
      </c>
      <c r="AY85" s="57">
        <v>-0.11077888332949248</v>
      </c>
      <c r="AZ85" s="57">
        <v>-0.27235761711576956</v>
      </c>
      <c r="BA85" s="57">
        <v>7.7900338335866182E-3</v>
      </c>
      <c r="BB85" s="57">
        <v>0.11528102463760109</v>
      </c>
      <c r="BC85" s="57">
        <v>0.51697953378401351</v>
      </c>
      <c r="BD85" s="57">
        <v>-6.0023228282550356E-2</v>
      </c>
      <c r="BE85" s="14" cm="1">
        <f t="array" ref="BE85">SQRT(MMULT(_xlfn.ANCHORARRAY(AT85),MMULT(V,TRANSPOSE(_xlfn.ANCHORARRAY(AT85)))))</f>
        <v>0.20926326215798455</v>
      </c>
      <c r="BF85" s="14" cm="1">
        <f t="array" ref="BF85">MMULT(_xlfn.ANCHORARRAY(AT85),M)</f>
        <v>9.9999999999999895E-2</v>
      </c>
    </row>
    <row r="86" spans="3:58" x14ac:dyDescent="0.3">
      <c r="C86" s="1">
        <v>22.83</v>
      </c>
      <c r="D86" s="1">
        <v>3.64</v>
      </c>
      <c r="E86" s="1">
        <v>46.3</v>
      </c>
      <c r="F86" s="1">
        <v>214.12</v>
      </c>
      <c r="G86" s="1">
        <v>822</v>
      </c>
      <c r="H86" s="1">
        <v>24.12</v>
      </c>
      <c r="I86" s="1">
        <v>89.68</v>
      </c>
      <c r="J86" s="1">
        <v>93.36</v>
      </c>
      <c r="K86" s="1">
        <v>256.60000000000002</v>
      </c>
      <c r="L86" s="1">
        <v>165.96</v>
      </c>
      <c r="M86" s="1">
        <v>18.420000000000002</v>
      </c>
      <c r="O86" s="1">
        <v>18.79</v>
      </c>
      <c r="P86" s="1">
        <v>1.0834486428951571</v>
      </c>
      <c r="Q86" s="1">
        <v>0.13767961681745611</v>
      </c>
      <c r="R86" s="1">
        <v>0.7218</v>
      </c>
      <c r="T86" s="28">
        <v>22.83</v>
      </c>
      <c r="U86" s="29">
        <f t="shared" si="36"/>
        <v>0.5011538052155402</v>
      </c>
      <c r="V86" s="28">
        <v>46.3</v>
      </c>
      <c r="W86" s="28">
        <v>214.12</v>
      </c>
      <c r="X86" s="28">
        <v>822</v>
      </c>
      <c r="Y86" s="29">
        <f t="shared" si="37"/>
        <v>26.137595948998491</v>
      </c>
      <c r="Z86" s="29">
        <f t="shared" si="38"/>
        <v>97.163674294837691</v>
      </c>
      <c r="AA86" s="29">
        <f t="shared" si="39"/>
        <v>67.387248</v>
      </c>
      <c r="AB86" s="29">
        <f t="shared" si="40"/>
        <v>278.01292176689731</v>
      </c>
      <c r="AC86" s="29">
        <f t="shared" si="41"/>
        <v>8.83235763704098</v>
      </c>
      <c r="AD86" s="29">
        <f t="shared" si="42"/>
        <v>19.957124002128793</v>
      </c>
      <c r="AF86">
        <f t="shared" si="43"/>
        <v>1.3315579227696217E-2</v>
      </c>
      <c r="AG86">
        <f t="shared" si="44"/>
        <v>-6.1124506139028867E-2</v>
      </c>
      <c r="AH86">
        <f t="shared" si="45"/>
        <v>1.7806111233237942E-2</v>
      </c>
      <c r="AI86">
        <f t="shared" si="46"/>
        <v>-7.2329376854599614E-3</v>
      </c>
      <c r="AJ86">
        <f t="shared" si="47"/>
        <v>1.4777230472945435E-2</v>
      </c>
      <c r="AK86">
        <f t="shared" si="48"/>
        <v>4.8682440775089653E-3</v>
      </c>
      <c r="AL86">
        <f t="shared" si="49"/>
        <v>-4.8158381387695348E-2</v>
      </c>
      <c r="AM86">
        <f t="shared" si="50"/>
        <v>1.1271250188054527E-2</v>
      </c>
      <c r="AN86">
        <f t="shared" si="51"/>
        <v>-1.3638089453542723E-2</v>
      </c>
      <c r="AO86">
        <f t="shared" si="52"/>
        <v>1.0622520387530976E-2</v>
      </c>
      <c r="AP86">
        <f t="shared" si="53"/>
        <v>2.4852918158895676E-2</v>
      </c>
      <c r="AS86" s="8">
        <f t="shared" si="55"/>
        <v>0.125</v>
      </c>
      <c r="AT86" s="57" cm="1">
        <f t="array" ref="AT86:BD86">TRANSPOSE(Port_R(V,M,AS86))</f>
        <v>5.6177736736582162E-2</v>
      </c>
      <c r="AU86" s="57">
        <v>-1.0253435373628744E-2</v>
      </c>
      <c r="AV86" s="57">
        <v>0.31354124312399589</v>
      </c>
      <c r="AW86" s="57">
        <v>0.23047739195504105</v>
      </c>
      <c r="AX86" s="57">
        <v>0.18031667910586013</v>
      </c>
      <c r="AY86" s="57">
        <v>-7.8164475616036677E-2</v>
      </c>
      <c r="AZ86" s="57">
        <v>-0.2397052446752902</v>
      </c>
      <c r="BA86" s="57">
        <v>9.7573960353514455E-3</v>
      </c>
      <c r="BB86" s="57">
        <v>0.10522320525045928</v>
      </c>
      <c r="BC86" s="57">
        <v>0.46842480841137701</v>
      </c>
      <c r="BD86" s="57">
        <v>-3.5795304953712748E-2</v>
      </c>
      <c r="BE86" s="14" cm="1">
        <f t="array" ref="BE86">SQRT(MMULT(_xlfn.ANCHORARRAY(AT86),MMULT(V,TRANSPOSE(_xlfn.ANCHORARRAY(AT86)))))</f>
        <v>0.1913852550284342</v>
      </c>
      <c r="BF86" s="14" cm="1">
        <f t="array" ref="BF86">MMULT(_xlfn.ANCHORARRAY(AT86),M)</f>
        <v>0.12499999999999996</v>
      </c>
    </row>
    <row r="87" spans="3:58" x14ac:dyDescent="0.3">
      <c r="C87" s="1">
        <v>22.3</v>
      </c>
      <c r="D87" s="1">
        <v>3.28</v>
      </c>
      <c r="E87" s="1">
        <v>46.14</v>
      </c>
      <c r="F87" s="1">
        <v>215.28</v>
      </c>
      <c r="G87" s="1">
        <v>816.89</v>
      </c>
      <c r="H87" s="1">
        <v>23.79</v>
      </c>
      <c r="I87" s="1">
        <v>88.12</v>
      </c>
      <c r="J87" s="1">
        <v>90.82</v>
      </c>
      <c r="K87" s="1">
        <v>252.9</v>
      </c>
      <c r="L87" s="1">
        <v>169.06</v>
      </c>
      <c r="M87" s="1">
        <v>17.53</v>
      </c>
      <c r="O87" s="1">
        <v>18.597000000000001</v>
      </c>
      <c r="P87" s="1">
        <v>1.0832983814593751</v>
      </c>
      <c r="Q87" s="1">
        <v>0.1383986664515782</v>
      </c>
      <c r="R87" s="1">
        <v>0.72189999999999999</v>
      </c>
      <c r="T87" s="28">
        <v>22.3</v>
      </c>
      <c r="U87" s="29">
        <f t="shared" si="36"/>
        <v>0.45394762596117644</v>
      </c>
      <c r="V87" s="28">
        <v>46.14</v>
      </c>
      <c r="W87" s="28">
        <v>215.28</v>
      </c>
      <c r="X87" s="28">
        <v>816.89</v>
      </c>
      <c r="Y87" s="29">
        <f t="shared" si="37"/>
        <v>25.775243214475786</v>
      </c>
      <c r="Z87" s="29">
        <f t="shared" si="38"/>
        <v>95.460253374200136</v>
      </c>
      <c r="AA87" s="29">
        <f t="shared" si="39"/>
        <v>65.562957999999995</v>
      </c>
      <c r="AB87" s="29">
        <f t="shared" si="40"/>
        <v>273.96616067107595</v>
      </c>
      <c r="AC87" s="29">
        <f t="shared" si="41"/>
        <v>9.0907135559498844</v>
      </c>
      <c r="AD87" s="29">
        <f t="shared" si="42"/>
        <v>18.990220626982847</v>
      </c>
      <c r="AF87">
        <f t="shared" si="43"/>
        <v>-2.3215067893122998E-2</v>
      </c>
      <c r="AG87">
        <f t="shared" si="44"/>
        <v>-9.4194993159956053E-2</v>
      </c>
      <c r="AH87">
        <f t="shared" si="45"/>
        <v>-3.45572354211654E-3</v>
      </c>
      <c r="AI87">
        <f t="shared" si="46"/>
        <v>5.4175228843638124E-3</v>
      </c>
      <c r="AJ87">
        <f t="shared" si="47"/>
        <v>-6.2165450121655086E-3</v>
      </c>
      <c r="AK87">
        <f t="shared" si="48"/>
        <v>-1.3863277067629021E-2</v>
      </c>
      <c r="AL87">
        <f t="shared" si="49"/>
        <v>-1.7531458469433936E-2</v>
      </c>
      <c r="AM87">
        <f t="shared" si="50"/>
        <v>-2.707173915159744E-2</v>
      </c>
      <c r="AN87">
        <f t="shared" si="51"/>
        <v>-1.4556018008452187E-2</v>
      </c>
      <c r="AO87">
        <f t="shared" si="52"/>
        <v>2.9251070838143711E-2</v>
      </c>
      <c r="AP87">
        <f t="shared" si="53"/>
        <v>-4.8449033790781137E-2</v>
      </c>
      <c r="AS87" s="8">
        <f t="shared" si="55"/>
        <v>0.15</v>
      </c>
      <c r="AT87" s="57" cm="1">
        <f t="array" ref="AT87:BD87">TRANSPOSE(Port_R(V,M,AS87))</f>
        <v>5.7093381159204759E-2</v>
      </c>
      <c r="AU87" s="57">
        <v>-6.1813833417233566E-3</v>
      </c>
      <c r="AV87" s="57">
        <v>0.30758613686689951</v>
      </c>
      <c r="AW87" s="57">
        <v>0.21118796111738589</v>
      </c>
      <c r="AX87" s="57">
        <v>0.16772399882132477</v>
      </c>
      <c r="AY87" s="57">
        <v>-4.5550067902581093E-2</v>
      </c>
      <c r="AZ87" s="57">
        <v>-0.20705287223481089</v>
      </c>
      <c r="BA87" s="57">
        <v>1.1724758237116273E-2</v>
      </c>
      <c r="BB87" s="57">
        <v>9.5165385863317464E-2</v>
      </c>
      <c r="BC87" s="57">
        <v>0.41987008303874052</v>
      </c>
      <c r="BD87" s="57">
        <v>-1.1567381624875361E-2</v>
      </c>
      <c r="BE87" s="14" cm="1">
        <f t="array" ref="BE87">SQRT(MMULT(_xlfn.ANCHORARRAY(AT87),MMULT(V,TRANSPOSE(_xlfn.ANCHORARRAY(AT87)))))</f>
        <v>0.17396405911591423</v>
      </c>
      <c r="BF87" s="14" cm="1">
        <f t="array" ref="BF87">MMULT(_xlfn.ANCHORARRAY(AT87),M)</f>
        <v>0.14999999999999988</v>
      </c>
    </row>
    <row r="88" spans="3:58" x14ac:dyDescent="0.3">
      <c r="C88" s="1">
        <v>21.13</v>
      </c>
      <c r="D88" s="1">
        <v>3.17</v>
      </c>
      <c r="E88" s="1">
        <v>46.05</v>
      </c>
      <c r="F88" s="1">
        <v>216.94</v>
      </c>
      <c r="G88" s="1">
        <v>822.08</v>
      </c>
      <c r="H88" s="1">
        <v>23.74</v>
      </c>
      <c r="I88" s="1">
        <v>86.8</v>
      </c>
      <c r="J88" s="1">
        <v>89.8</v>
      </c>
      <c r="K88" s="1">
        <v>256.89999999999998</v>
      </c>
      <c r="L88" s="1">
        <v>165.44</v>
      </c>
      <c r="M88" s="1">
        <v>17.655000000000001</v>
      </c>
      <c r="O88" s="1">
        <v>18.706</v>
      </c>
      <c r="P88" s="1">
        <v>1.0783491927723725</v>
      </c>
      <c r="Q88" s="1">
        <v>0.13784881856088954</v>
      </c>
      <c r="R88" s="1">
        <v>0.72419999999999995</v>
      </c>
      <c r="T88" s="28">
        <v>21.13</v>
      </c>
      <c r="U88" s="29">
        <f t="shared" si="36"/>
        <v>0.43698075483801985</v>
      </c>
      <c r="V88" s="28">
        <v>46.05</v>
      </c>
      <c r="W88" s="28">
        <v>216.94</v>
      </c>
      <c r="X88" s="28">
        <v>822.08</v>
      </c>
      <c r="Y88" s="29">
        <f t="shared" si="37"/>
        <v>25.717503575845562</v>
      </c>
      <c r="Z88" s="29">
        <f t="shared" si="38"/>
        <v>93.600709932641934</v>
      </c>
      <c r="AA88" s="29">
        <f t="shared" si="39"/>
        <v>65.033159999999995</v>
      </c>
      <c r="AB88" s="29">
        <f t="shared" si="40"/>
        <v>277.02790762322246</v>
      </c>
      <c r="AC88" s="29">
        <f t="shared" si="41"/>
        <v>8.8442211055276392</v>
      </c>
      <c r="AD88" s="29">
        <f t="shared" si="42"/>
        <v>19.038254998396237</v>
      </c>
      <c r="AF88">
        <f t="shared" si="43"/>
        <v>-5.2466367713004614E-2</v>
      </c>
      <c r="AG88">
        <f t="shared" si="44"/>
        <v>-3.7376274602673343E-2</v>
      </c>
      <c r="AH88">
        <f t="shared" si="45"/>
        <v>-1.9505851755526882E-3</v>
      </c>
      <c r="AI88">
        <f t="shared" si="46"/>
        <v>7.710888145670669E-3</v>
      </c>
      <c r="AJ88">
        <f t="shared" si="47"/>
        <v>6.3533645900917257E-3</v>
      </c>
      <c r="AK88">
        <f t="shared" si="48"/>
        <v>-2.2401200310613323E-3</v>
      </c>
      <c r="AL88">
        <f t="shared" si="49"/>
        <v>-1.9479766455981151E-2</v>
      </c>
      <c r="AM88">
        <f t="shared" si="50"/>
        <v>-8.0807519392276372E-3</v>
      </c>
      <c r="AN88">
        <f t="shared" si="51"/>
        <v>1.1175639154291206E-2</v>
      </c>
      <c r="AO88">
        <f t="shared" si="52"/>
        <v>-2.711475275347508E-2</v>
      </c>
      <c r="AP88">
        <f t="shared" si="53"/>
        <v>2.5294267168829432E-3</v>
      </c>
      <c r="AS88" s="8">
        <f t="shared" si="55"/>
        <v>0.17499999999999999</v>
      </c>
      <c r="AT88" s="57" cm="1">
        <f t="array" ref="AT88:BD88">TRANSPOSE(Port_R(V,M,AS88))</f>
        <v>5.8009025581827411E-2</v>
      </c>
      <c r="AU88" s="57">
        <v>-2.1093313098179967E-3</v>
      </c>
      <c r="AV88" s="57">
        <v>0.3016310306098029</v>
      </c>
      <c r="AW88" s="57">
        <v>0.19189853027973081</v>
      </c>
      <c r="AX88" s="57">
        <v>0.15513131853678941</v>
      </c>
      <c r="AY88" s="57">
        <v>-1.2935660189125286E-2</v>
      </c>
      <c r="AZ88" s="57">
        <v>-0.17440049979433161</v>
      </c>
      <c r="BA88" s="57">
        <v>1.3692120438881072E-2</v>
      </c>
      <c r="BB88" s="57">
        <v>8.5107566476175678E-2</v>
      </c>
      <c r="BC88" s="57">
        <v>0.37131535766610413</v>
      </c>
      <c r="BD88" s="57">
        <v>1.2660541703962247E-2</v>
      </c>
      <c r="BE88" s="14" cm="1">
        <f t="array" ref="BE88">SQRT(MMULT(_xlfn.ANCHORARRAY(AT88),MMULT(V,TRANSPOSE(_xlfn.ANCHORARRAY(AT88)))))</f>
        <v>0.15715166863371474</v>
      </c>
      <c r="BF88" s="14" cm="1">
        <f t="array" ref="BF88">MMULT(_xlfn.ANCHORARRAY(AT88),M)</f>
        <v>0.17499999999999993</v>
      </c>
    </row>
    <row r="89" spans="3:58" x14ac:dyDescent="0.3">
      <c r="C89" s="1">
        <v>21.17</v>
      </c>
      <c r="D89" s="1">
        <v>3.08</v>
      </c>
      <c r="E89" s="1">
        <v>45.48</v>
      </c>
      <c r="F89" s="1">
        <v>210.91</v>
      </c>
      <c r="G89" s="1">
        <v>801.83</v>
      </c>
      <c r="H89" s="1">
        <v>23.92</v>
      </c>
      <c r="I89" s="1">
        <v>88.22</v>
      </c>
      <c r="J89" s="1">
        <v>88.8</v>
      </c>
      <c r="K89" s="1">
        <v>262.60000000000002</v>
      </c>
      <c r="L89" s="1">
        <v>167.61</v>
      </c>
      <c r="M89" s="1">
        <v>18.105</v>
      </c>
      <c r="O89" s="1">
        <v>19.0442</v>
      </c>
      <c r="P89" s="1">
        <v>1.0823977904033772</v>
      </c>
      <c r="Q89" s="1">
        <v>0.13880866615557491</v>
      </c>
      <c r="R89" s="1">
        <v>0.72070000000000001</v>
      </c>
      <c r="T89" s="28">
        <v>21.17</v>
      </c>
      <c r="U89" s="29">
        <f t="shared" si="36"/>
        <v>0.42753069175917074</v>
      </c>
      <c r="V89" s="28">
        <v>45.48</v>
      </c>
      <c r="W89" s="28">
        <v>210.91</v>
      </c>
      <c r="X89" s="28">
        <v>801.83</v>
      </c>
      <c r="Y89" s="29">
        <f t="shared" si="37"/>
        <v>25.794112691115153</v>
      </c>
      <c r="Z89" s="29">
        <f t="shared" si="38"/>
        <v>95.489133069385943</v>
      </c>
      <c r="AA89" s="29">
        <f t="shared" si="39"/>
        <v>63.998159999999999</v>
      </c>
      <c r="AB89" s="29">
        <f t="shared" si="40"/>
        <v>284.23765975992688</v>
      </c>
      <c r="AC89" s="29">
        <f t="shared" si="41"/>
        <v>8.8011047983112984</v>
      </c>
      <c r="AD89" s="29">
        <f t="shared" si="42"/>
        <v>19.596811995253145</v>
      </c>
      <c r="AF89">
        <f t="shared" si="43"/>
        <v>1.8930430667298825E-3</v>
      </c>
      <c r="AG89">
        <f t="shared" si="44"/>
        <v>-2.1625810688967406E-2</v>
      </c>
      <c r="AH89">
        <f t="shared" si="45"/>
        <v>-1.2377850162866411E-2</v>
      </c>
      <c r="AI89">
        <f t="shared" si="46"/>
        <v>-2.7795703881257516E-2</v>
      </c>
      <c r="AJ89">
        <f t="shared" si="47"/>
        <v>-2.4632639159205882E-2</v>
      </c>
      <c r="AK89">
        <f t="shared" si="48"/>
        <v>2.9788705985267505E-3</v>
      </c>
      <c r="AL89">
        <f t="shared" si="49"/>
        <v>2.0175307837974499E-2</v>
      </c>
      <c r="AM89">
        <f t="shared" si="50"/>
        <v>-1.5914957846120292E-2</v>
      </c>
      <c r="AN89">
        <f t="shared" si="51"/>
        <v>2.6025364009572005E-2</v>
      </c>
      <c r="AO89">
        <f t="shared" si="52"/>
        <v>-4.8750824636657475E-3</v>
      </c>
      <c r="AP89">
        <f t="shared" si="53"/>
        <v>2.9338665592196334E-2</v>
      </c>
      <c r="AS89" s="8">
        <f t="shared" si="55"/>
        <v>0.19999999999999998</v>
      </c>
      <c r="AT89" s="57" cm="1">
        <f t="array" ref="AT89:BD89">TRANSPOSE(Port_R(V,M,AS89))</f>
        <v>5.8924670004450036E-2</v>
      </c>
      <c r="AU89" s="57">
        <v>1.962720722087391E-3</v>
      </c>
      <c r="AV89" s="57">
        <v>0.29567592435270629</v>
      </c>
      <c r="AW89" s="57">
        <v>0.17260909944207567</v>
      </c>
      <c r="AX89" s="57">
        <v>0.14253863825225399</v>
      </c>
      <c r="AY89" s="57">
        <v>1.9678747524330631E-2</v>
      </c>
      <c r="AZ89" s="57">
        <v>-0.14174812735385231</v>
      </c>
      <c r="BA89" s="57">
        <v>1.5659482640645886E-2</v>
      </c>
      <c r="BB89" s="57">
        <v>7.5049747089033864E-2</v>
      </c>
      <c r="BC89" s="57">
        <v>0.32276063229346763</v>
      </c>
      <c r="BD89" s="57">
        <v>3.6888465032799855E-2</v>
      </c>
      <c r="BE89" s="14" cm="1">
        <f t="array" ref="BE89">SQRT(MMULT(_xlfn.ANCHORARRAY(AT89),MMULT(V,TRANSPOSE(_xlfn.ANCHORARRAY(AT89)))))</f>
        <v>0.14116577174770623</v>
      </c>
      <c r="BF89" s="14" cm="1">
        <f t="array" ref="BF89">MMULT(_xlfn.ANCHORARRAY(AT89),M)</f>
        <v>0.19999999999999993</v>
      </c>
    </row>
    <row r="90" spans="3:58" x14ac:dyDescent="0.3">
      <c r="C90" s="1">
        <v>21.49</v>
      </c>
      <c r="D90" s="1">
        <v>3.02</v>
      </c>
      <c r="E90" s="1">
        <v>45.1</v>
      </c>
      <c r="F90" s="1">
        <v>214.05</v>
      </c>
      <c r="G90" s="1">
        <v>816.88</v>
      </c>
      <c r="H90" s="1">
        <v>24.37</v>
      </c>
      <c r="I90" s="1">
        <v>88.16</v>
      </c>
      <c r="J90" s="1">
        <v>92.98</v>
      </c>
      <c r="K90" s="1">
        <v>258.5</v>
      </c>
      <c r="L90" s="1">
        <v>165.12</v>
      </c>
      <c r="M90" s="1">
        <v>17.895</v>
      </c>
      <c r="O90" s="1">
        <v>19.390499999999999</v>
      </c>
      <c r="P90" s="1">
        <v>1.0947474278641602</v>
      </c>
      <c r="Q90" s="1">
        <v>0.14071839302751349</v>
      </c>
      <c r="R90" s="1">
        <v>0.7208</v>
      </c>
      <c r="T90" s="28">
        <v>21.49</v>
      </c>
      <c r="U90" s="29">
        <f t="shared" si="36"/>
        <v>0.42496954694309075</v>
      </c>
      <c r="V90" s="28">
        <v>45.1</v>
      </c>
      <c r="W90" s="28">
        <v>214.05</v>
      </c>
      <c r="X90" s="28">
        <v>816.88</v>
      </c>
      <c r="Y90" s="29">
        <f t="shared" si="37"/>
        <v>26.378034152130304</v>
      </c>
      <c r="Z90" s="29">
        <f t="shared" si="38"/>
        <v>96.512933240504367</v>
      </c>
      <c r="AA90" s="29">
        <f t="shared" si="39"/>
        <v>67.019984000000008</v>
      </c>
      <c r="AB90" s="29">
        <f t="shared" si="40"/>
        <v>282.99221010288539</v>
      </c>
      <c r="AC90" s="29">
        <f t="shared" si="41"/>
        <v>8.515510172507156</v>
      </c>
      <c r="AD90" s="29">
        <f t="shared" si="42"/>
        <v>19.590505221629147</v>
      </c>
      <c r="AF90">
        <f t="shared" si="43"/>
        <v>1.5115729806329581E-2</v>
      </c>
      <c r="AG90">
        <f t="shared" si="44"/>
        <v>-5.9905519426958209E-3</v>
      </c>
      <c r="AH90">
        <f t="shared" si="45"/>
        <v>-8.3553210202286232E-3</v>
      </c>
      <c r="AI90">
        <f t="shared" si="46"/>
        <v>1.4887866862642873E-2</v>
      </c>
      <c r="AJ90">
        <f t="shared" si="47"/>
        <v>1.8769564620929602E-2</v>
      </c>
      <c r="AK90">
        <f t="shared" si="48"/>
        <v>2.2637780489199955E-2</v>
      </c>
      <c r="AL90">
        <f t="shared" si="49"/>
        <v>1.0721640653858389E-2</v>
      </c>
      <c r="AM90">
        <f t="shared" si="50"/>
        <v>4.7217357499028223E-2</v>
      </c>
      <c r="AN90">
        <f t="shared" si="51"/>
        <v>-4.3817193615139916E-3</v>
      </c>
      <c r="AO90">
        <f t="shared" si="52"/>
        <v>-3.2449860824170673E-2</v>
      </c>
      <c r="AP90">
        <f t="shared" si="53"/>
        <v>-3.2182651063472623E-4</v>
      </c>
      <c r="AS90" s="8">
        <f t="shared" si="55"/>
        <v>0.22499999999999998</v>
      </c>
      <c r="AT90" s="57" cm="1">
        <f t="array" ref="AT90:BD90">TRANSPOSE(Port_R(V,M,AS90))</f>
        <v>5.9840314427072688E-2</v>
      </c>
      <c r="AU90" s="57">
        <v>6.0347727539927648E-3</v>
      </c>
      <c r="AV90" s="57">
        <v>0.28972081809561001</v>
      </c>
      <c r="AW90" s="57">
        <v>0.15331966860442053</v>
      </c>
      <c r="AX90" s="57">
        <v>0.12994595796771857</v>
      </c>
      <c r="AY90" s="57">
        <v>5.2293155237786215E-2</v>
      </c>
      <c r="AZ90" s="57">
        <v>-0.10909575491337303</v>
      </c>
      <c r="BA90" s="57">
        <v>1.7626844842410713E-2</v>
      </c>
      <c r="BB90" s="57">
        <v>6.4991927701892063E-2</v>
      </c>
      <c r="BC90" s="57">
        <v>0.27420590692083119</v>
      </c>
      <c r="BD90" s="57">
        <v>6.1116388361637353E-2</v>
      </c>
      <c r="BE90" s="14" cm="1">
        <f t="array" ref="BE90">SQRT(MMULT(_xlfn.ANCHORARRAY(AT90),MMULT(V,TRANSPOSE(_xlfn.ANCHORARRAY(AT90)))))</f>
        <v>0.12632053807825233</v>
      </c>
      <c r="BF90" s="14" cm="1">
        <f t="array" ref="BF90">MMULT(_xlfn.ANCHORARRAY(AT90),M)</f>
        <v>0.22499999999999992</v>
      </c>
    </row>
    <row r="91" spans="3:58" x14ac:dyDescent="0.3">
      <c r="C91" s="1">
        <v>21.28</v>
      </c>
      <c r="D91" s="1">
        <v>3.04</v>
      </c>
      <c r="E91" s="1">
        <v>45.06</v>
      </c>
      <c r="F91" s="1">
        <v>215.88</v>
      </c>
      <c r="G91" s="1">
        <v>810.3</v>
      </c>
      <c r="H91" s="1">
        <v>24.61</v>
      </c>
      <c r="I91" s="1">
        <v>88.36</v>
      </c>
      <c r="J91" s="1">
        <v>96.3</v>
      </c>
      <c r="K91" s="1">
        <v>258</v>
      </c>
      <c r="L91" s="1">
        <v>166.39</v>
      </c>
      <c r="M91" s="1">
        <v>17.774999999999999</v>
      </c>
      <c r="O91" s="1">
        <v>19.329999999999998</v>
      </c>
      <c r="P91" s="1">
        <v>1.0909518882565961</v>
      </c>
      <c r="Q91" s="1">
        <v>0.13987066735644077</v>
      </c>
      <c r="R91" s="1">
        <v>0.72330000000000005</v>
      </c>
      <c r="T91" s="28">
        <v>21.28</v>
      </c>
      <c r="U91" s="29">
        <f t="shared" si="36"/>
        <v>0.42520682876357996</v>
      </c>
      <c r="V91" s="28">
        <v>45.06</v>
      </c>
      <c r="W91" s="28">
        <v>215.88</v>
      </c>
      <c r="X91" s="28">
        <v>810.3</v>
      </c>
      <c r="Y91" s="29">
        <f t="shared" si="37"/>
        <v>26.941734199736985</v>
      </c>
      <c r="Z91" s="29">
        <f t="shared" si="38"/>
        <v>96.39650884635283</v>
      </c>
      <c r="AA91" s="29">
        <f t="shared" si="39"/>
        <v>69.653790000000001</v>
      </c>
      <c r="AB91" s="29">
        <f t="shared" si="40"/>
        <v>281.46558717020179</v>
      </c>
      <c r="AC91" s="29">
        <f t="shared" si="41"/>
        <v>8.6078634247284018</v>
      </c>
      <c r="AD91" s="29">
        <f t="shared" si="42"/>
        <v>19.391669813760995</v>
      </c>
      <c r="AF91">
        <f t="shared" si="43"/>
        <v>-9.7719869706839324E-3</v>
      </c>
      <c r="AG91">
        <f t="shared" si="44"/>
        <v>5.5835017402072751E-4</v>
      </c>
      <c r="AH91">
        <f t="shared" si="45"/>
        <v>-8.869179600886623E-4</v>
      </c>
      <c r="AI91">
        <f t="shared" si="46"/>
        <v>8.5494043447791324E-3</v>
      </c>
      <c r="AJ91">
        <f t="shared" si="47"/>
        <v>-8.0550386837724419E-3</v>
      </c>
      <c r="AK91">
        <f t="shared" si="48"/>
        <v>2.1370055264757326E-2</v>
      </c>
      <c r="AL91">
        <f t="shared" si="49"/>
        <v>-1.2063087323376243E-3</v>
      </c>
      <c r="AM91">
        <f t="shared" si="50"/>
        <v>3.9298815708460832E-2</v>
      </c>
      <c r="AN91">
        <f t="shared" si="51"/>
        <v>-5.3945758158098212E-3</v>
      </c>
      <c r="AO91">
        <f t="shared" si="52"/>
        <v>1.0845298796003267E-2</v>
      </c>
      <c r="AP91">
        <f t="shared" si="53"/>
        <v>-1.0149580402276981E-2</v>
      </c>
      <c r="AS91" s="8">
        <f t="shared" si="55"/>
        <v>0.24999999999999997</v>
      </c>
      <c r="AT91" s="57" cm="1">
        <f t="array" ref="AT91:BD91">TRANSPOSE(Port_R(V,M,AS91))</f>
        <v>6.0755958849695341E-2</v>
      </c>
      <c r="AU91" s="57">
        <v>1.0106824785898139E-2</v>
      </c>
      <c r="AV91" s="57">
        <v>0.2837657118385134</v>
      </c>
      <c r="AW91" s="57">
        <v>0.13403023776676543</v>
      </c>
      <c r="AX91" s="57">
        <v>0.11735327768318321</v>
      </c>
      <c r="AY91" s="57">
        <v>8.4907562951242022E-2</v>
      </c>
      <c r="AZ91" s="57">
        <v>-7.6443382472893756E-2</v>
      </c>
      <c r="BA91" s="57">
        <v>1.9594207044175527E-2</v>
      </c>
      <c r="BB91" s="57">
        <v>5.4934108314750263E-2</v>
      </c>
      <c r="BC91" s="57">
        <v>0.22565118154819477</v>
      </c>
      <c r="BD91" s="57">
        <v>8.5344311690474906E-2</v>
      </c>
      <c r="BE91" s="14" cm="1">
        <f t="array" ref="BE91">SQRT(MMULT(_xlfn.ANCHORARRAY(AT91),MMULT(V,TRANSPOSE(_xlfn.ANCHORARRAY(AT91)))))</f>
        <v>0.11306616043769224</v>
      </c>
      <c r="BF91" s="14" cm="1">
        <f t="array" ref="BF91">MMULT(_xlfn.ANCHORARRAY(AT91),M)</f>
        <v>0.24999999999999989</v>
      </c>
    </row>
    <row r="92" spans="3:58" x14ac:dyDescent="0.3">
      <c r="C92" s="1">
        <v>22.19</v>
      </c>
      <c r="D92" s="1">
        <v>3.04</v>
      </c>
      <c r="E92" s="1">
        <v>45.77</v>
      </c>
      <c r="F92" s="1">
        <v>218.36</v>
      </c>
      <c r="G92" s="1">
        <v>839.43</v>
      </c>
      <c r="H92" s="1">
        <v>24.73</v>
      </c>
      <c r="I92" s="1">
        <v>87.64</v>
      </c>
      <c r="J92" s="1">
        <v>99.23</v>
      </c>
      <c r="K92" s="1">
        <v>258.60000000000002</v>
      </c>
      <c r="L92" s="1">
        <v>166.52</v>
      </c>
      <c r="M92" s="1">
        <v>17.920000000000002</v>
      </c>
      <c r="O92" s="1">
        <v>19.189</v>
      </c>
      <c r="P92" s="1">
        <v>1.0918025952368544</v>
      </c>
      <c r="Q92" s="1">
        <v>0.13915263953306581</v>
      </c>
      <c r="R92" s="1">
        <v>0.72540000000000004</v>
      </c>
      <c r="T92" s="28">
        <v>22.19</v>
      </c>
      <c r="U92" s="29">
        <f t="shared" si="36"/>
        <v>0.42302402418052004</v>
      </c>
      <c r="V92" s="28">
        <v>45.77</v>
      </c>
      <c r="W92" s="28">
        <v>218.36</v>
      </c>
      <c r="X92" s="28">
        <v>839.43</v>
      </c>
      <c r="Y92" s="29">
        <f t="shared" si="37"/>
        <v>26.979240196585621</v>
      </c>
      <c r="Z92" s="29">
        <f t="shared" si="38"/>
        <v>95.685579446557924</v>
      </c>
      <c r="AA92" s="29">
        <f t="shared" si="39"/>
        <v>71.981442000000001</v>
      </c>
      <c r="AB92" s="29">
        <f t="shared" si="40"/>
        <v>282.34015112825057</v>
      </c>
      <c r="AC92" s="29">
        <f t="shared" si="41"/>
        <v>8.6778883735473453</v>
      </c>
      <c r="AD92" s="29">
        <f t="shared" si="42"/>
        <v>19.565102506644433</v>
      </c>
      <c r="AF92">
        <f t="shared" si="43"/>
        <v>4.2763157894736947E-2</v>
      </c>
      <c r="AG92">
        <f t="shared" si="44"/>
        <v>-5.1335125294367234E-3</v>
      </c>
      <c r="AH92">
        <f t="shared" si="45"/>
        <v>1.5756768752773986E-2</v>
      </c>
      <c r="AI92">
        <f t="shared" si="46"/>
        <v>1.148786362794163E-2</v>
      </c>
      <c r="AJ92">
        <f t="shared" si="47"/>
        <v>3.5949648278415403E-2</v>
      </c>
      <c r="AK92">
        <f t="shared" si="48"/>
        <v>1.3921151686293598E-3</v>
      </c>
      <c r="AL92">
        <f t="shared" si="49"/>
        <v>-7.3750533946002061E-3</v>
      </c>
      <c r="AM92">
        <f t="shared" si="50"/>
        <v>3.3417449359180562E-2</v>
      </c>
      <c r="AN92">
        <f t="shared" si="51"/>
        <v>3.1071789871062183E-3</v>
      </c>
      <c r="AO92">
        <f t="shared" si="52"/>
        <v>8.1349976601368112E-3</v>
      </c>
      <c r="AP92">
        <f t="shared" si="53"/>
        <v>8.9436698618066135E-3</v>
      </c>
      <c r="AS92" s="8">
        <f t="shared" si="55"/>
        <v>0.27499999999999997</v>
      </c>
      <c r="AT92" s="57" cm="1">
        <f t="array" ref="AT92:BD92">TRANSPOSE(Port_R(V,M,AS92))</f>
        <v>6.1671603272317965E-2</v>
      </c>
      <c r="AU92" s="57">
        <v>1.4178876817803519E-2</v>
      </c>
      <c r="AV92" s="57">
        <v>0.2778106055814169</v>
      </c>
      <c r="AW92" s="57">
        <v>0.1147408069291103</v>
      </c>
      <c r="AX92" s="57">
        <v>0.10476059739864783</v>
      </c>
      <c r="AY92" s="57">
        <v>0.11752197066469783</v>
      </c>
      <c r="AZ92" s="57">
        <v>-4.3791010032414424E-2</v>
      </c>
      <c r="BA92" s="57">
        <v>2.1561569245940347E-2</v>
      </c>
      <c r="BB92" s="57">
        <v>4.4876288927608456E-2</v>
      </c>
      <c r="BC92" s="57">
        <v>0.1770964561755583</v>
      </c>
      <c r="BD92" s="57">
        <v>0.10957223501931246</v>
      </c>
      <c r="BE92" s="14" cm="1">
        <f t="array" ref="BE92">SQRT(MMULT(_xlfn.ANCHORARRAY(AT92),MMULT(V,TRANSPOSE(_xlfn.ANCHORARRAY(AT92)))))</f>
        <v>0.10202455586942681</v>
      </c>
      <c r="BF92" s="14" cm="1">
        <f t="array" ref="BF92">MMULT(_xlfn.ANCHORARRAY(AT92),M)</f>
        <v>0.27499999999999991</v>
      </c>
    </row>
    <row r="93" spans="3:58" x14ac:dyDescent="0.3">
      <c r="C93" s="1">
        <v>22.25</v>
      </c>
      <c r="D93" s="1">
        <v>3.07</v>
      </c>
      <c r="E93" s="1">
        <v>45.89</v>
      </c>
      <c r="F93" s="1">
        <v>221.73</v>
      </c>
      <c r="G93" s="1">
        <v>854.93</v>
      </c>
      <c r="H93" s="1">
        <v>24.76</v>
      </c>
      <c r="I93" s="1">
        <v>88</v>
      </c>
      <c r="J93" s="1">
        <v>99.01</v>
      </c>
      <c r="K93" s="1">
        <v>262.39999999999998</v>
      </c>
      <c r="L93" s="1">
        <v>163.81</v>
      </c>
      <c r="M93" s="1">
        <v>18.225000000000001</v>
      </c>
      <c r="O93" s="1">
        <v>19.09</v>
      </c>
      <c r="P93" s="1">
        <v>1.0925510738606601</v>
      </c>
      <c r="Q93" s="1">
        <v>0.13942378208486117</v>
      </c>
      <c r="R93" s="1">
        <v>0.7268</v>
      </c>
      <c r="T93" s="28">
        <v>22.25</v>
      </c>
      <c r="U93" s="29">
        <f t="shared" si="36"/>
        <v>0.42803101100052376</v>
      </c>
      <c r="V93" s="28">
        <v>45.89</v>
      </c>
      <c r="W93" s="28">
        <v>221.73</v>
      </c>
      <c r="X93" s="28">
        <v>854.93</v>
      </c>
      <c r="Y93" s="29">
        <f t="shared" si="37"/>
        <v>27.033032258064516</v>
      </c>
      <c r="Z93" s="29">
        <f t="shared" si="38"/>
        <v>96.144494499738087</v>
      </c>
      <c r="AA93" s="29">
        <f t="shared" si="39"/>
        <v>71.960468000000006</v>
      </c>
      <c r="AB93" s="29">
        <f t="shared" si="40"/>
        <v>286.68540178103717</v>
      </c>
      <c r="AC93" s="29">
        <f t="shared" si="41"/>
        <v>8.5809324253535877</v>
      </c>
      <c r="AD93" s="29">
        <f t="shared" si="42"/>
        <v>19.911743321110531</v>
      </c>
      <c r="AF93">
        <f t="shared" si="43"/>
        <v>2.7039206849932551E-3</v>
      </c>
      <c r="AG93">
        <f t="shared" si="44"/>
        <v>1.1836176041545743E-2</v>
      </c>
      <c r="AH93">
        <f t="shared" si="45"/>
        <v>2.621804675551509E-3</v>
      </c>
      <c r="AI93">
        <f t="shared" si="46"/>
        <v>1.5433229529217662E-2</v>
      </c>
      <c r="AJ93">
        <f t="shared" si="47"/>
        <v>1.8464910713221983E-2</v>
      </c>
      <c r="AK93">
        <f t="shared" si="48"/>
        <v>1.9938315937342299E-3</v>
      </c>
      <c r="AL93">
        <f t="shared" si="49"/>
        <v>4.796073304196069E-3</v>
      </c>
      <c r="AM93">
        <f t="shared" si="50"/>
        <v>-2.9138065892031495E-4</v>
      </c>
      <c r="AN93">
        <f t="shared" si="51"/>
        <v>1.5390126538583626E-2</v>
      </c>
      <c r="AO93">
        <f t="shared" si="52"/>
        <v>-1.1172758166526631E-2</v>
      </c>
      <c r="AP93">
        <f t="shared" si="53"/>
        <v>1.7717301217735848E-2</v>
      </c>
      <c r="AS93" s="8">
        <f t="shared" si="55"/>
        <v>0.3</v>
      </c>
      <c r="AT93" s="57" cm="1">
        <f t="array" ref="AT93:BD93">TRANSPOSE(Port_R(V,M,AS93))</f>
        <v>6.258724769494059E-2</v>
      </c>
      <c r="AU93" s="57">
        <v>1.825092884970891E-2</v>
      </c>
      <c r="AV93" s="57">
        <v>0.27185549932432035</v>
      </c>
      <c r="AW93" s="57">
        <v>9.5451376091455181E-2</v>
      </c>
      <c r="AX93" s="57">
        <v>9.216791711411243E-2</v>
      </c>
      <c r="AY93" s="57">
        <v>0.15013637837815361</v>
      </c>
      <c r="AZ93" s="57">
        <v>-1.1138637591935105E-2</v>
      </c>
      <c r="BA93" s="57">
        <v>2.3528931447705164E-2</v>
      </c>
      <c r="BB93" s="57">
        <v>3.4818469540466641E-2</v>
      </c>
      <c r="BC93" s="57">
        <v>0.12854173080292181</v>
      </c>
      <c r="BD93" s="57">
        <v>0.13380015834815007</v>
      </c>
      <c r="BE93" s="14" cm="1">
        <f t="array" ref="BE93">SQRT(MMULT(_xlfn.ANCHORARRAY(AT93),MMULT(V,TRANSPOSE(_xlfn.ANCHORARRAY(AT93)))))</f>
        <v>9.3978925473079775E-2</v>
      </c>
      <c r="BF93" s="14" cm="1">
        <f t="array" ref="BF93">MMULT(_xlfn.ANCHORARRAY(AT93),M)</f>
        <v>0.3</v>
      </c>
    </row>
    <row r="94" spans="3:58" x14ac:dyDescent="0.3">
      <c r="C94" s="1">
        <v>21.6</v>
      </c>
      <c r="D94" s="1">
        <v>3.18</v>
      </c>
      <c r="E94" s="1">
        <v>46.67</v>
      </c>
      <c r="F94" s="1">
        <v>222.99</v>
      </c>
      <c r="G94" s="1">
        <v>863.57</v>
      </c>
      <c r="H94" s="1">
        <v>24.95</v>
      </c>
      <c r="I94" s="1">
        <v>89.12</v>
      </c>
      <c r="J94" s="1">
        <v>100.71</v>
      </c>
      <c r="K94" s="1">
        <v>265.3</v>
      </c>
      <c r="L94" s="1">
        <v>166.37</v>
      </c>
      <c r="M94" s="1">
        <v>18.195</v>
      </c>
      <c r="O94" s="1">
        <v>18.8368</v>
      </c>
      <c r="P94" s="1">
        <v>1.0917990316826636</v>
      </c>
      <c r="Q94" s="1">
        <v>0.13945574619892975</v>
      </c>
      <c r="R94" s="1">
        <v>0.72809999999999997</v>
      </c>
      <c r="T94" s="28">
        <v>21.6</v>
      </c>
      <c r="U94" s="29">
        <f t="shared" si="36"/>
        <v>0.44346927291259663</v>
      </c>
      <c r="V94" s="28">
        <v>46.67</v>
      </c>
      <c r="W94" s="28">
        <v>222.99</v>
      </c>
      <c r="X94" s="28">
        <v>863.57</v>
      </c>
      <c r="Y94" s="29">
        <f t="shared" si="37"/>
        <v>27.259149292823469</v>
      </c>
      <c r="Z94" s="29">
        <f t="shared" si="38"/>
        <v>97.301129703558985</v>
      </c>
      <c r="AA94" s="29">
        <f t="shared" si="39"/>
        <v>73.326950999999994</v>
      </c>
      <c r="AB94" s="29">
        <f t="shared" si="40"/>
        <v>289.65428310541068</v>
      </c>
      <c r="AC94" s="29">
        <f t="shared" si="41"/>
        <v>8.8321795634077969</v>
      </c>
      <c r="AD94" s="29">
        <f t="shared" si="42"/>
        <v>19.865283381466064</v>
      </c>
      <c r="AF94">
        <f t="shared" si="43"/>
        <v>-2.9213483146067309E-2</v>
      </c>
      <c r="AG94">
        <f t="shared" si="44"/>
        <v>3.6068092066473989E-2</v>
      </c>
      <c r="AH94">
        <f t="shared" si="45"/>
        <v>1.6997167138810276E-2</v>
      </c>
      <c r="AI94">
        <f t="shared" si="46"/>
        <v>5.682586930050082E-3</v>
      </c>
      <c r="AJ94">
        <f t="shared" si="47"/>
        <v>1.010609055712175E-2</v>
      </c>
      <c r="AK94">
        <f t="shared" si="48"/>
        <v>8.3644717544217873E-3</v>
      </c>
      <c r="AL94">
        <f t="shared" si="49"/>
        <v>1.203017614101709E-2</v>
      </c>
      <c r="AM94">
        <f t="shared" si="50"/>
        <v>1.8989356767384891E-2</v>
      </c>
      <c r="AN94">
        <f t="shared" si="51"/>
        <v>1.0355885949997035E-2</v>
      </c>
      <c r="AO94">
        <f t="shared" si="52"/>
        <v>2.9279701272540537E-2</v>
      </c>
      <c r="AP94">
        <f t="shared" si="53"/>
        <v>-2.3332934186235388E-3</v>
      </c>
      <c r="AS94" s="8">
        <f t="shared" si="55"/>
        <v>0.32500000000000001</v>
      </c>
      <c r="AT94" s="57" cm="1">
        <f t="array" ref="AT94:BD94">TRANSPOSE(Port_R(V,M,AS94))</f>
        <v>6.3502892117563214E-2</v>
      </c>
      <c r="AU94" s="57">
        <v>2.2322980881614288E-2</v>
      </c>
      <c r="AV94" s="57">
        <v>0.26590039306722385</v>
      </c>
      <c r="AW94" s="57">
        <v>7.6161945253800045E-2</v>
      </c>
      <c r="AX94" s="57">
        <v>7.9575236829577012E-2</v>
      </c>
      <c r="AY94" s="57">
        <v>0.18275078609160939</v>
      </c>
      <c r="AZ94" s="57">
        <v>2.1513734848544207E-2</v>
      </c>
      <c r="BA94" s="57">
        <v>2.5496293649469981E-2</v>
      </c>
      <c r="BB94" s="57">
        <v>2.4760650153324827E-2</v>
      </c>
      <c r="BC94" s="57">
        <v>7.9987005430285307E-2</v>
      </c>
      <c r="BD94" s="57">
        <v>0.15802808167698762</v>
      </c>
      <c r="BE94" s="14" cm="1">
        <f t="array" ref="BE94">SQRT(MMULT(_xlfn.ANCHORARRAY(AT94),MMULT(V,TRANSPOSE(_xlfn.ANCHORARRAY(AT94)))))</f>
        <v>8.9738742660484386E-2</v>
      </c>
      <c r="BF94" s="14" cm="1">
        <f t="array" ref="BF94">MMULT(_xlfn.ANCHORARRAY(AT94),M)</f>
        <v>0.32499999999999996</v>
      </c>
    </row>
    <row r="95" spans="3:58" x14ac:dyDescent="0.3">
      <c r="C95" s="1">
        <v>21.54</v>
      </c>
      <c r="D95" s="1">
        <v>3.13</v>
      </c>
      <c r="E95" s="1">
        <v>46.6</v>
      </c>
      <c r="F95" s="1">
        <v>222.33</v>
      </c>
      <c r="G95" s="1">
        <v>864.82</v>
      </c>
      <c r="H95" s="1">
        <v>25</v>
      </c>
      <c r="I95" s="1">
        <v>90.24</v>
      </c>
      <c r="J95" s="1">
        <v>100.75</v>
      </c>
      <c r="K95" s="1">
        <v>267.39999999999998</v>
      </c>
      <c r="L95" s="1">
        <v>165.68</v>
      </c>
      <c r="M95" s="1">
        <v>18.135000000000002</v>
      </c>
      <c r="O95" s="1">
        <v>19.032</v>
      </c>
      <c r="P95" s="1">
        <v>1.092701765447667</v>
      </c>
      <c r="Q95" s="1">
        <v>0.13925493905002101</v>
      </c>
      <c r="R95" s="1">
        <v>0.72819999999999996</v>
      </c>
      <c r="T95" s="28">
        <v>21.54</v>
      </c>
      <c r="U95" s="29">
        <f t="shared" si="36"/>
        <v>0.43586795922656574</v>
      </c>
      <c r="V95" s="28">
        <v>46.6</v>
      </c>
      <c r="W95" s="28">
        <v>222.33</v>
      </c>
      <c r="X95" s="28">
        <v>864.82</v>
      </c>
      <c r="Y95" s="29">
        <f t="shared" si="37"/>
        <v>27.294975792066587</v>
      </c>
      <c r="Z95" s="29">
        <f t="shared" si="38"/>
        <v>98.605407313997461</v>
      </c>
      <c r="AA95" s="29">
        <f t="shared" si="39"/>
        <v>73.36614999999999</v>
      </c>
      <c r="AB95" s="29">
        <f t="shared" si="40"/>
        <v>292.1884520807061</v>
      </c>
      <c r="AC95" s="29">
        <f t="shared" si="41"/>
        <v>8.7053383774695252</v>
      </c>
      <c r="AD95" s="29">
        <f t="shared" si="42"/>
        <v>19.816146516393442</v>
      </c>
      <c r="AF95">
        <f t="shared" si="43"/>
        <v>-2.7777777777778789E-3</v>
      </c>
      <c r="AG95">
        <f t="shared" si="44"/>
        <v>-1.7140564522333923E-2</v>
      </c>
      <c r="AH95">
        <f t="shared" si="45"/>
        <v>-1.4998928647953491E-3</v>
      </c>
      <c r="AI95">
        <f t="shared" si="46"/>
        <v>-2.9597739808959744E-3</v>
      </c>
      <c r="AJ95">
        <f t="shared" si="47"/>
        <v>1.4474796484360564E-3</v>
      </c>
      <c r="AK95">
        <f t="shared" si="48"/>
        <v>1.3142926383453712E-3</v>
      </c>
      <c r="AL95">
        <f t="shared" si="49"/>
        <v>1.3404547453992999E-2</v>
      </c>
      <c r="AM95">
        <f t="shared" si="50"/>
        <v>5.3457834350689737E-4</v>
      </c>
      <c r="AN95">
        <f t="shared" si="51"/>
        <v>8.7489435617051914E-3</v>
      </c>
      <c r="AO95">
        <f t="shared" si="52"/>
        <v>-1.436125534220134E-2</v>
      </c>
      <c r="AP95">
        <f t="shared" si="53"/>
        <v>-2.4735043608019591E-3</v>
      </c>
      <c r="AS95" s="76">
        <f>AW35</f>
        <v>0.33690541470377772</v>
      </c>
      <c r="AT95" s="82" cm="1">
        <f t="array" ref="AT95:BD95">TRANSPOSE(Port_R(V,M,AS95))</f>
        <v>6.3938937180464159E-2</v>
      </c>
      <c r="AU95" s="82">
        <v>2.4262159607022053E-2</v>
      </c>
      <c r="AV95" s="82">
        <v>0.26306447268339206</v>
      </c>
      <c r="AW95" s="82">
        <v>6.6975998312915133E-2</v>
      </c>
      <c r="AX95" s="82">
        <v>7.357839358879785E-2</v>
      </c>
      <c r="AY95" s="82">
        <v>0.19828230805748048</v>
      </c>
      <c r="AZ95" s="82">
        <v>3.7063336247188536E-2</v>
      </c>
      <c r="BA95" s="82">
        <v>2.6433184164851874E-2</v>
      </c>
      <c r="BB95" s="82">
        <v>1.9970949720540088E-2</v>
      </c>
      <c r="BC95" s="82">
        <v>5.686443977471433E-2</v>
      </c>
      <c r="BD95" s="82">
        <v>0.16956582066263326</v>
      </c>
      <c r="BE95" s="77" cm="1">
        <f t="array" ref="BE95">SQRT(MMULT(_xlfn.ANCHORARRAY(AT95),MMULT(V,TRANSPOSE(_xlfn.ANCHORARRAY(AT95)))))</f>
        <v>8.9233170110689736E-2</v>
      </c>
      <c r="BF95" s="77" cm="1">
        <f t="array" ref="BF95">MMULT(_xlfn.ANCHORARRAY(AT95),M)</f>
        <v>0.33690541470377766</v>
      </c>
    </row>
    <row r="96" spans="3:58" x14ac:dyDescent="0.3">
      <c r="C96" s="1">
        <v>21.52</v>
      </c>
      <c r="D96" s="1">
        <v>3.17</v>
      </c>
      <c r="E96" s="1">
        <v>46.23</v>
      </c>
      <c r="F96" s="1">
        <v>234.34</v>
      </c>
      <c r="G96" s="1">
        <v>862.71</v>
      </c>
      <c r="H96" s="1">
        <v>25.15</v>
      </c>
      <c r="I96" s="1">
        <v>90.64</v>
      </c>
      <c r="J96" s="1">
        <v>99.39</v>
      </c>
      <c r="K96" s="1">
        <v>268.3</v>
      </c>
      <c r="L96" s="1">
        <v>168.05</v>
      </c>
      <c r="M96" s="1">
        <v>18.21</v>
      </c>
      <c r="O96" s="1">
        <v>19.038699999999999</v>
      </c>
      <c r="P96" s="1">
        <v>1.0924012668932228</v>
      </c>
      <c r="Q96" s="1">
        <v>0.13952633320552349</v>
      </c>
      <c r="R96" s="1">
        <v>0.72760000000000002</v>
      </c>
      <c r="T96" s="28">
        <v>21.52</v>
      </c>
      <c r="U96" s="29">
        <f t="shared" si="36"/>
        <v>0.44229847626150948</v>
      </c>
      <c r="V96" s="28">
        <v>46.23</v>
      </c>
      <c r="W96" s="28">
        <v>234.34</v>
      </c>
      <c r="X96" s="28">
        <v>862.71</v>
      </c>
      <c r="Y96" s="29">
        <f t="shared" si="37"/>
        <v>27.481449401008824</v>
      </c>
      <c r="Z96" s="29">
        <f t="shared" si="38"/>
        <v>99.015250831201712</v>
      </c>
      <c r="AA96" s="29">
        <f t="shared" si="39"/>
        <v>72.316164000000001</v>
      </c>
      <c r="AB96" s="29">
        <f t="shared" si="40"/>
        <v>293.09125990745167</v>
      </c>
      <c r="AC96" s="29">
        <f t="shared" si="41"/>
        <v>8.8267581294941362</v>
      </c>
      <c r="AD96" s="29">
        <f t="shared" si="42"/>
        <v>19.892627070125588</v>
      </c>
      <c r="AF96">
        <f t="shared" si="43"/>
        <v>-9.2850510677811027E-4</v>
      </c>
      <c r="AG96">
        <f t="shared" si="44"/>
        <v>1.4753360275333138E-2</v>
      </c>
      <c r="AH96">
        <f t="shared" si="45"/>
        <v>-7.9399141630902559E-3</v>
      </c>
      <c r="AI96">
        <f t="shared" si="46"/>
        <v>5.4018800881572293E-2</v>
      </c>
      <c r="AJ96">
        <f t="shared" si="47"/>
        <v>-2.4398140653546507E-3</v>
      </c>
      <c r="AK96">
        <f t="shared" si="48"/>
        <v>6.8317924281302567E-3</v>
      </c>
      <c r="AL96">
        <f t="shared" si="49"/>
        <v>4.1564000227609643E-3</v>
      </c>
      <c r="AM96">
        <f t="shared" si="50"/>
        <v>-1.4311586474143545E-2</v>
      </c>
      <c r="AN96">
        <f t="shared" si="51"/>
        <v>3.0898135101389279E-3</v>
      </c>
      <c r="AO96">
        <f t="shared" si="52"/>
        <v>1.3947734913884569E-2</v>
      </c>
      <c r="AP96">
        <f t="shared" si="53"/>
        <v>3.8595068758133788E-3</v>
      </c>
      <c r="AS96" s="8">
        <f>AS94+2.5%</f>
        <v>0.35000000000000003</v>
      </c>
      <c r="AT96" s="57" cm="1">
        <f t="array" ref="AT96:BD96">TRANSPOSE(Port_R(V,M,AS96))</f>
        <v>6.4418536540185839E-2</v>
      </c>
      <c r="AU96" s="57">
        <v>2.6395032913519668E-2</v>
      </c>
      <c r="AV96" s="57">
        <v>0.25994528681012741</v>
      </c>
      <c r="AW96" s="57">
        <v>5.6872514416144895E-2</v>
      </c>
      <c r="AX96" s="57">
        <v>6.6982556545041608E-2</v>
      </c>
      <c r="AY96" s="57">
        <v>0.21536519380506519</v>
      </c>
      <c r="AZ96" s="57">
        <v>5.4166107289023539E-2</v>
      </c>
      <c r="BA96" s="57">
        <v>2.7463655851234801E-2</v>
      </c>
      <c r="BB96" s="57">
        <v>1.4702830766183011E-2</v>
      </c>
      <c r="BC96" s="57">
        <v>3.1432280057648795E-2</v>
      </c>
      <c r="BD96" s="57">
        <v>0.18225600500582517</v>
      </c>
      <c r="BE96" s="14" cm="1">
        <f t="array" ref="BE96">SQRT(MMULT(_xlfn.ANCHORARRAY(AT96),MMULT(V,TRANSPOSE(_xlfn.ANCHORARRAY(AT96)))))</f>
        <v>8.9844423889207867E-2</v>
      </c>
      <c r="BF96" s="14" cm="1">
        <f t="array" ref="BF96">MMULT(_xlfn.ANCHORARRAY(AT96),M)</f>
        <v>0.35000000000000003</v>
      </c>
    </row>
    <row r="97" spans="3:76" x14ac:dyDescent="0.3">
      <c r="C97" s="1">
        <v>22.49</v>
      </c>
      <c r="D97" s="1">
        <v>3.08</v>
      </c>
      <c r="E97" s="1">
        <v>46.37</v>
      </c>
      <c r="F97" s="1">
        <v>236.77</v>
      </c>
      <c r="G97" s="1">
        <v>877.35</v>
      </c>
      <c r="H97" s="1">
        <v>25.22</v>
      </c>
      <c r="I97" s="1">
        <v>91.26</v>
      </c>
      <c r="J97" s="1">
        <v>99.73</v>
      </c>
      <c r="K97" s="1">
        <v>268.89999999999998</v>
      </c>
      <c r="L97" s="1">
        <v>168.31</v>
      </c>
      <c r="M97" s="1">
        <v>18.375</v>
      </c>
      <c r="O97" s="1">
        <v>18.847799999999999</v>
      </c>
      <c r="P97" s="1">
        <v>1.1021976039643886</v>
      </c>
      <c r="Q97" s="1">
        <v>0.14013306592811894</v>
      </c>
      <c r="R97" s="1">
        <v>0.72960000000000003</v>
      </c>
      <c r="T97" s="28">
        <v>22.49</v>
      </c>
      <c r="U97" s="29">
        <f t="shared" si="36"/>
        <v>0.43160984305860634</v>
      </c>
      <c r="V97" s="28">
        <v>46.37</v>
      </c>
      <c r="W97" s="28">
        <v>236.77</v>
      </c>
      <c r="X97" s="28">
        <v>877.35</v>
      </c>
      <c r="Y97" s="29">
        <f t="shared" si="37"/>
        <v>27.550359951047078</v>
      </c>
      <c r="Z97" s="29">
        <f t="shared" si="38"/>
        <v>100.58655333779011</v>
      </c>
      <c r="AA97" s="29">
        <f t="shared" si="39"/>
        <v>72.763007999999999</v>
      </c>
      <c r="AB97" s="29">
        <f t="shared" si="40"/>
        <v>296.38093570602405</v>
      </c>
      <c r="AC97" s="29">
        <f t="shared" si="41"/>
        <v>8.9299546896720052</v>
      </c>
      <c r="AD97" s="29">
        <f t="shared" si="42"/>
        <v>20.252880972845642</v>
      </c>
      <c r="AF97">
        <f t="shared" si="43"/>
        <v>4.5074349442379091E-2</v>
      </c>
      <c r="AG97">
        <f t="shared" si="44"/>
        <v>-2.4166109033989747E-2</v>
      </c>
      <c r="AH97">
        <f t="shared" si="45"/>
        <v>3.02833657797974E-3</v>
      </c>
      <c r="AI97">
        <f t="shared" si="46"/>
        <v>1.0369548519245653E-2</v>
      </c>
      <c r="AJ97">
        <f t="shared" si="47"/>
        <v>1.6969781270647077E-2</v>
      </c>
      <c r="AK97">
        <f t="shared" si="48"/>
        <v>2.5075296805752156E-3</v>
      </c>
      <c r="AL97">
        <f t="shared" si="49"/>
        <v>1.5869297844501862E-2</v>
      </c>
      <c r="AM97">
        <f t="shared" si="50"/>
        <v>6.1790335007261277E-3</v>
      </c>
      <c r="AN97">
        <f t="shared" si="51"/>
        <v>1.1224066523209064E-2</v>
      </c>
      <c r="AO97">
        <f t="shared" si="52"/>
        <v>1.1691332045572045E-2</v>
      </c>
      <c r="AP97">
        <f t="shared" si="53"/>
        <v>1.8109920899340493E-2</v>
      </c>
      <c r="AS97" s="85">
        <f>AW51</f>
        <v>0.3707906473790667</v>
      </c>
      <c r="AT97" s="83" cm="1">
        <f t="array" ref="AT97:BD97">TRANSPOSE(Port_R(V,M,AS97))</f>
        <v>6.5180010152800089E-2</v>
      </c>
      <c r="AU97" s="83">
        <v>2.9781456829701933E-2</v>
      </c>
      <c r="AV97" s="83">
        <v>0.25499286623828071</v>
      </c>
      <c r="AW97" s="83">
        <v>4.0830924228601614E-2</v>
      </c>
      <c r="AX97" s="83">
        <v>5.65101575309176E-2</v>
      </c>
      <c r="AY97" s="83">
        <v>0.24248817981496798</v>
      </c>
      <c r="AZ97" s="83">
        <v>8.1320665749021914E-2</v>
      </c>
      <c r="BA97" s="83">
        <v>2.9099765203386658E-2</v>
      </c>
      <c r="BB97" s="83">
        <v>6.3384877149667848E-3</v>
      </c>
      <c r="BC97" s="83">
        <v>-8.9470868947474289E-3</v>
      </c>
      <c r="BD97" s="83">
        <v>0.20240457343210216</v>
      </c>
      <c r="BE97" s="84" cm="1">
        <f t="array" ref="BE97">SQRT(MMULT(_xlfn.ANCHORARRAY(AT97),MMULT(V,TRANSPOSE(_xlfn.ANCHORARRAY(AT97)))))</f>
        <v>9.3249945673759632E-2</v>
      </c>
      <c r="BF97" s="84" cm="1">
        <f t="array" ref="BF97">MMULT(_xlfn.ANCHORARRAY(AT97),M)</f>
        <v>0.37079064737906664</v>
      </c>
    </row>
    <row r="98" spans="3:76" x14ac:dyDescent="0.3">
      <c r="C98" s="1">
        <v>22.79</v>
      </c>
      <c r="D98" s="1">
        <v>3.18</v>
      </c>
      <c r="E98" s="1">
        <v>47.4</v>
      </c>
      <c r="F98" s="1">
        <v>235.88</v>
      </c>
      <c r="G98" s="1">
        <v>870.59</v>
      </c>
      <c r="H98" s="1">
        <v>25.08</v>
      </c>
      <c r="I98" s="1">
        <v>91</v>
      </c>
      <c r="J98" s="1">
        <v>100.68</v>
      </c>
      <c r="K98" s="1">
        <v>267</v>
      </c>
      <c r="L98" s="1">
        <v>169.32</v>
      </c>
      <c r="M98" s="1">
        <v>18.254999999999999</v>
      </c>
      <c r="O98" s="1">
        <v>18.651299999999999</v>
      </c>
      <c r="P98" s="1">
        <v>1.101097510629286</v>
      </c>
      <c r="Q98" s="1">
        <v>0.13966318701645464</v>
      </c>
      <c r="R98" s="1">
        <v>0.72889999999999999</v>
      </c>
      <c r="T98" s="28">
        <v>22.79</v>
      </c>
      <c r="U98" s="29">
        <f t="shared" si="36"/>
        <v>0.44412893471232578</v>
      </c>
      <c r="V98" s="28">
        <v>47.4</v>
      </c>
      <c r="W98" s="28">
        <v>235.88</v>
      </c>
      <c r="X98" s="28">
        <v>870.59</v>
      </c>
      <c r="Y98" s="29">
        <f t="shared" si="37"/>
        <v>27.643115907426864</v>
      </c>
      <c r="Z98" s="29">
        <f t="shared" si="38"/>
        <v>100.19987346726502</v>
      </c>
      <c r="AA98" s="29">
        <f t="shared" si="39"/>
        <v>73.385652000000007</v>
      </c>
      <c r="AB98" s="29">
        <f t="shared" si="40"/>
        <v>293.99303533801935</v>
      </c>
      <c r="AC98" s="29">
        <f t="shared" si="41"/>
        <v>9.0781875794180564</v>
      </c>
      <c r="AD98" s="29">
        <f t="shared" si="42"/>
        <v>20.100535056537613</v>
      </c>
      <c r="AF98">
        <f t="shared" si="43"/>
        <v>1.3339261894175225E-2</v>
      </c>
      <c r="AG98">
        <f t="shared" si="44"/>
        <v>2.9005574953997471E-2</v>
      </c>
      <c r="AH98">
        <f t="shared" si="45"/>
        <v>2.2212637481130004E-2</v>
      </c>
      <c r="AI98">
        <f t="shared" si="46"/>
        <v>-3.7589221607468026E-3</v>
      </c>
      <c r="AJ98">
        <f t="shared" si="47"/>
        <v>-7.705020801276552E-3</v>
      </c>
      <c r="AK98">
        <f t="shared" si="48"/>
        <v>3.3667783849140598E-3</v>
      </c>
      <c r="AL98">
        <f t="shared" si="49"/>
        <v>-3.844250127813198E-3</v>
      </c>
      <c r="AM98">
        <f t="shared" si="50"/>
        <v>8.5571503585999409E-3</v>
      </c>
      <c r="AN98">
        <f t="shared" si="51"/>
        <v>-8.0568622348005103E-3</v>
      </c>
      <c r="AO98">
        <f t="shared" si="52"/>
        <v>1.6599511968127922E-2</v>
      </c>
      <c r="AP98">
        <f t="shared" si="53"/>
        <v>-7.5221849430848753E-3</v>
      </c>
      <c r="AS98" s="8">
        <f>AS96+2.5%</f>
        <v>0.37500000000000006</v>
      </c>
      <c r="AT98" s="57" cm="1">
        <f t="array" ref="AT98:BD98">TRANSPOSE(Port_R(V,M,AS98))</f>
        <v>6.5334180962808477E-2</v>
      </c>
      <c r="AU98" s="57">
        <v>3.0467084945425056E-2</v>
      </c>
      <c r="AV98" s="57">
        <v>0.25399018055303091</v>
      </c>
      <c r="AW98" s="57">
        <v>3.7583083578489759E-2</v>
      </c>
      <c r="AX98" s="57">
        <v>5.4389876260506211E-2</v>
      </c>
      <c r="AY98" s="57">
        <v>0.24797960151852103</v>
      </c>
      <c r="AZ98" s="57">
        <v>8.6818479729502865E-2</v>
      </c>
      <c r="BA98" s="57">
        <v>2.9431018052999618E-2</v>
      </c>
      <c r="BB98" s="57">
        <v>4.645011379041197E-3</v>
      </c>
      <c r="BC98" s="57">
        <v>-1.7122445314987703E-2</v>
      </c>
      <c r="BD98" s="57">
        <v>0.20648392833466278</v>
      </c>
      <c r="BE98" s="14" cm="1">
        <f t="array" ref="BE98">SQRT(MMULT(_xlfn.ANCHORARRAY(AT98),MMULT(V,TRANSPOSE(_xlfn.ANCHORARRAY(AT98)))))</f>
        <v>9.4281356280930526E-2</v>
      </c>
      <c r="BF98" s="14" cm="1">
        <f t="array" ref="BF98">MMULT(_xlfn.ANCHORARRAY(AT98),M)</f>
        <v>0.37500000000000011</v>
      </c>
    </row>
    <row r="99" spans="3:76" x14ac:dyDescent="0.3">
      <c r="C99" s="1">
        <v>22.39</v>
      </c>
      <c r="D99" s="1">
        <v>3.18</v>
      </c>
      <c r="E99" s="1">
        <v>47.35</v>
      </c>
      <c r="F99" s="1">
        <v>237.78</v>
      </c>
      <c r="G99" s="1">
        <v>872.35</v>
      </c>
      <c r="H99" s="1">
        <v>25</v>
      </c>
      <c r="I99" s="1">
        <v>91.84</v>
      </c>
      <c r="J99" s="1">
        <v>100.44</v>
      </c>
      <c r="K99" s="1">
        <v>265</v>
      </c>
      <c r="L99" s="1">
        <v>166.63</v>
      </c>
      <c r="M99" s="1">
        <v>18.315000000000001</v>
      </c>
      <c r="O99" s="1">
        <v>18.622800000000002</v>
      </c>
      <c r="P99" s="1">
        <v>1.0993996606310543</v>
      </c>
      <c r="Q99" s="1">
        <v>0.13947419292480184</v>
      </c>
      <c r="R99" s="1">
        <v>0.72829999999999995</v>
      </c>
      <c r="T99" s="28">
        <v>22.39</v>
      </c>
      <c r="U99" s="29">
        <f t="shared" si="36"/>
        <v>0.44352793350086989</v>
      </c>
      <c r="V99" s="28">
        <v>47.35</v>
      </c>
      <c r="W99" s="28">
        <v>237.78</v>
      </c>
      <c r="X99" s="28">
        <v>872.35</v>
      </c>
      <c r="Y99" s="29">
        <f t="shared" si="37"/>
        <v>27.527437765732149</v>
      </c>
      <c r="Z99" s="29">
        <f t="shared" si="38"/>
        <v>100.96886483235603</v>
      </c>
      <c r="AA99" s="29">
        <f t="shared" si="39"/>
        <v>73.150451999999987</v>
      </c>
      <c r="AB99" s="29">
        <f t="shared" si="40"/>
        <v>291.3409100672294</v>
      </c>
      <c r="AC99" s="29">
        <f t="shared" si="41"/>
        <v>8.9476340829520797</v>
      </c>
      <c r="AD99" s="29">
        <f t="shared" si="42"/>
        <v>20.135504784457762</v>
      </c>
      <c r="AF99">
        <f t="shared" si="43"/>
        <v>-1.7551557700745901E-2</v>
      </c>
      <c r="AG99">
        <f t="shared" si="44"/>
        <v>-1.3532133677468527E-3</v>
      </c>
      <c r="AH99">
        <f t="shared" si="45"/>
        <v>-1.0548523206750371E-3</v>
      </c>
      <c r="AI99">
        <f t="shared" si="46"/>
        <v>8.0549431914533898E-3</v>
      </c>
      <c r="AJ99">
        <f t="shared" si="47"/>
        <v>2.021617523748187E-3</v>
      </c>
      <c r="AK99">
        <f t="shared" si="48"/>
        <v>-4.1846998030941052E-3</v>
      </c>
      <c r="AL99">
        <f t="shared" si="49"/>
        <v>7.6745742133321748E-3</v>
      </c>
      <c r="AM99">
        <f t="shared" si="50"/>
        <v>-3.2049861735917728E-3</v>
      </c>
      <c r="AN99">
        <f t="shared" si="51"/>
        <v>-9.0210479569377E-3</v>
      </c>
      <c r="AO99">
        <f t="shared" si="52"/>
        <v>-1.4381008909968518E-2</v>
      </c>
      <c r="AP99">
        <f t="shared" si="53"/>
        <v>1.7397411472772628E-3</v>
      </c>
      <c r="AS99" s="80">
        <f>AW68</f>
        <v>0.37899110929126184</v>
      </c>
      <c r="AT99" s="86" cm="1">
        <f t="array" ref="AT99:BD99">TRANSPOSE(Port_R(V,M,AS99))</f>
        <v>6.5480358441313335E-2</v>
      </c>
      <c r="AU99" s="86">
        <v>3.1117165133386616E-2</v>
      </c>
      <c r="AV99" s="86">
        <v>0.25303948135650495</v>
      </c>
      <c r="AW99" s="86">
        <v>3.4503634512917089E-2</v>
      </c>
      <c r="AX99" s="86">
        <v>5.2379525729086281E-2</v>
      </c>
      <c r="AY99" s="86">
        <v>0.25318630814468795</v>
      </c>
      <c r="AZ99" s="86">
        <v>9.2031247210660361E-2</v>
      </c>
      <c r="BA99" s="86">
        <v>2.9745096355509249E-2</v>
      </c>
      <c r="BB99" s="86">
        <v>3.0393371228070142E-3</v>
      </c>
      <c r="BC99" s="86">
        <v>-2.4873933937763451E-2</v>
      </c>
      <c r="BD99" s="86">
        <v>0.21035177993089085</v>
      </c>
      <c r="BE99" s="81" cm="1">
        <f t="array" ref="BE99">SQRT(MMULT(_xlfn.ANCHORARRAY(AT99),MMULT(V,TRANSPOSE(_xlfn.ANCHORARRAY(AT99)))))</f>
        <v>9.535859181393605E-2</v>
      </c>
      <c r="BF99" s="81" cm="1">
        <f t="array" ref="BF99">MMULT(_xlfn.ANCHORARRAY(AT99),M)</f>
        <v>0.37899110929126195</v>
      </c>
      <c r="BH99" s="63" t="s">
        <v>2337</v>
      </c>
    </row>
    <row r="100" spans="3:76" x14ac:dyDescent="0.3">
      <c r="C100" s="1">
        <v>22.13</v>
      </c>
      <c r="D100" s="1">
        <v>3.37</v>
      </c>
      <c r="E100" s="1">
        <v>47.51</v>
      </c>
      <c r="F100" s="1">
        <v>238.75</v>
      </c>
      <c r="G100" s="1">
        <v>876.2</v>
      </c>
      <c r="H100" s="1">
        <v>25.08</v>
      </c>
      <c r="I100" s="1">
        <v>92.58</v>
      </c>
      <c r="J100" s="1">
        <v>101.85</v>
      </c>
      <c r="K100" s="1">
        <v>266.10000000000002</v>
      </c>
      <c r="L100" s="1">
        <v>167.37</v>
      </c>
      <c r="M100" s="1">
        <v>18.515000000000001</v>
      </c>
      <c r="O100" s="1">
        <v>18.735700000000001</v>
      </c>
      <c r="P100" s="1">
        <v>1.1036523855527149</v>
      </c>
      <c r="Q100" s="1">
        <v>0.14004814338402086</v>
      </c>
      <c r="R100" s="1">
        <v>0.73080000000000001</v>
      </c>
      <c r="T100" s="28">
        <v>22.13</v>
      </c>
      <c r="U100" s="29">
        <f t="shared" si="36"/>
        <v>0.47196224320415031</v>
      </c>
      <c r="V100" s="28">
        <v>47.51</v>
      </c>
      <c r="W100" s="28">
        <v>238.75</v>
      </c>
      <c r="X100" s="28">
        <v>876.2</v>
      </c>
      <c r="Y100" s="29">
        <f t="shared" si="37"/>
        <v>27.572943488626841</v>
      </c>
      <c r="Z100" s="29">
        <f t="shared" si="38"/>
        <v>102.17613785447034</v>
      </c>
      <c r="AA100" s="29">
        <f t="shared" si="39"/>
        <v>74.431979999999996</v>
      </c>
      <c r="AB100" s="29">
        <f t="shared" si="40"/>
        <v>293.68189979557746</v>
      </c>
      <c r="AC100" s="29">
        <f t="shared" si="41"/>
        <v>8.9332130638300136</v>
      </c>
      <c r="AD100" s="29">
        <f t="shared" si="42"/>
        <v>20.434123918508519</v>
      </c>
      <c r="AF100">
        <f t="shared" si="43"/>
        <v>-1.1612326931666028E-2</v>
      </c>
      <c r="AG100">
        <f t="shared" si="44"/>
        <v>6.410940000743981E-2</v>
      </c>
      <c r="AH100">
        <f t="shared" si="45"/>
        <v>3.3790918690601579E-3</v>
      </c>
      <c r="AI100">
        <f t="shared" si="46"/>
        <v>4.0794011270923747E-3</v>
      </c>
      <c r="AJ100">
        <f t="shared" si="47"/>
        <v>4.4133661947614033E-3</v>
      </c>
      <c r="AK100">
        <f t="shared" si="48"/>
        <v>1.6531041966914017E-3</v>
      </c>
      <c r="AL100">
        <f t="shared" si="49"/>
        <v>1.1956884175322813E-2</v>
      </c>
      <c r="AM100">
        <f t="shared" si="50"/>
        <v>1.7519071515785134E-2</v>
      </c>
      <c r="AN100">
        <f t="shared" si="51"/>
        <v>8.0352248773021273E-3</v>
      </c>
      <c r="AO100">
        <f t="shared" si="52"/>
        <v>-1.6117131063219103E-3</v>
      </c>
      <c r="AP100">
        <f t="shared" si="53"/>
        <v>1.4830476675273374E-2</v>
      </c>
      <c r="AS100" s="8">
        <f>AS98+2.5%</f>
        <v>0.40000000000000008</v>
      </c>
      <c r="AT100" s="57" cm="1">
        <f t="array" ref="AT100:BD100">TRANSPOSE(Port_R(V,M,AS100))</f>
        <v>6.6249825385431116E-2</v>
      </c>
      <c r="AU100" s="57">
        <v>3.4539136977330437E-2</v>
      </c>
      <c r="AV100" s="57">
        <v>0.24803507429593433</v>
      </c>
      <c r="AW100" s="57">
        <v>1.8293652740834623E-2</v>
      </c>
      <c r="AX100" s="57">
        <v>4.1797195975970799E-2</v>
      </c>
      <c r="AY100" s="57">
        <v>0.28059400923197675</v>
      </c>
      <c r="AZ100" s="57">
        <v>0.11947085216998218</v>
      </c>
      <c r="BA100" s="57">
        <v>3.1398380254764435E-2</v>
      </c>
      <c r="BB100" s="57">
        <v>-5.412808008100619E-3</v>
      </c>
      <c r="BC100" s="57">
        <v>-6.5677170687624215E-2</v>
      </c>
      <c r="BD100" s="57">
        <v>0.23071185166350033</v>
      </c>
      <c r="BE100" s="14" cm="1">
        <f t="array" ref="BE100">SQRT(MMULT(_xlfn.ANCHORARRAY(AT100),MMULT(V,TRANSPOSE(_xlfn.ANCHORARRAY(AT100)))))</f>
        <v>0.10248854984264785</v>
      </c>
      <c r="BF100" s="14" cm="1">
        <f t="array" ref="BF100">MMULT(_xlfn.ANCHORARRAY(AT100),M)</f>
        <v>0.40000000000000008</v>
      </c>
      <c r="BL100" s="102" t="s">
        <v>2339</v>
      </c>
      <c r="BM100" s="102"/>
      <c r="BN100" s="1"/>
      <c r="BO100" s="103" t="s">
        <v>2340</v>
      </c>
      <c r="BP100" s="103"/>
    </row>
    <row r="101" spans="3:76" x14ac:dyDescent="0.3">
      <c r="C101" s="1">
        <v>21.43</v>
      </c>
      <c r="D101" s="1">
        <v>3.24</v>
      </c>
      <c r="E101" s="1">
        <v>47.46</v>
      </c>
      <c r="F101" s="1">
        <v>237.32</v>
      </c>
      <c r="G101" s="1">
        <v>881.42</v>
      </c>
      <c r="H101" s="1">
        <v>25.19</v>
      </c>
      <c r="I101" s="1">
        <v>94.28</v>
      </c>
      <c r="J101" s="1">
        <v>101.99</v>
      </c>
      <c r="K101" s="1">
        <v>267.5</v>
      </c>
      <c r="L101" s="1">
        <v>169.51</v>
      </c>
      <c r="M101" s="1">
        <v>18.850000000000001</v>
      </c>
      <c r="O101" s="1">
        <v>18.944800000000001</v>
      </c>
      <c r="P101" s="1">
        <v>1.1082988471770618</v>
      </c>
      <c r="Q101" s="1">
        <v>0.1400014779781259</v>
      </c>
      <c r="R101" s="1">
        <v>0.73340000000000005</v>
      </c>
      <c r="T101" s="28">
        <v>21.43</v>
      </c>
      <c r="U101" s="29">
        <f t="shared" si="36"/>
        <v>0.45360478864912795</v>
      </c>
      <c r="V101" s="28">
        <v>47.46</v>
      </c>
      <c r="W101" s="28">
        <v>237.32</v>
      </c>
      <c r="X101" s="28">
        <v>881.42</v>
      </c>
      <c r="Y101" s="29">
        <f t="shared" si="37"/>
        <v>27.801003592072892</v>
      </c>
      <c r="Z101" s="29">
        <f t="shared" si="38"/>
        <v>104.4904153118534</v>
      </c>
      <c r="AA101" s="29">
        <f t="shared" si="39"/>
        <v>74.799465999999995</v>
      </c>
      <c r="AB101" s="29">
        <f t="shared" si="40"/>
        <v>296.46994161986402</v>
      </c>
      <c r="AC101" s="29">
        <f t="shared" si="41"/>
        <v>8.9475740044761611</v>
      </c>
      <c r="AD101" s="29">
        <f t="shared" si="42"/>
        <v>20.891433269287617</v>
      </c>
      <c r="AF101">
        <f t="shared" si="43"/>
        <v>-3.1631269769543557E-2</v>
      </c>
      <c r="AG101">
        <f t="shared" si="44"/>
        <v>-3.8896023610689001E-2</v>
      </c>
      <c r="AH101">
        <f t="shared" si="45"/>
        <v>-1.052410018943295E-3</v>
      </c>
      <c r="AI101">
        <f t="shared" si="46"/>
        <v>-5.989528795811494E-3</v>
      </c>
      <c r="AJ101">
        <f t="shared" si="47"/>
        <v>5.9575439397396845E-3</v>
      </c>
      <c r="AK101">
        <f t="shared" si="48"/>
        <v>8.2711555093899491E-3</v>
      </c>
      <c r="AL101">
        <f t="shared" si="49"/>
        <v>2.264988191938988E-2</v>
      </c>
      <c r="AM101">
        <f t="shared" si="50"/>
        <v>4.9372057548382475E-3</v>
      </c>
      <c r="AN101">
        <f t="shared" si="51"/>
        <v>9.4934070714851604E-3</v>
      </c>
      <c r="AO101">
        <f t="shared" si="52"/>
        <v>1.6075896257634614E-3</v>
      </c>
      <c r="AP101">
        <f t="shared" si="53"/>
        <v>2.2379689611497611E-2</v>
      </c>
      <c r="AS101" s="8">
        <f t="shared" ref="AS101:AS119" si="56">AS100+2.5%</f>
        <v>0.4250000000000001</v>
      </c>
      <c r="AT101" s="57" cm="1">
        <f t="array" ref="AT101:BD101">TRANSPOSE(Port_R(V,M,AS101))</f>
        <v>6.7165469808053754E-2</v>
      </c>
      <c r="AU101" s="57">
        <v>3.8611189009235811E-2</v>
      </c>
      <c r="AV101" s="57">
        <v>0.24207996803883791</v>
      </c>
      <c r="AW101" s="57">
        <v>-9.9577809682051266E-4</v>
      </c>
      <c r="AX101" s="57">
        <v>2.9204515691435395E-2</v>
      </c>
      <c r="AY101" s="57">
        <v>0.31320841694543256</v>
      </c>
      <c r="AZ101" s="57">
        <v>0.15212322461046152</v>
      </c>
      <c r="BA101" s="57">
        <v>3.3365742456529263E-2</v>
      </c>
      <c r="BB101" s="57">
        <v>-1.5470627395242433E-2</v>
      </c>
      <c r="BC101" s="57">
        <v>-0.1142318960602607</v>
      </c>
      <c r="BD101" s="57">
        <v>0.25493977499233789</v>
      </c>
      <c r="BE101" s="14" cm="1">
        <f t="array" ref="BE101">SQRT(MMULT(_xlfn.ANCHORARRAY(AT101),MMULT(V,TRANSPOSE(_xlfn.ANCHORARRAY(AT101)))))</f>
        <v>0.11365212987012227</v>
      </c>
      <c r="BF101" s="14" cm="1">
        <f t="array" ref="BF101">MMULT(_xlfn.ANCHORARRAY(AT101),M)</f>
        <v>0.4250000000000001</v>
      </c>
      <c r="BH101" s="59" t="s">
        <v>2338</v>
      </c>
      <c r="BI101" s="59" t="s">
        <v>765</v>
      </c>
      <c r="BL101" s="59" t="s">
        <v>2338</v>
      </c>
      <c r="BM101" s="59" t="s">
        <v>765</v>
      </c>
      <c r="BN101" s="1"/>
      <c r="BO101" s="59" t="s">
        <v>2338</v>
      </c>
      <c r="BP101" s="59" t="s">
        <v>765</v>
      </c>
    </row>
    <row r="102" spans="3:76" x14ac:dyDescent="0.3">
      <c r="C102" s="1">
        <v>21.15</v>
      </c>
      <c r="D102" s="1">
        <v>3.28</v>
      </c>
      <c r="E102" s="1">
        <v>46.88</v>
      </c>
      <c r="F102" s="1">
        <v>240.22</v>
      </c>
      <c r="G102" s="1">
        <v>877.56</v>
      </c>
      <c r="H102" s="1">
        <v>25.18</v>
      </c>
      <c r="I102" s="1">
        <v>94.12</v>
      </c>
      <c r="J102" s="1">
        <v>102</v>
      </c>
      <c r="K102" s="1">
        <v>265.39999999999998</v>
      </c>
      <c r="L102" s="1">
        <v>170.35</v>
      </c>
      <c r="M102" s="1">
        <v>18.86</v>
      </c>
      <c r="O102" s="1">
        <v>19.253499999999999</v>
      </c>
      <c r="P102" s="1">
        <v>1.1124522814033813</v>
      </c>
      <c r="Q102" s="1">
        <v>0.14018749837691849</v>
      </c>
      <c r="R102" s="1">
        <v>0.73399999999999999</v>
      </c>
      <c r="T102" s="28">
        <v>21.15</v>
      </c>
      <c r="U102" s="29">
        <f t="shared" si="36"/>
        <v>0.45981499467629261</v>
      </c>
      <c r="V102" s="28">
        <v>46.88</v>
      </c>
      <c r="W102" s="28">
        <v>240.22</v>
      </c>
      <c r="X102" s="28">
        <v>877.56</v>
      </c>
      <c r="Y102" s="29">
        <f t="shared" si="37"/>
        <v>27.906964971918416</v>
      </c>
      <c r="Z102" s="29">
        <f t="shared" si="38"/>
        <v>104.70400872568625</v>
      </c>
      <c r="AA102" s="29">
        <f t="shared" si="39"/>
        <v>74.867999999999995</v>
      </c>
      <c r="AB102" s="29">
        <f t="shared" si="40"/>
        <v>295.24483548445738</v>
      </c>
      <c r="AC102" s="29">
        <f t="shared" si="41"/>
        <v>8.8477419689926506</v>
      </c>
      <c r="AD102" s="29">
        <f t="shared" si="42"/>
        <v>20.98085002726777</v>
      </c>
      <c r="AF102">
        <f t="shared" si="43"/>
        <v>-1.3065795613625864E-2</v>
      </c>
      <c r="AG102">
        <f t="shared" si="44"/>
        <v>1.3690785861540711E-2</v>
      </c>
      <c r="AH102">
        <f t="shared" si="45"/>
        <v>-1.2220817530552042E-2</v>
      </c>
      <c r="AI102">
        <f t="shared" si="46"/>
        <v>1.2219787628518386E-2</v>
      </c>
      <c r="AJ102">
        <f t="shared" si="47"/>
        <v>-4.3792970434072265E-3</v>
      </c>
      <c r="AK102">
        <f t="shared" si="48"/>
        <v>3.8114228320784704E-3</v>
      </c>
      <c r="AL102">
        <f t="shared" si="49"/>
        <v>2.0441436010698588E-3</v>
      </c>
      <c r="AM102">
        <f t="shared" si="50"/>
        <v>9.162364875705542E-4</v>
      </c>
      <c r="AN102">
        <f t="shared" si="51"/>
        <v>-4.1323114536092609E-3</v>
      </c>
      <c r="AO102">
        <f t="shared" si="52"/>
        <v>-1.1157441719237826E-2</v>
      </c>
      <c r="AP102">
        <f t="shared" si="53"/>
        <v>4.2800681421701903E-3</v>
      </c>
      <c r="AS102" s="8">
        <f t="shared" si="56"/>
        <v>0.45000000000000012</v>
      </c>
      <c r="AT102" s="57" cm="1">
        <f t="array" ref="AT102:BD102">TRANSPOSE(Port_R(V,M,AS102))</f>
        <v>6.8081114230676365E-2</v>
      </c>
      <c r="AU102" s="57">
        <v>4.2683241041141205E-2</v>
      </c>
      <c r="AV102" s="57">
        <v>0.2361248617817413</v>
      </c>
      <c r="AW102" s="57">
        <v>-2.0285208934475663E-2</v>
      </c>
      <c r="AX102" s="57">
        <v>1.6611835406899977E-2</v>
      </c>
      <c r="AY102" s="57">
        <v>0.34582282465888836</v>
      </c>
      <c r="AZ102" s="57">
        <v>0.18477559705094085</v>
      </c>
      <c r="BA102" s="57">
        <v>3.5333104658294076E-2</v>
      </c>
      <c r="BB102" s="57">
        <v>-2.5528446782384251E-2</v>
      </c>
      <c r="BC102" s="57">
        <v>-0.16278662143289721</v>
      </c>
      <c r="BD102" s="57">
        <v>0.27916769832117544</v>
      </c>
      <c r="BE102" s="14" cm="1">
        <f t="array" ref="BE102">SQRT(MMULT(_xlfn.ANCHORARRAY(AT102),MMULT(V,TRANSPOSE(_xlfn.ANCHORARRAY(AT102)))))</f>
        <v>0.1269948245704148</v>
      </c>
      <c r="BF102" s="14" cm="1">
        <f t="array" ref="BF102">MMULT(_xlfn.ANCHORARRAY(AT102),M)</f>
        <v>0.45000000000000018</v>
      </c>
      <c r="BH102" s="8">
        <v>0</v>
      </c>
      <c r="BI102" s="71">
        <f>BH102*$BA$68+$AS$14</f>
        <v>9.9299999999999999E-2</v>
      </c>
      <c r="BL102" s="3">
        <v>8.3199999999999996E-2</v>
      </c>
      <c r="BM102" s="5">
        <f>BL102*$BA$68+$AS$14</f>
        <v>0.34245139001464847</v>
      </c>
      <c r="BN102" s="1"/>
      <c r="BO102" s="3">
        <f>AX35</f>
        <v>8.9233170110689736E-2</v>
      </c>
      <c r="BP102" s="3">
        <f>BO102*$BA$68+$AS$14</f>
        <v>0.36008328543062251</v>
      </c>
    </row>
    <row r="103" spans="3:76" x14ac:dyDescent="0.3">
      <c r="C103" s="1">
        <v>21.73</v>
      </c>
      <c r="D103" s="1">
        <v>3.36</v>
      </c>
      <c r="E103" s="1">
        <v>47.43</v>
      </c>
      <c r="F103" s="1">
        <v>241.25</v>
      </c>
      <c r="G103" s="1">
        <v>879.21</v>
      </c>
      <c r="H103" s="1">
        <v>25.33</v>
      </c>
      <c r="I103" s="1">
        <v>94</v>
      </c>
      <c r="J103" s="1">
        <v>101.75</v>
      </c>
      <c r="K103" s="1">
        <v>267.2</v>
      </c>
      <c r="L103" s="1">
        <v>170.83</v>
      </c>
      <c r="M103" s="1">
        <v>18.855</v>
      </c>
      <c r="O103" s="1">
        <v>19.423500000000001</v>
      </c>
      <c r="P103" s="1">
        <v>1.1145004762272506</v>
      </c>
      <c r="Q103" s="1">
        <v>0.14013952171338842</v>
      </c>
      <c r="R103" s="1">
        <v>0.73550000000000004</v>
      </c>
      <c r="T103" s="28">
        <v>21.73</v>
      </c>
      <c r="U103" s="29">
        <f t="shared" si="36"/>
        <v>0.47086879295698508</v>
      </c>
      <c r="V103" s="28">
        <v>47.43</v>
      </c>
      <c r="W103" s="28">
        <v>241.25</v>
      </c>
      <c r="X103" s="28">
        <v>879.21</v>
      </c>
      <c r="Y103" s="29">
        <f t="shared" si="37"/>
        <v>28.178416287947645</v>
      </c>
      <c r="Z103" s="29">
        <f t="shared" si="38"/>
        <v>104.76304476536156</v>
      </c>
      <c r="AA103" s="29">
        <f t="shared" si="39"/>
        <v>74.837125</v>
      </c>
      <c r="AB103" s="29">
        <f t="shared" si="40"/>
        <v>297.79452724792134</v>
      </c>
      <c r="AC103" s="29">
        <f t="shared" si="41"/>
        <v>8.7950163461785991</v>
      </c>
      <c r="AD103" s="29">
        <f t="shared" si="42"/>
        <v>21.013906479264811</v>
      </c>
      <c r="AF103">
        <f t="shared" si="43"/>
        <v>2.7423167848699803E-2</v>
      </c>
      <c r="AG103">
        <f t="shared" si="44"/>
        <v>2.4039664666599903E-2</v>
      </c>
      <c r="AH103">
        <f t="shared" si="45"/>
        <v>1.1732081911262737E-2</v>
      </c>
      <c r="AI103">
        <f t="shared" si="46"/>
        <v>4.2877362417783615E-3</v>
      </c>
      <c r="AJ103">
        <f t="shared" si="47"/>
        <v>1.8802133187474368E-3</v>
      </c>
      <c r="AK103">
        <f t="shared" si="48"/>
        <v>9.7270095942851853E-3</v>
      </c>
      <c r="AL103">
        <f t="shared" si="49"/>
        <v>5.6383743462951053E-4</v>
      </c>
      <c r="AM103">
        <f t="shared" si="50"/>
        <v>-4.1239247742685947E-4</v>
      </c>
      <c r="AN103">
        <f t="shared" si="51"/>
        <v>8.6358555917844804E-3</v>
      </c>
      <c r="AO103">
        <f t="shared" si="52"/>
        <v>-5.9592179562685255E-3</v>
      </c>
      <c r="AP103">
        <f t="shared" si="53"/>
        <v>1.5755535144705846E-3</v>
      </c>
      <c r="AS103" s="8">
        <f t="shared" si="56"/>
        <v>0.47500000000000014</v>
      </c>
      <c r="AT103" s="57" cm="1">
        <f t="array" ref="AT103:BD103">TRANSPOSE(Port_R(V,M,AS103))</f>
        <v>6.899675865329899E-2</v>
      </c>
      <c r="AU103" s="57">
        <v>4.6755293073046586E-2</v>
      </c>
      <c r="AV103" s="57">
        <v>0.23016975552464491</v>
      </c>
      <c r="AW103" s="57">
        <v>-3.9574639772130799E-2</v>
      </c>
      <c r="AX103" s="57">
        <v>4.0191551223645872E-3</v>
      </c>
      <c r="AY103" s="57">
        <v>0.37843723237234417</v>
      </c>
      <c r="AZ103" s="57">
        <v>0.21742796949142015</v>
      </c>
      <c r="BA103" s="57">
        <v>3.730046686005889E-2</v>
      </c>
      <c r="BB103" s="57">
        <v>-3.5586266169526065E-2</v>
      </c>
      <c r="BC103" s="57">
        <v>-0.21134134680553374</v>
      </c>
      <c r="BD103" s="57">
        <v>0.30339562165001305</v>
      </c>
      <c r="BE103" s="14" cm="1">
        <f t="array" ref="BE103">SQRT(MMULT(_xlfn.ANCHORARRAY(AT103),MMULT(V,TRANSPOSE(_xlfn.ANCHORARRAY(AT103)))))</f>
        <v>0.14190327473252615</v>
      </c>
      <c r="BF103" s="14" cm="1">
        <f t="array" ref="BF103">MMULT(_xlfn.ANCHORARRAY(AT103),M)</f>
        <v>0.47500000000000014</v>
      </c>
      <c r="BH103" s="8">
        <f>BH102+2.5%</f>
        <v>2.5000000000000001E-2</v>
      </c>
      <c r="BI103" s="71">
        <f t="shared" ref="BI103:BI139" si="57">BH103*$BA$68+$AS$14</f>
        <v>0.17236231671113236</v>
      </c>
    </row>
    <row r="104" spans="3:76" x14ac:dyDescent="0.3">
      <c r="C104" s="1">
        <v>21.67</v>
      </c>
      <c r="D104" s="1">
        <v>3.36</v>
      </c>
      <c r="E104" s="1">
        <v>47.58</v>
      </c>
      <c r="F104" s="1">
        <v>242.45</v>
      </c>
      <c r="G104" s="1">
        <v>892.51</v>
      </c>
      <c r="H104" s="1">
        <v>25.57</v>
      </c>
      <c r="I104" s="1">
        <v>94.24</v>
      </c>
      <c r="J104" s="1">
        <v>102</v>
      </c>
      <c r="K104" s="1">
        <v>269.2</v>
      </c>
      <c r="L104" s="1">
        <v>169.7</v>
      </c>
      <c r="M104" s="1">
        <v>19</v>
      </c>
      <c r="O104" s="1">
        <v>19.070799999999998</v>
      </c>
      <c r="P104" s="1">
        <v>1.1120508840740819</v>
      </c>
      <c r="Q104" s="1">
        <v>0.14007278142500579</v>
      </c>
      <c r="R104" s="1">
        <v>0.73440000000000005</v>
      </c>
      <c r="T104" s="28">
        <v>21.67</v>
      </c>
      <c r="U104" s="29">
        <f t="shared" si="36"/>
        <v>0.47064454558801944</v>
      </c>
      <c r="V104" s="28">
        <v>47.58</v>
      </c>
      <c r="W104" s="28">
        <v>242.45</v>
      </c>
      <c r="X104" s="28">
        <v>892.51</v>
      </c>
      <c r="Y104" s="29">
        <f t="shared" si="37"/>
        <v>28.497777177130796</v>
      </c>
      <c r="Z104" s="29">
        <f t="shared" si="38"/>
        <v>104.79967531514147</v>
      </c>
      <c r="AA104" s="29">
        <f t="shared" si="39"/>
        <v>74.908799999999999</v>
      </c>
      <c r="AB104" s="29">
        <f t="shared" si="40"/>
        <v>299.36409799274281</v>
      </c>
      <c r="AC104" s="29">
        <f t="shared" si="41"/>
        <v>8.8984206221029005</v>
      </c>
      <c r="AD104" s="29">
        <f t="shared" si="42"/>
        <v>21.128966797407557</v>
      </c>
      <c r="AF104">
        <f t="shared" si="43"/>
        <v>-2.7611596870684707E-3</v>
      </c>
      <c r="AG104">
        <f t="shared" si="44"/>
        <v>-4.7624173085969446E-4</v>
      </c>
      <c r="AH104">
        <f t="shared" si="45"/>
        <v>3.1625553447185428E-3</v>
      </c>
      <c r="AI104">
        <f t="shared" si="46"/>
        <v>4.9740932642485802E-3</v>
      </c>
      <c r="AJ104">
        <f t="shared" si="47"/>
        <v>1.5127216478429517E-2</v>
      </c>
      <c r="AK104">
        <f t="shared" si="48"/>
        <v>1.1333528680948168E-2</v>
      </c>
      <c r="AL104">
        <f t="shared" si="49"/>
        <v>3.4965144304410778E-4</v>
      </c>
      <c r="AM104">
        <f t="shared" si="50"/>
        <v>9.5774657297420518E-4</v>
      </c>
      <c r="AN104">
        <f t="shared" si="51"/>
        <v>5.2706500664290168E-3</v>
      </c>
      <c r="AO104">
        <f t="shared" si="52"/>
        <v>1.1757144256955288E-2</v>
      </c>
      <c r="AP104">
        <f t="shared" si="53"/>
        <v>5.4754368615983484E-3</v>
      </c>
      <c r="AS104" s="8">
        <f t="shared" si="56"/>
        <v>0.50000000000000011</v>
      </c>
      <c r="AT104" s="57" cm="1">
        <f t="array" ref="AT104:BD104">TRANSPOSE(Port_R(V,M,AS104))</f>
        <v>6.9912403075921642E-2</v>
      </c>
      <c r="AU104" s="57">
        <v>5.082734510495196E-2</v>
      </c>
      <c r="AV104" s="57">
        <v>0.22421464926754853</v>
      </c>
      <c r="AW104" s="57">
        <v>-5.8864070609785879E-2</v>
      </c>
      <c r="AX104" s="57">
        <v>-8.5735251621707476E-3</v>
      </c>
      <c r="AY104" s="57">
        <v>0.41105164008579997</v>
      </c>
      <c r="AZ104" s="57">
        <v>0.25008034193189949</v>
      </c>
      <c r="BA104" s="57">
        <v>3.9267829061823703E-2</v>
      </c>
      <c r="BB104" s="57">
        <v>-4.5644085556667852E-2</v>
      </c>
      <c r="BC104" s="57">
        <v>-0.25989607217817012</v>
      </c>
      <c r="BD104" s="57">
        <v>0.32762354497885071</v>
      </c>
      <c r="BE104" s="14" cm="1">
        <f t="array" ref="BE104">SQRT(MMULT(_xlfn.ANCHORARRAY(AT104),MMULT(V,TRANSPOSE(_xlfn.ANCHORARRAY(AT104)))))</f>
        <v>0.15793469650601863</v>
      </c>
      <c r="BF104" s="14" cm="1">
        <f t="array" ref="BF104">MMULT(_xlfn.ANCHORARRAY(AT104),M)</f>
        <v>0.50000000000000033</v>
      </c>
      <c r="BH104" s="8">
        <f t="shared" ref="BH104:BH139" si="58">BH103+2.5%</f>
        <v>0.05</v>
      </c>
      <c r="BI104" s="71">
        <f t="shared" si="57"/>
        <v>0.24542463342226473</v>
      </c>
      <c r="BK104" s="104" t="s">
        <v>2344</v>
      </c>
      <c r="BL104" s="104"/>
      <c r="BM104" s="104"/>
      <c r="BO104" s="104" t="s">
        <v>2341</v>
      </c>
      <c r="BP104" s="104"/>
      <c r="BQ104" s="104"/>
    </row>
    <row r="105" spans="3:76" x14ac:dyDescent="0.3">
      <c r="C105" s="1">
        <v>21.14</v>
      </c>
      <c r="D105" s="1">
        <v>3.37</v>
      </c>
      <c r="E105" s="1">
        <v>47.71</v>
      </c>
      <c r="F105" s="1">
        <v>245.57</v>
      </c>
      <c r="G105" s="1">
        <v>908.9</v>
      </c>
      <c r="H105" s="1">
        <v>25.71</v>
      </c>
      <c r="I105" s="1">
        <v>95.46</v>
      </c>
      <c r="J105" s="1">
        <v>102.37</v>
      </c>
      <c r="K105" s="1">
        <v>271.10000000000002</v>
      </c>
      <c r="L105" s="1">
        <v>169.31</v>
      </c>
      <c r="M105" s="1">
        <v>19.015000000000001</v>
      </c>
      <c r="O105" s="1">
        <v>19.382000000000001</v>
      </c>
      <c r="P105" s="1">
        <v>1.116597874316376</v>
      </c>
      <c r="Q105" s="1">
        <v>0.14039830770818285</v>
      </c>
      <c r="R105" s="1">
        <v>0.74019999999999997</v>
      </c>
      <c r="T105" s="28">
        <v>21.14</v>
      </c>
      <c r="U105" s="29">
        <f t="shared" si="36"/>
        <v>0.47314229697657623</v>
      </c>
      <c r="V105" s="28">
        <v>47.71</v>
      </c>
      <c r="W105" s="28">
        <v>245.57</v>
      </c>
      <c r="X105" s="28">
        <v>908.9</v>
      </c>
      <c r="Y105" s="29">
        <f t="shared" si="37"/>
        <v>28.590828229544648</v>
      </c>
      <c r="Z105" s="29">
        <f t="shared" si="38"/>
        <v>106.59043308224125</v>
      </c>
      <c r="AA105" s="29">
        <f t="shared" si="39"/>
        <v>75.774274000000005</v>
      </c>
      <c r="AB105" s="29">
        <f t="shared" si="40"/>
        <v>302.70968372716959</v>
      </c>
      <c r="AC105" s="29">
        <f t="shared" si="41"/>
        <v>8.7354246207821689</v>
      </c>
      <c r="AD105" s="29">
        <f t="shared" si="42"/>
        <v>21.232108580125892</v>
      </c>
      <c r="AF105">
        <f t="shared" si="43"/>
        <v>-2.4457775726811293E-2</v>
      </c>
      <c r="AG105">
        <f t="shared" si="44"/>
        <v>5.3070866580129383E-3</v>
      </c>
      <c r="AH105">
        <f t="shared" si="45"/>
        <v>2.732240437158584E-3</v>
      </c>
      <c r="AI105">
        <f t="shared" si="46"/>
        <v>1.2868632707774719E-2</v>
      </c>
      <c r="AJ105">
        <f t="shared" si="47"/>
        <v>1.8363939899832982E-2</v>
      </c>
      <c r="AK105">
        <f t="shared" si="48"/>
        <v>3.2652038731120214E-3</v>
      </c>
      <c r="AL105">
        <f t="shared" si="49"/>
        <v>1.7087436213087726E-2</v>
      </c>
      <c r="AM105">
        <f t="shared" si="50"/>
        <v>1.1553702635738405E-2</v>
      </c>
      <c r="AN105">
        <f t="shared" si="51"/>
        <v>1.1175641156902838E-2</v>
      </c>
      <c r="AO105">
        <f t="shared" si="52"/>
        <v>-1.831740802585391E-2</v>
      </c>
      <c r="AP105">
        <f t="shared" si="53"/>
        <v>4.8815346111004132E-3</v>
      </c>
      <c r="AS105" s="8">
        <f t="shared" si="56"/>
        <v>0.52500000000000013</v>
      </c>
      <c r="AT105" s="57" cm="1">
        <f t="array" ref="AT105:BD105">TRANSPOSE(Port_R(V,M,AS105))</f>
        <v>7.0828047498544267E-2</v>
      </c>
      <c r="AU105" s="57">
        <v>5.4899397136857347E-2</v>
      </c>
      <c r="AV105" s="57">
        <v>0.21825954301045192</v>
      </c>
      <c r="AW105" s="57">
        <v>-7.8153501447441043E-2</v>
      </c>
      <c r="AX105" s="57">
        <v>-2.1166205446706221E-2</v>
      </c>
      <c r="AY105" s="57">
        <v>0.44366604779925578</v>
      </c>
      <c r="AZ105" s="57">
        <v>0.28273271437237879</v>
      </c>
      <c r="BA105" s="57">
        <v>4.123519126358853E-2</v>
      </c>
      <c r="BB105" s="57">
        <v>-5.5701904943809673E-2</v>
      </c>
      <c r="BC105" s="57">
        <v>-0.30845079755080662</v>
      </c>
      <c r="BD105" s="57">
        <v>0.3518514683076881</v>
      </c>
      <c r="BE105" s="14" cm="1">
        <f t="array" ref="BE105">SQRT(MMULT(_xlfn.ANCHORARRAY(AT105),MMULT(V,TRANSPOSE(_xlfn.ANCHORARRAY(AT105)))))</f>
        <v>0.17478035475868192</v>
      </c>
      <c r="BF105" s="14" cm="1">
        <f t="array" ref="BF105">MMULT(_xlfn.ANCHORARRAY(AT105),M)</f>
        <v>0.52500000000000013</v>
      </c>
      <c r="BH105" s="8">
        <f t="shared" si="58"/>
        <v>7.5000000000000011E-2</v>
      </c>
      <c r="BI105" s="71">
        <f t="shared" si="57"/>
        <v>0.31848695013339712</v>
      </c>
      <c r="BK105" s="104" t="s">
        <v>2342</v>
      </c>
      <c r="BL105" s="104"/>
      <c r="BM105" s="13">
        <f>BL102/AX68</f>
        <v>0.86935687956186702</v>
      </c>
      <c r="BO105" s="104" t="s">
        <v>2342</v>
      </c>
      <c r="BP105" s="104"/>
      <c r="BQ105" s="89">
        <f>BO102/AX68</f>
        <v>0.9323974798178184</v>
      </c>
    </row>
    <row r="106" spans="3:76" x14ac:dyDescent="0.3">
      <c r="C106" s="1">
        <v>22.03</v>
      </c>
      <c r="D106" s="1">
        <v>3.43</v>
      </c>
      <c r="E106" s="1">
        <v>47.38</v>
      </c>
      <c r="F106" s="1">
        <v>248.26</v>
      </c>
      <c r="G106" s="1">
        <v>888.05</v>
      </c>
      <c r="H106" s="1">
        <v>25.71</v>
      </c>
      <c r="I106" s="1">
        <v>95.66</v>
      </c>
      <c r="J106" s="1">
        <v>102.97</v>
      </c>
      <c r="K106" s="1">
        <v>270</v>
      </c>
      <c r="L106" s="1">
        <v>170.7</v>
      </c>
      <c r="M106" s="1">
        <v>19.100000000000001</v>
      </c>
      <c r="O106" s="1">
        <v>19.6692</v>
      </c>
      <c r="P106" s="1">
        <v>1.1165985398491041</v>
      </c>
      <c r="Q106" s="1">
        <v>0.14025481463404715</v>
      </c>
      <c r="R106" s="1">
        <v>0.74139999999999995</v>
      </c>
      <c r="T106" s="28">
        <v>22.03</v>
      </c>
      <c r="U106" s="29">
        <f t="shared" si="36"/>
        <v>0.48107401419478174</v>
      </c>
      <c r="V106" s="28">
        <v>47.38</v>
      </c>
      <c r="W106" s="28">
        <v>248.26</v>
      </c>
      <c r="X106" s="28">
        <v>888.05</v>
      </c>
      <c r="Y106" s="29">
        <f t="shared" si="37"/>
        <v>28.707731348674027</v>
      </c>
      <c r="Z106" s="29">
        <f t="shared" si="38"/>
        <v>106.81381632196529</v>
      </c>
      <c r="AA106" s="29">
        <f t="shared" si="39"/>
        <v>76.341957999999991</v>
      </c>
      <c r="AB106" s="29">
        <f t="shared" si="40"/>
        <v>301.48160575925812</v>
      </c>
      <c r="AC106" s="29">
        <f t="shared" si="41"/>
        <v>8.678543102922335</v>
      </c>
      <c r="AD106" s="29">
        <f t="shared" si="42"/>
        <v>21.327032111117891</v>
      </c>
      <c r="AF106">
        <f t="shared" si="43"/>
        <v>4.2100283822138262E-2</v>
      </c>
      <c r="AG106">
        <f t="shared" si="44"/>
        <v>1.6763914934027069E-2</v>
      </c>
      <c r="AH106">
        <f t="shared" si="45"/>
        <v>-6.9167889331376298E-3</v>
      </c>
      <c r="AI106">
        <f t="shared" si="46"/>
        <v>1.0954106771999816E-2</v>
      </c>
      <c r="AJ106">
        <f t="shared" si="47"/>
        <v>-2.2939817361645964E-2</v>
      </c>
      <c r="AK106">
        <f t="shared" si="48"/>
        <v>4.088832900915218E-3</v>
      </c>
      <c r="AL106">
        <f t="shared" si="49"/>
        <v>2.0957156591312476E-3</v>
      </c>
      <c r="AM106">
        <f t="shared" si="50"/>
        <v>7.4917774863798581E-3</v>
      </c>
      <c r="AN106">
        <f t="shared" si="51"/>
        <v>-4.0569497242061159E-3</v>
      </c>
      <c r="AO106">
        <f t="shared" si="52"/>
        <v>-6.5115916316773603E-3</v>
      </c>
      <c r="AP106">
        <f t="shared" si="53"/>
        <v>4.4707538412294134E-3</v>
      </c>
      <c r="AS106" s="8">
        <f t="shared" si="56"/>
        <v>0.55000000000000016</v>
      </c>
      <c r="AT106" s="57" cm="1">
        <f t="array" ref="AT106:BD106">TRANSPOSE(Port_R(V,M,AS106))</f>
        <v>7.1743691921166863E-2</v>
      </c>
      <c r="AU106" s="57">
        <v>5.8971449168762721E-2</v>
      </c>
      <c r="AV106" s="57">
        <v>0.21230443675335531</v>
      </c>
      <c r="AW106" s="57">
        <v>-9.7442932285096151E-2</v>
      </c>
      <c r="AX106" s="57">
        <v>-3.3758885731241584E-2</v>
      </c>
      <c r="AY106" s="57">
        <v>0.47628045551271148</v>
      </c>
      <c r="AZ106" s="57">
        <v>0.31538508681285804</v>
      </c>
      <c r="BA106" s="57">
        <v>4.3202553465353316E-2</v>
      </c>
      <c r="BB106" s="57">
        <v>-6.575972433095148E-2</v>
      </c>
      <c r="BC106" s="57">
        <v>-0.35700552292344306</v>
      </c>
      <c r="BD106" s="57">
        <v>0.37607939163652582</v>
      </c>
      <c r="BE106" s="14" cm="1">
        <f t="array" ref="BE106">SQRT(MMULT(_xlfn.ANCHORARRAY(AT106),MMULT(V,TRANSPOSE(_xlfn.ANCHORARRAY(AT106)))))</f>
        <v>0.19222630290150786</v>
      </c>
      <c r="BF106" s="14" cm="1">
        <f t="array" ref="BF106">MMULT(_xlfn.ANCHORARRAY(AT106),M)</f>
        <v>0.55000000000000027</v>
      </c>
      <c r="BH106" s="8">
        <f t="shared" si="58"/>
        <v>0.1</v>
      </c>
      <c r="BI106" s="71">
        <f t="shared" si="57"/>
        <v>0.39154926684452945</v>
      </c>
      <c r="BK106" s="104" t="s">
        <v>2343</v>
      </c>
      <c r="BL106" s="104"/>
      <c r="BM106" s="13">
        <f>1-BM105</f>
        <v>0.13064312043813298</v>
      </c>
      <c r="BO106" s="104" t="s">
        <v>2343</v>
      </c>
      <c r="BP106" s="104"/>
      <c r="BQ106" s="89">
        <f>1-BQ105</f>
        <v>6.7602520182181602E-2</v>
      </c>
    </row>
    <row r="107" spans="3:76" x14ac:dyDescent="0.3">
      <c r="C107" s="1">
        <v>21.99</v>
      </c>
      <c r="D107" s="1">
        <v>3.77</v>
      </c>
      <c r="E107" s="1">
        <v>47.62</v>
      </c>
      <c r="F107" s="1">
        <v>250.01</v>
      </c>
      <c r="G107" s="1">
        <v>886.63</v>
      </c>
      <c r="H107" s="1">
        <v>25.88</v>
      </c>
      <c r="I107" s="1">
        <v>96.32</v>
      </c>
      <c r="J107" s="1">
        <v>103.58</v>
      </c>
      <c r="K107" s="1">
        <v>266.39999999999998</v>
      </c>
      <c r="L107" s="1">
        <v>170.7</v>
      </c>
      <c r="M107" s="1">
        <v>19.215</v>
      </c>
      <c r="O107" s="1">
        <v>19.6037</v>
      </c>
      <c r="P107" s="1">
        <v>1.1125501818534256</v>
      </c>
      <c r="Q107" s="1">
        <v>0.14023883246529992</v>
      </c>
      <c r="R107" s="1">
        <v>0.74370000000000003</v>
      </c>
      <c r="T107" s="28">
        <v>21.99</v>
      </c>
      <c r="U107" s="29">
        <f t="shared" si="36"/>
        <v>0.5287003983941807</v>
      </c>
      <c r="V107" s="28">
        <v>47.62</v>
      </c>
      <c r="W107" s="28">
        <v>250.01</v>
      </c>
      <c r="X107" s="28">
        <v>886.63</v>
      </c>
      <c r="Y107" s="29">
        <f t="shared" si="37"/>
        <v>28.897570211294813</v>
      </c>
      <c r="Z107" s="29">
        <f t="shared" si="38"/>
        <v>107.16083351612194</v>
      </c>
      <c r="AA107" s="29">
        <f t="shared" si="39"/>
        <v>77.032446000000007</v>
      </c>
      <c r="AB107" s="29">
        <f t="shared" si="40"/>
        <v>296.38336844575252</v>
      </c>
      <c r="AC107" s="29">
        <f t="shared" si="41"/>
        <v>8.7075399031815426</v>
      </c>
      <c r="AD107" s="29">
        <f t="shared" si="42"/>
        <v>21.377651744313571</v>
      </c>
      <c r="AF107">
        <f t="shared" si="43"/>
        <v>-1.8157058556514949E-3</v>
      </c>
      <c r="AG107">
        <f t="shared" si="44"/>
        <v>9.9000118056918218E-2</v>
      </c>
      <c r="AH107">
        <f t="shared" si="45"/>
        <v>5.0654284508229175E-3</v>
      </c>
      <c r="AI107">
        <f t="shared" si="46"/>
        <v>7.0490614678160313E-3</v>
      </c>
      <c r="AJ107">
        <f t="shared" si="47"/>
        <v>-1.5990090648048128E-3</v>
      </c>
      <c r="AK107">
        <f t="shared" si="48"/>
        <v>6.6128131239306942E-3</v>
      </c>
      <c r="AL107">
        <f t="shared" si="49"/>
        <v>3.2488043785519061E-3</v>
      </c>
      <c r="AM107">
        <f t="shared" si="50"/>
        <v>9.0446723936530304E-3</v>
      </c>
      <c r="AN107">
        <f t="shared" si="51"/>
        <v>-1.6910608196695986E-2</v>
      </c>
      <c r="AO107">
        <f t="shared" si="52"/>
        <v>3.3412059968271901E-3</v>
      </c>
      <c r="AP107">
        <f t="shared" si="53"/>
        <v>2.3734963651735885E-3</v>
      </c>
      <c r="AS107" s="8">
        <f t="shared" si="56"/>
        <v>0.57500000000000018</v>
      </c>
      <c r="AT107" s="57" cm="1">
        <f t="array" ref="AT107:BD107">TRANSPOSE(Port_R(V,M,AS107))</f>
        <v>7.2659336343789571E-2</v>
      </c>
      <c r="AU107" s="57">
        <v>6.3043501200668123E-2</v>
      </c>
      <c r="AV107" s="57">
        <v>0.20634933049625892</v>
      </c>
      <c r="AW107" s="57">
        <v>-0.11673236312275134</v>
      </c>
      <c r="AX107" s="57">
        <v>-4.6351566015777002E-2</v>
      </c>
      <c r="AY107" s="57">
        <v>0.50889486322616717</v>
      </c>
      <c r="AZ107" s="57">
        <v>0.3480374592533374</v>
      </c>
      <c r="BA107" s="57">
        <v>4.5169915667118171E-2</v>
      </c>
      <c r="BB107" s="57">
        <v>-7.5817543718093322E-2</v>
      </c>
      <c r="BC107" s="57">
        <v>-0.40556024829607962</v>
      </c>
      <c r="BD107" s="57">
        <v>0.40030731496536331</v>
      </c>
      <c r="BE107" s="14" cm="1">
        <f t="array" ref="BE107">SQRT(MMULT(_xlfn.ANCHORARRAY(AT107),MMULT(V,TRANSPOSE(_xlfn.ANCHORARRAY(AT107)))))</f>
        <v>0.21012307277708195</v>
      </c>
      <c r="BF107" s="14" cm="1">
        <f t="array" ref="BF107">MMULT(_xlfn.ANCHORARRAY(AT107),M)</f>
        <v>0.57500000000000029</v>
      </c>
      <c r="BH107" s="8">
        <f t="shared" si="58"/>
        <v>0.125</v>
      </c>
      <c r="BI107" s="71">
        <f t="shared" si="57"/>
        <v>0.46461158355566179</v>
      </c>
    </row>
    <row r="108" spans="3:76" x14ac:dyDescent="0.3">
      <c r="C108" s="1">
        <v>22.34</v>
      </c>
      <c r="D108" s="1">
        <v>3.54</v>
      </c>
      <c r="E108" s="1">
        <v>47.28</v>
      </c>
      <c r="F108" s="1">
        <v>252.2</v>
      </c>
      <c r="G108" s="1">
        <v>892.38</v>
      </c>
      <c r="H108" s="1">
        <v>25.82</v>
      </c>
      <c r="I108" s="1">
        <v>94.5</v>
      </c>
      <c r="J108" s="1">
        <v>104.02</v>
      </c>
      <c r="K108" s="1">
        <v>265.10000000000002</v>
      </c>
      <c r="L108" s="1">
        <v>168.6</v>
      </c>
      <c r="M108" s="1">
        <v>19.25</v>
      </c>
      <c r="O108" s="1">
        <v>19.816800000000001</v>
      </c>
      <c r="P108" s="1">
        <v>1.1097503128658512</v>
      </c>
      <c r="Q108" s="1">
        <v>0.14110249888983084</v>
      </c>
      <c r="R108" s="1">
        <v>0.74180000000000001</v>
      </c>
      <c r="T108" s="28">
        <v>22.34</v>
      </c>
      <c r="U108" s="29">
        <f t="shared" si="36"/>
        <v>0.49950284607000117</v>
      </c>
      <c r="V108" s="28">
        <v>47.28</v>
      </c>
      <c r="W108" s="28">
        <v>252.2</v>
      </c>
      <c r="X108" s="28">
        <v>892.38</v>
      </c>
      <c r="Y108" s="29">
        <f t="shared" si="37"/>
        <v>28.726045695455447</v>
      </c>
      <c r="Z108" s="29">
        <f t="shared" si="38"/>
        <v>104.87140456582294</v>
      </c>
      <c r="AA108" s="29">
        <f t="shared" si="39"/>
        <v>77.162036000000001</v>
      </c>
      <c r="AB108" s="29">
        <f t="shared" si="40"/>
        <v>294.19480794073718</v>
      </c>
      <c r="AC108" s="29">
        <f t="shared" si="41"/>
        <v>8.5079326631948646</v>
      </c>
      <c r="AD108" s="29">
        <f t="shared" si="42"/>
        <v>21.362693522667637</v>
      </c>
      <c r="AF108">
        <f t="shared" si="43"/>
        <v>1.5916325602546744E-2</v>
      </c>
      <c r="AG108">
        <f t="shared" si="44"/>
        <v>-5.5225137739372099E-2</v>
      </c>
      <c r="AH108">
        <f t="shared" si="45"/>
        <v>-7.1398572028558149E-3</v>
      </c>
      <c r="AI108">
        <f t="shared" si="46"/>
        <v>8.7596496140154301E-3</v>
      </c>
      <c r="AJ108">
        <f t="shared" si="47"/>
        <v>6.4852305922424858E-3</v>
      </c>
      <c r="AK108">
        <f t="shared" si="48"/>
        <v>-5.935603394513933E-3</v>
      </c>
      <c r="AL108">
        <f t="shared" si="49"/>
        <v>-2.1364419024928138E-2</v>
      </c>
      <c r="AM108">
        <f t="shared" si="50"/>
        <v>1.6822781403045273E-3</v>
      </c>
      <c r="AN108">
        <f t="shared" si="51"/>
        <v>-7.3842217142353617E-3</v>
      </c>
      <c r="AO108">
        <f t="shared" si="52"/>
        <v>-2.2923494144855505E-2</v>
      </c>
      <c r="AP108">
        <f t="shared" si="53"/>
        <v>-6.9971303793514572E-4</v>
      </c>
      <c r="AS108" s="8">
        <f t="shared" si="56"/>
        <v>0.6000000000000002</v>
      </c>
      <c r="AT108" s="57" cm="1">
        <f t="array" ref="AT108:BD108">TRANSPOSE(Port_R(V,M,AS108))</f>
        <v>7.3574980766412168E-2</v>
      </c>
      <c r="AU108" s="57">
        <v>6.7115553232573483E-2</v>
      </c>
      <c r="AV108" s="57">
        <v>0.20039422423916231</v>
      </c>
      <c r="AW108" s="57">
        <v>-0.13602179396040642</v>
      </c>
      <c r="AX108" s="57">
        <v>-5.894424630031242E-2</v>
      </c>
      <c r="AY108" s="57">
        <v>0.5415092709396232</v>
      </c>
      <c r="AZ108" s="57">
        <v>0.38068983169381676</v>
      </c>
      <c r="BA108" s="57">
        <v>4.7137277868882971E-2</v>
      </c>
      <c r="BB108" s="57">
        <v>-8.5875363105235109E-2</v>
      </c>
      <c r="BC108" s="57">
        <v>-0.45411497366871606</v>
      </c>
      <c r="BD108" s="57">
        <v>0.42453523829420092</v>
      </c>
      <c r="BE108" s="14" cm="1">
        <f t="array" ref="BE108">SQRT(MMULT(_xlfn.ANCHORARRAY(AT108),MMULT(V,TRANSPOSE(_xlfn.ANCHORARRAY(AT108)))))</f>
        <v>0.22836469728894737</v>
      </c>
      <c r="BF108" s="14" cm="1">
        <f t="array" ref="BF108">MMULT(_xlfn.ANCHORARRAY(AT108),M)</f>
        <v>0.60000000000000042</v>
      </c>
      <c r="BH108" s="8">
        <f t="shared" si="58"/>
        <v>0.15</v>
      </c>
      <c r="BI108" s="71">
        <f t="shared" si="57"/>
        <v>0.53767390026679407</v>
      </c>
      <c r="BQ108" t="s">
        <v>2347</v>
      </c>
      <c r="BR108" s="92">
        <v>50000</v>
      </c>
      <c r="BS108" s="92" t="s">
        <v>2348</v>
      </c>
    </row>
    <row r="109" spans="3:76" x14ac:dyDescent="0.3">
      <c r="C109" s="1">
        <v>22.82</v>
      </c>
      <c r="D109" s="1">
        <v>3.36</v>
      </c>
      <c r="E109" s="1">
        <v>47.09</v>
      </c>
      <c r="F109" s="1">
        <v>252.32</v>
      </c>
      <c r="G109" s="1">
        <v>878.57</v>
      </c>
      <c r="H109" s="1">
        <v>26.12</v>
      </c>
      <c r="I109" s="1">
        <v>92.66</v>
      </c>
      <c r="J109" s="1">
        <v>105.43</v>
      </c>
      <c r="K109" s="1">
        <v>267.10000000000002</v>
      </c>
      <c r="L109" s="1">
        <v>165.45</v>
      </c>
      <c r="M109" s="1">
        <v>19.105</v>
      </c>
      <c r="O109" s="1">
        <v>19.653500000000001</v>
      </c>
      <c r="P109" s="1">
        <v>1.1080011193934922</v>
      </c>
      <c r="Q109" s="1">
        <v>0.14118096013432721</v>
      </c>
      <c r="R109" s="1">
        <v>0.74160000000000004</v>
      </c>
      <c r="T109" s="28">
        <v>22.82</v>
      </c>
      <c r="U109" s="29">
        <f t="shared" si="36"/>
        <v>0.47436802605133943</v>
      </c>
      <c r="V109" s="28">
        <v>47.09</v>
      </c>
      <c r="W109" s="28">
        <v>252.32</v>
      </c>
      <c r="X109" s="28">
        <v>878.57</v>
      </c>
      <c r="Y109" s="29">
        <f t="shared" si="37"/>
        <v>28.986678172056035</v>
      </c>
      <c r="Z109" s="29">
        <f t="shared" si="38"/>
        <v>102.66738372300098</v>
      </c>
      <c r="AA109" s="29">
        <f t="shared" si="39"/>
        <v>78.18688800000001</v>
      </c>
      <c r="AB109" s="29">
        <f t="shared" si="40"/>
        <v>295.94709899000179</v>
      </c>
      <c r="AC109" s="29">
        <f t="shared" si="41"/>
        <v>8.4183478769684772</v>
      </c>
      <c r="AD109" s="29">
        <f t="shared" si="42"/>
        <v>21.16836138601267</v>
      </c>
      <c r="AF109">
        <f t="shared" si="43"/>
        <v>2.14861235452104E-2</v>
      </c>
      <c r="AG109">
        <f t="shared" si="44"/>
        <v>-5.0319673283982236E-2</v>
      </c>
      <c r="AH109">
        <f t="shared" si="45"/>
        <v>-4.0186125211505441E-3</v>
      </c>
      <c r="AI109">
        <f t="shared" si="46"/>
        <v>4.7581284694686587E-4</v>
      </c>
      <c r="AJ109">
        <f t="shared" si="47"/>
        <v>-1.5475470091216637E-2</v>
      </c>
      <c r="AK109">
        <f t="shared" si="48"/>
        <v>9.0730370397558158E-3</v>
      </c>
      <c r="AL109">
        <f t="shared" si="49"/>
        <v>-2.101641388276243E-2</v>
      </c>
      <c r="AM109">
        <f t="shared" si="50"/>
        <v>1.3281816462178408E-2</v>
      </c>
      <c r="AN109">
        <f t="shared" si="51"/>
        <v>5.9562269692319258E-3</v>
      </c>
      <c r="AO109">
        <f t="shared" si="52"/>
        <v>-1.0529559855818937E-2</v>
      </c>
      <c r="AP109">
        <f t="shared" si="53"/>
        <v>-9.0967993548549675E-3</v>
      </c>
      <c r="AS109" s="8">
        <f t="shared" si="56"/>
        <v>0.62500000000000022</v>
      </c>
      <c r="AT109" s="57" cm="1">
        <f t="array" ref="AT109:BD109">TRANSPOSE(Port_R(V,M,AS109))</f>
        <v>7.449062518903482E-2</v>
      </c>
      <c r="AU109" s="57">
        <v>7.118760526447887E-2</v>
      </c>
      <c r="AV109" s="57">
        <v>0.1944391179820657</v>
      </c>
      <c r="AW109" s="57">
        <v>-0.15531122479806159</v>
      </c>
      <c r="AX109" s="57">
        <v>-7.1536926584847782E-2</v>
      </c>
      <c r="AY109" s="57">
        <v>0.57412367865307878</v>
      </c>
      <c r="AZ109" s="57">
        <v>0.41334220413429612</v>
      </c>
      <c r="BA109" s="57">
        <v>4.9104640070647798E-2</v>
      </c>
      <c r="BB109" s="57">
        <v>-9.5933182492376923E-2</v>
      </c>
      <c r="BC109" s="57">
        <v>-0.50266969904135261</v>
      </c>
      <c r="BD109" s="57">
        <v>0.44876316162303853</v>
      </c>
      <c r="BE109" s="14" cm="1">
        <f t="array" ref="BE109">SQRT(MMULT(_xlfn.ANCHORARRAY(AT109),MMULT(V,TRANSPOSE(_xlfn.ANCHORARRAY(AT109)))))</f>
        <v>0.24687474413343971</v>
      </c>
      <c r="BF109" s="14" cm="1">
        <f t="array" ref="BF109">MMULT(_xlfn.ANCHORARRAY(AT109),M)</f>
        <v>0.62500000000000033</v>
      </c>
      <c r="BH109" s="8">
        <f t="shared" si="58"/>
        <v>0.17499999999999999</v>
      </c>
      <c r="BI109" s="71">
        <f t="shared" si="57"/>
        <v>0.61073621697792646</v>
      </c>
      <c r="BN109" s="107" t="s">
        <v>2353</v>
      </c>
      <c r="BO109" s="107"/>
      <c r="BV109" s="107" t="s">
        <v>2353</v>
      </c>
      <c r="BW109" s="107"/>
    </row>
    <row r="110" spans="3:76" x14ac:dyDescent="0.3">
      <c r="C110" s="1">
        <v>22.78</v>
      </c>
      <c r="D110" s="1">
        <v>3.18</v>
      </c>
      <c r="E110" s="1">
        <v>47.11</v>
      </c>
      <c r="F110" s="1">
        <v>253.91</v>
      </c>
      <c r="G110" s="1">
        <v>890.02</v>
      </c>
      <c r="H110" s="1">
        <v>26.29</v>
      </c>
      <c r="I110" s="1">
        <v>91.82</v>
      </c>
      <c r="J110" s="1">
        <v>104.51</v>
      </c>
      <c r="K110" s="1">
        <v>265.5</v>
      </c>
      <c r="L110" s="1">
        <v>166.3</v>
      </c>
      <c r="M110" s="1">
        <v>19.28</v>
      </c>
      <c r="O110" s="1">
        <v>19.797999999999998</v>
      </c>
      <c r="P110" s="1">
        <v>1.1069501969895952</v>
      </c>
      <c r="Q110" s="1">
        <v>0.14050914233760989</v>
      </c>
      <c r="R110" s="1">
        <v>0.74099999999999999</v>
      </c>
      <c r="T110" s="28">
        <v>22.78</v>
      </c>
      <c r="U110" s="29">
        <f t="shared" si="36"/>
        <v>0.44681907263359949</v>
      </c>
      <c r="V110" s="28">
        <v>47.11</v>
      </c>
      <c r="W110" s="28">
        <v>253.91</v>
      </c>
      <c r="X110" s="28">
        <v>890.02</v>
      </c>
      <c r="Y110" s="29">
        <f t="shared" si="37"/>
        <v>29.129349428854908</v>
      </c>
      <c r="Z110" s="29">
        <f t="shared" si="38"/>
        <v>101.64016708758462</v>
      </c>
      <c r="AA110" s="29">
        <f t="shared" si="39"/>
        <v>77.441910000000007</v>
      </c>
      <c r="AB110" s="29">
        <f t="shared" si="40"/>
        <v>293.89527730073752</v>
      </c>
      <c r="AC110" s="29">
        <f t="shared" si="41"/>
        <v>8.3998383675118706</v>
      </c>
      <c r="AD110" s="29">
        <f t="shared" si="42"/>
        <v>21.341999797959396</v>
      </c>
      <c r="AF110">
        <f t="shared" si="43"/>
        <v>-1.7528483786152238E-3</v>
      </c>
      <c r="AG110">
        <f t="shared" si="44"/>
        <v>-5.807506388459327E-2</v>
      </c>
      <c r="AH110">
        <f t="shared" si="45"/>
        <v>4.2471862391146864E-4</v>
      </c>
      <c r="AI110">
        <f t="shared" si="46"/>
        <v>6.3015218769815196E-3</v>
      </c>
      <c r="AJ110">
        <f t="shared" si="47"/>
        <v>1.3032541516327489E-2</v>
      </c>
      <c r="AK110">
        <f t="shared" si="48"/>
        <v>4.9219595274774264E-3</v>
      </c>
      <c r="AL110">
        <f t="shared" si="49"/>
        <v>-1.0005286958395865E-2</v>
      </c>
      <c r="AM110">
        <f t="shared" si="50"/>
        <v>-9.5281705034737652E-3</v>
      </c>
      <c r="AN110">
        <f t="shared" si="51"/>
        <v>-6.9330691068324457E-3</v>
      </c>
      <c r="AO110">
        <f t="shared" si="52"/>
        <v>-2.198710450924235E-3</v>
      </c>
      <c r="AP110">
        <f t="shared" si="53"/>
        <v>8.2027327850449083E-3</v>
      </c>
      <c r="AS110" s="8">
        <f t="shared" si="56"/>
        <v>0.65000000000000024</v>
      </c>
      <c r="AT110" s="57" cm="1">
        <f t="array" ref="AT110:BD110">TRANSPOSE(Port_R(V,M,AS110))</f>
        <v>7.5406269611657417E-2</v>
      </c>
      <c r="AU110" s="57">
        <v>7.525965729638423E-2</v>
      </c>
      <c r="AV110" s="57">
        <v>0.18848401172496909</v>
      </c>
      <c r="AW110" s="57">
        <v>-0.17460065563571675</v>
      </c>
      <c r="AX110" s="57">
        <v>-8.41296068693832E-2</v>
      </c>
      <c r="AY110" s="57">
        <v>0.60673808636653481</v>
      </c>
      <c r="AZ110" s="57">
        <v>0.44599457657477543</v>
      </c>
      <c r="BA110" s="57">
        <v>5.1072002272412598E-2</v>
      </c>
      <c r="BB110" s="57">
        <v>-0.10599100187951876</v>
      </c>
      <c r="BC110" s="57">
        <v>-0.55122442441398911</v>
      </c>
      <c r="BD110" s="57">
        <v>0.47299108495187592</v>
      </c>
      <c r="BE110" s="14" cm="1">
        <f t="array" ref="BE110">SQRT(MMULT(_xlfn.ANCHORARRAY(AT110),MMULT(V,TRANSPOSE(_xlfn.ANCHORARRAY(AT110)))))</f>
        <v>0.26559709840756757</v>
      </c>
      <c r="BF110" s="14" cm="1">
        <f t="array" ref="BF110">MMULT(_xlfn.ANCHORARRAY(AT110),M)</f>
        <v>0.65000000000000036</v>
      </c>
      <c r="BH110" s="8">
        <f t="shared" si="58"/>
        <v>0.19999999999999998</v>
      </c>
      <c r="BI110" s="71">
        <f t="shared" si="57"/>
        <v>0.68379853368905885</v>
      </c>
      <c r="BK110" s="97" t="s">
        <v>2355</v>
      </c>
      <c r="BN110" s="105">
        <f>BM111-BP111+BN132</f>
        <v>383.30315838143542</v>
      </c>
      <c r="BO110" s="106"/>
      <c r="BS110" s="98" t="s">
        <v>2356</v>
      </c>
      <c r="BV110" s="105">
        <f>BU111-BX111+BV132</f>
        <v>578.8454836967785</v>
      </c>
      <c r="BW110" s="106"/>
    </row>
    <row r="111" spans="3:76" x14ac:dyDescent="0.3">
      <c r="C111" s="1">
        <v>22.6</v>
      </c>
      <c r="D111" s="1">
        <v>3.12</v>
      </c>
      <c r="E111" s="1">
        <v>47.51</v>
      </c>
      <c r="F111" s="1">
        <v>249.54</v>
      </c>
      <c r="G111" s="1">
        <v>885.98</v>
      </c>
      <c r="H111" s="1">
        <v>26.02</v>
      </c>
      <c r="I111" s="1">
        <v>90.86</v>
      </c>
      <c r="J111" s="1">
        <v>103.64</v>
      </c>
      <c r="K111" s="1">
        <v>267.5</v>
      </c>
      <c r="L111" s="1">
        <v>170.44</v>
      </c>
      <c r="M111" s="1">
        <v>19.445</v>
      </c>
      <c r="O111" s="1">
        <v>19.833500000000001</v>
      </c>
      <c r="P111" s="1">
        <v>1.1036024907353719</v>
      </c>
      <c r="Q111" s="1">
        <v>0.14032823253586102</v>
      </c>
      <c r="R111" s="1">
        <v>0.74099999999999999</v>
      </c>
      <c r="T111" s="28">
        <v>22.6</v>
      </c>
      <c r="U111" s="29">
        <f t="shared" si="36"/>
        <v>0.4378240855118864</v>
      </c>
      <c r="V111" s="28">
        <v>47.51</v>
      </c>
      <c r="W111" s="28">
        <v>249.54</v>
      </c>
      <c r="X111" s="28">
        <v>885.98</v>
      </c>
      <c r="Y111" s="29">
        <f t="shared" si="37"/>
        <v>28.802844125669267</v>
      </c>
      <c r="Z111" s="29">
        <f t="shared" si="38"/>
        <v>100.27332230821588</v>
      </c>
      <c r="AA111" s="29">
        <f t="shared" si="39"/>
        <v>76.797240000000002</v>
      </c>
      <c r="AB111" s="29">
        <f t="shared" si="40"/>
        <v>295.21366627171199</v>
      </c>
      <c r="AC111" s="29">
        <f t="shared" si="41"/>
        <v>8.5935412307459593</v>
      </c>
      <c r="AD111" s="29">
        <f t="shared" si="42"/>
        <v>21.459550432349307</v>
      </c>
      <c r="AF111">
        <f t="shared" si="43"/>
        <v>-7.9016681299385327E-3</v>
      </c>
      <c r="AG111">
        <f t="shared" si="44"/>
        <v>-2.0131161968301114E-2</v>
      </c>
      <c r="AH111">
        <f t="shared" si="45"/>
        <v>8.490766291657792E-3</v>
      </c>
      <c r="AI111">
        <f t="shared" si="46"/>
        <v>-1.7210822732464326E-2</v>
      </c>
      <c r="AJ111">
        <f t="shared" si="47"/>
        <v>-4.5392238376665839E-3</v>
      </c>
      <c r="AK111">
        <f t="shared" si="48"/>
        <v>-1.1208808627295008E-2</v>
      </c>
      <c r="AL111">
        <f t="shared" si="49"/>
        <v>-1.3447880090465714E-2</v>
      </c>
      <c r="AM111">
        <f t="shared" si="50"/>
        <v>-8.3245622428476107E-3</v>
      </c>
      <c r="AN111">
        <f t="shared" si="51"/>
        <v>4.4859141088728904E-3</v>
      </c>
      <c r="AO111">
        <f t="shared" si="52"/>
        <v>2.3060308396322782E-2</v>
      </c>
      <c r="AP111">
        <f t="shared" si="53"/>
        <v>5.5079484351392427E-3</v>
      </c>
      <c r="AS111" s="8">
        <f t="shared" si="56"/>
        <v>0.67500000000000027</v>
      </c>
      <c r="AT111" s="57" cm="1">
        <f t="array" ref="AT111:BD111">TRANSPOSE(Port_R(V,M,AS111))</f>
        <v>7.6321914034280014E-2</v>
      </c>
      <c r="AU111" s="57">
        <v>7.933170932828959E-2</v>
      </c>
      <c r="AV111" s="57">
        <v>0.1825289054678727</v>
      </c>
      <c r="AW111" s="57">
        <v>-0.19389008647337186</v>
      </c>
      <c r="AX111" s="57">
        <v>-9.6722287153918618E-2</v>
      </c>
      <c r="AY111" s="57">
        <v>0.6393524940799904</v>
      </c>
      <c r="AZ111" s="57">
        <v>0.47864694901525473</v>
      </c>
      <c r="BA111" s="57">
        <v>5.3039364474177425E-2</v>
      </c>
      <c r="BB111" s="57">
        <v>-0.11604882126666058</v>
      </c>
      <c r="BC111" s="57">
        <v>-0.59977914978662561</v>
      </c>
      <c r="BD111" s="57">
        <v>0.49721900828071375</v>
      </c>
      <c r="BE111" s="14" cm="1">
        <f t="array" ref="BE111">SQRT(MMULT(_xlfn.ANCHORARRAY(AT111),MMULT(V,TRANSPOSE(_xlfn.ANCHORARRAY(AT111)))))</f>
        <v>0.28448984716958886</v>
      </c>
      <c r="BF111" s="14" cm="1">
        <f t="array" ref="BF111">MMULT(_xlfn.ANCHORARRAY(AT111),M)</f>
        <v>0.67500000000000027</v>
      </c>
      <c r="BH111" s="8">
        <f t="shared" si="58"/>
        <v>0.22499999999999998</v>
      </c>
      <c r="BI111" s="71">
        <f t="shared" si="57"/>
        <v>0.75686085040019124</v>
      </c>
      <c r="BM111" s="96">
        <f>SUM(BM113:BM123)</f>
        <v>43467.843978093355</v>
      </c>
      <c r="BP111" s="95">
        <f>SUM(BP113:BP123)</f>
        <v>43080.992802791196</v>
      </c>
      <c r="BU111" s="96">
        <f>SUM(BU113:BU123)</f>
        <v>46619.873990890927</v>
      </c>
      <c r="BX111" s="95">
        <f>SUM(BX113:BX123)</f>
        <v>46036.197089836227</v>
      </c>
    </row>
    <row r="112" spans="3:76" x14ac:dyDescent="0.3">
      <c r="C112" s="1">
        <v>22.82</v>
      </c>
      <c r="D112" s="1">
        <v>3.24</v>
      </c>
      <c r="E112" s="1">
        <v>47.15</v>
      </c>
      <c r="F112" s="1">
        <v>248.69</v>
      </c>
      <c r="G112" s="1">
        <v>876.68</v>
      </c>
      <c r="H112" s="1">
        <v>26.23</v>
      </c>
      <c r="I112" s="1">
        <v>91.96</v>
      </c>
      <c r="J112" s="1">
        <v>104.22</v>
      </c>
      <c r="K112" s="1">
        <v>270.3</v>
      </c>
      <c r="L112" s="1">
        <v>173.42</v>
      </c>
      <c r="M112" s="1">
        <v>19.504999999999999</v>
      </c>
      <c r="O112" s="1">
        <v>19.846</v>
      </c>
      <c r="P112" s="1">
        <v>1.1053008162853977</v>
      </c>
      <c r="Q112" s="1">
        <v>0.14044643756928349</v>
      </c>
      <c r="R112" s="1">
        <v>0.7379</v>
      </c>
      <c r="T112" s="28">
        <v>22.82</v>
      </c>
      <c r="U112" s="29">
        <f t="shared" si="36"/>
        <v>0.45504645772447855</v>
      </c>
      <c r="V112" s="28">
        <v>47.15</v>
      </c>
      <c r="W112" s="28">
        <v>248.69</v>
      </c>
      <c r="X112" s="28">
        <v>876.68</v>
      </c>
      <c r="Y112" s="29">
        <f t="shared" si="37"/>
        <v>28.947493331988806</v>
      </c>
      <c r="Z112" s="29">
        <f t="shared" si="38"/>
        <v>101.64346306560516</v>
      </c>
      <c r="AA112" s="29">
        <f t="shared" si="39"/>
        <v>76.903937999999997</v>
      </c>
      <c r="AB112" s="29">
        <f t="shared" si="40"/>
        <v>298.76281064194302</v>
      </c>
      <c r="AC112" s="29">
        <f t="shared" si="41"/>
        <v>8.73828479290537</v>
      </c>
      <c r="AD112" s="29">
        <f t="shared" si="42"/>
        <v>21.558892421646682</v>
      </c>
      <c r="AF112">
        <f t="shared" si="43"/>
        <v>9.7345132743362761E-3</v>
      </c>
      <c r="AG112">
        <f t="shared" si="44"/>
        <v>3.9336283184275844E-2</v>
      </c>
      <c r="AH112">
        <f t="shared" si="45"/>
        <v>-7.5773521363923235E-3</v>
      </c>
      <c r="AI112">
        <f t="shared" si="46"/>
        <v>-3.4062675322593661E-3</v>
      </c>
      <c r="AJ112">
        <f t="shared" si="47"/>
        <v>-1.049685094471664E-2</v>
      </c>
      <c r="AK112">
        <f t="shared" si="48"/>
        <v>5.0220459371450588E-3</v>
      </c>
      <c r="AL112">
        <f t="shared" si="49"/>
        <v>1.3664060647933907E-2</v>
      </c>
      <c r="AM112">
        <f t="shared" si="50"/>
        <v>1.3893468046506374E-3</v>
      </c>
      <c r="AN112">
        <f t="shared" si="51"/>
        <v>1.2022290211200604E-2</v>
      </c>
      <c r="AO112">
        <f t="shared" si="52"/>
        <v>1.6843296409813746E-2</v>
      </c>
      <c r="AP112">
        <f t="shared" si="53"/>
        <v>4.6292670301062433E-3</v>
      </c>
      <c r="AS112" s="8">
        <f t="shared" si="56"/>
        <v>0.70000000000000029</v>
      </c>
      <c r="AT112" s="57" cm="1">
        <f t="array" ref="AT112:BD112">TRANSPOSE(Port_R(V,M,AS112))</f>
        <v>7.7237558456902722E-2</v>
      </c>
      <c r="AU112" s="57">
        <v>8.3403761360195033E-2</v>
      </c>
      <c r="AV112" s="57">
        <v>0.17657379921077654</v>
      </c>
      <c r="AW112" s="57">
        <v>-0.21317951731102708</v>
      </c>
      <c r="AX112" s="57">
        <v>-0.10931496743845404</v>
      </c>
      <c r="AY112" s="57">
        <v>0.6719669017934462</v>
      </c>
      <c r="AZ112" s="57">
        <v>0.51129932145573398</v>
      </c>
      <c r="BA112" s="57">
        <v>5.5006726675942252E-2</v>
      </c>
      <c r="BB112" s="57">
        <v>-0.12610664065380239</v>
      </c>
      <c r="BC112" s="57">
        <v>-0.64833387515926222</v>
      </c>
      <c r="BD112" s="57">
        <v>0.52144693160955091</v>
      </c>
      <c r="BE112" s="14" cm="1">
        <f t="array" ref="BE112">SQRT(MMULT(_xlfn.ANCHORARRAY(AT112),MMULT(V,TRANSPOSE(_xlfn.ANCHORARRAY(AT112)))))</f>
        <v>0.30352117334894774</v>
      </c>
      <c r="BF112" s="14" cm="1">
        <f t="array" ref="BF112">MMULT(_xlfn.ANCHORARRAY(AT112),M)</f>
        <v>0.70000000000000029</v>
      </c>
      <c r="BH112" s="8">
        <f t="shared" si="58"/>
        <v>0.24999999999999997</v>
      </c>
      <c r="BI112" s="71">
        <f t="shared" si="57"/>
        <v>0.82992316711132341</v>
      </c>
      <c r="BK112" s="28" t="s">
        <v>2346</v>
      </c>
      <c r="BL112" s="28" t="s">
        <v>2309</v>
      </c>
      <c r="BM112" s="94" t="s">
        <v>2349</v>
      </c>
      <c r="BN112" s="94" t="s">
        <v>2350</v>
      </c>
      <c r="BO112" s="94" t="s">
        <v>2351</v>
      </c>
      <c r="BP112" s="94" t="s">
        <v>2352</v>
      </c>
      <c r="BS112" s="28" t="s">
        <v>2346</v>
      </c>
      <c r="BT112" s="28" t="s">
        <v>2309</v>
      </c>
      <c r="BU112" s="94" t="s">
        <v>2349</v>
      </c>
      <c r="BV112" s="94" t="s">
        <v>2350</v>
      </c>
      <c r="BW112" s="94" t="s">
        <v>2351</v>
      </c>
      <c r="BX112" s="94" t="s">
        <v>2352</v>
      </c>
    </row>
    <row r="113" spans="3:78" x14ac:dyDescent="0.3">
      <c r="C113" s="1">
        <v>22.08</v>
      </c>
      <c r="D113" s="1">
        <v>3.28</v>
      </c>
      <c r="E113" s="1">
        <v>47.35</v>
      </c>
      <c r="F113" s="1">
        <v>251.31</v>
      </c>
      <c r="G113" s="1">
        <v>896.49</v>
      </c>
      <c r="H113" s="1">
        <v>26.11</v>
      </c>
      <c r="I113" s="1">
        <v>90.68</v>
      </c>
      <c r="J113" s="1">
        <v>105.71</v>
      </c>
      <c r="K113" s="1">
        <v>272.7</v>
      </c>
      <c r="L113" s="1">
        <v>172.42</v>
      </c>
      <c r="M113" s="1">
        <v>19.690000000000001</v>
      </c>
      <c r="O113" s="1">
        <v>20.002800000000001</v>
      </c>
      <c r="P113" s="1">
        <v>1.1099496070550123</v>
      </c>
      <c r="Q113" s="1">
        <v>0.14090527326174335</v>
      </c>
      <c r="R113" s="1">
        <v>0.74039999999999995</v>
      </c>
      <c r="T113" s="28">
        <v>22.08</v>
      </c>
      <c r="U113" s="29">
        <f t="shared" si="36"/>
        <v>0.46216929629851816</v>
      </c>
      <c r="V113" s="28">
        <v>47.35</v>
      </c>
      <c r="W113" s="28">
        <v>251.31</v>
      </c>
      <c r="X113" s="28">
        <v>896.49</v>
      </c>
      <c r="Y113" s="29">
        <f t="shared" si="37"/>
        <v>28.859404313211733</v>
      </c>
      <c r="Z113" s="29">
        <f t="shared" si="38"/>
        <v>100.65023036774852</v>
      </c>
      <c r="AA113" s="29">
        <f t="shared" si="39"/>
        <v>78.267683999999988</v>
      </c>
      <c r="AB113" s="29">
        <f t="shared" si="40"/>
        <v>302.68325784390186</v>
      </c>
      <c r="AC113" s="29">
        <f t="shared" si="41"/>
        <v>8.6197932289479464</v>
      </c>
      <c r="AD113" s="29">
        <f t="shared" si="42"/>
        <v>21.854907762913193</v>
      </c>
      <c r="AF113">
        <f t="shared" si="43"/>
        <v>-3.2427695004382251E-2</v>
      </c>
      <c r="AG113">
        <f t="shared" si="44"/>
        <v>1.5652992025601886E-2</v>
      </c>
      <c r="AH113">
        <f t="shared" si="45"/>
        <v>4.2417815482502785E-3</v>
      </c>
      <c r="AI113">
        <f t="shared" si="46"/>
        <v>1.0535204471430415E-2</v>
      </c>
      <c r="AJ113">
        <f t="shared" si="47"/>
        <v>2.2596614500159706E-2</v>
      </c>
      <c r="AK113">
        <f t="shared" si="48"/>
        <v>-3.0430620629845473E-3</v>
      </c>
      <c r="AL113">
        <f t="shared" si="49"/>
        <v>-9.7717321694910098E-3</v>
      </c>
      <c r="AM113">
        <f t="shared" si="50"/>
        <v>1.7733110104192429E-2</v>
      </c>
      <c r="AN113">
        <f t="shared" si="51"/>
        <v>1.3122273128757467E-2</v>
      </c>
      <c r="AO113">
        <f t="shared" si="52"/>
        <v>-1.3560048312184492E-2</v>
      </c>
      <c r="AP113">
        <f t="shared" si="53"/>
        <v>1.3730544940671052E-2</v>
      </c>
      <c r="AS113" s="8">
        <f t="shared" si="56"/>
        <v>0.72500000000000031</v>
      </c>
      <c r="AT113" s="57" cm="1">
        <f t="array" ref="AT113:BD113">TRANSPOSE(Port_R(V,M,AS113))</f>
        <v>7.8153202879525319E-2</v>
      </c>
      <c r="AU113" s="57">
        <v>8.7475813392100421E-2</v>
      </c>
      <c r="AV113" s="57">
        <v>0.17061869295367993</v>
      </c>
      <c r="AW113" s="57">
        <v>-0.23246894814868208</v>
      </c>
      <c r="AX113" s="57">
        <v>-0.12190764772298945</v>
      </c>
      <c r="AY113" s="57">
        <v>0.70458130950690201</v>
      </c>
      <c r="AZ113" s="57">
        <v>0.54395169389621334</v>
      </c>
      <c r="BA113" s="57">
        <v>5.6974088877707052E-2</v>
      </c>
      <c r="BB113" s="57">
        <v>-0.13616446004094418</v>
      </c>
      <c r="BC113" s="57">
        <v>-0.69688860053189861</v>
      </c>
      <c r="BD113" s="57">
        <v>0.54567485493838896</v>
      </c>
      <c r="BE113" s="14" cm="1">
        <f t="array" ref="BE113">SQRT(MMULT(_xlfn.ANCHORARRAY(AT113),MMULT(V,TRANSPOSE(_xlfn.ANCHORARRAY(AT113)))))</f>
        <v>0.32266655740587219</v>
      </c>
      <c r="BF113" s="14" cm="1">
        <f t="array" ref="BF113">MMULT(_xlfn.ANCHORARRAY(AT113),M)</f>
        <v>0.72500000000000064</v>
      </c>
      <c r="BH113" s="8">
        <f t="shared" si="58"/>
        <v>0.27499999999999997</v>
      </c>
      <c r="BI113" s="71">
        <f t="shared" si="57"/>
        <v>0.9029854838224558</v>
      </c>
      <c r="BK113" s="114" t="s">
        <v>755</v>
      </c>
      <c r="BL113" s="90">
        <f>$BM$105*AS66</f>
        <v>5.435784255299133E-2</v>
      </c>
      <c r="BM113" s="93">
        <f t="shared" ref="BM113:BM123" si="59">BL113*$BR$108</f>
        <v>2717.8921276495666</v>
      </c>
      <c r="BN113" s="99">
        <v>23.34</v>
      </c>
      <c r="BO113" s="117">
        <f>ROUNDDOWN(BM113/BN113,0)</f>
        <v>116</v>
      </c>
      <c r="BP113" s="99">
        <f>BN113*BO113</f>
        <v>2707.44</v>
      </c>
      <c r="BS113" s="110" t="s">
        <v>755</v>
      </c>
      <c r="BT113" s="90">
        <f>$BQ$105*AS66</f>
        <v>5.8299550617562076E-2</v>
      </c>
      <c r="BU113" s="93">
        <f>BT113*$BR$108</f>
        <v>2914.9775308781036</v>
      </c>
      <c r="BV113" s="99">
        <v>23.34</v>
      </c>
      <c r="BW113" s="113">
        <f>ROUNDDOWN(BU113/BV113,0)</f>
        <v>124</v>
      </c>
      <c r="BX113" s="99">
        <f>BV113*BW113</f>
        <v>2894.16</v>
      </c>
    </row>
    <row r="114" spans="3:78" x14ac:dyDescent="0.3">
      <c r="C114" s="1">
        <v>22.24</v>
      </c>
      <c r="D114" s="1">
        <v>3.23</v>
      </c>
      <c r="E114" s="1">
        <v>47.55</v>
      </c>
      <c r="F114" s="1">
        <v>249.13</v>
      </c>
      <c r="G114" s="1">
        <v>894.29</v>
      </c>
      <c r="H114" s="1">
        <v>26.26</v>
      </c>
      <c r="I114" s="1">
        <v>90.88</v>
      </c>
      <c r="J114" s="1">
        <v>104.65</v>
      </c>
      <c r="K114" s="1">
        <v>272.89999999999998</v>
      </c>
      <c r="L114" s="1">
        <v>171.31</v>
      </c>
      <c r="M114" s="1">
        <v>19.675000000000001</v>
      </c>
      <c r="O114" s="1">
        <v>20.017199999999999</v>
      </c>
      <c r="P114" s="1">
        <v>1.110749755210519</v>
      </c>
      <c r="Q114" s="1">
        <v>0.14121855204524109</v>
      </c>
      <c r="R114" s="1">
        <v>0.74050000000000005</v>
      </c>
      <c r="T114" s="28">
        <v>22.24</v>
      </c>
      <c r="U114" s="29">
        <f t="shared" si="36"/>
        <v>0.45613592310612872</v>
      </c>
      <c r="V114" s="28">
        <v>47.55</v>
      </c>
      <c r="W114" s="28">
        <v>249.13</v>
      </c>
      <c r="X114" s="28">
        <v>894.29</v>
      </c>
      <c r="Y114" s="29">
        <f t="shared" si="37"/>
        <v>29.147276681264625</v>
      </c>
      <c r="Z114" s="29">
        <f t="shared" si="38"/>
        <v>100.94493775353196</v>
      </c>
      <c r="AA114" s="29">
        <f t="shared" si="39"/>
        <v>77.493325000000013</v>
      </c>
      <c r="AB114" s="29">
        <f t="shared" si="40"/>
        <v>303.12360819695061</v>
      </c>
      <c r="AC114" s="29">
        <f t="shared" si="41"/>
        <v>8.5581399996003444</v>
      </c>
      <c r="AD114" s="29">
        <f t="shared" si="42"/>
        <v>21.85400143376696</v>
      </c>
      <c r="AF114">
        <f t="shared" si="43"/>
        <v>7.2463768115942351E-3</v>
      </c>
      <c r="AG114">
        <f t="shared" si="44"/>
        <v>-1.3054465627012291E-2</v>
      </c>
      <c r="AH114">
        <f t="shared" si="45"/>
        <v>4.2238648363250864E-3</v>
      </c>
      <c r="AI114">
        <f t="shared" si="46"/>
        <v>-8.6745453821973628E-3</v>
      </c>
      <c r="AJ114">
        <f t="shared" si="47"/>
        <v>-2.4540151033475288E-3</v>
      </c>
      <c r="AK114">
        <f t="shared" si="48"/>
        <v>9.9749934173487542E-3</v>
      </c>
      <c r="AL114">
        <f t="shared" si="49"/>
        <v>2.9280348858284899E-3</v>
      </c>
      <c r="AM114">
        <f t="shared" si="50"/>
        <v>-9.8937257425424363E-3</v>
      </c>
      <c r="AN114">
        <f t="shared" si="51"/>
        <v>1.4548222990113935E-3</v>
      </c>
      <c r="AO114">
        <f t="shared" si="52"/>
        <v>-7.1525183621053978E-3</v>
      </c>
      <c r="AP114">
        <f t="shared" si="53"/>
        <v>-4.1470280088273803E-5</v>
      </c>
      <c r="AS114" s="8">
        <f t="shared" si="56"/>
        <v>0.75000000000000033</v>
      </c>
      <c r="AT114" s="57" cm="1">
        <f t="array" ref="AT114:BD114">TRANSPOSE(Port_R(V,M,AS114))</f>
        <v>7.9068847302147915E-2</v>
      </c>
      <c r="AU114" s="57">
        <v>9.1547865424005809E-2</v>
      </c>
      <c r="AV114" s="57">
        <v>0.16466358669658332</v>
      </c>
      <c r="AW114" s="57">
        <v>-0.25175837898633729</v>
      </c>
      <c r="AX114" s="57">
        <v>-0.13450032800752487</v>
      </c>
      <c r="AY114" s="57">
        <v>0.73719571722035759</v>
      </c>
      <c r="AZ114" s="57">
        <v>0.5766040663366927</v>
      </c>
      <c r="BA114" s="57">
        <v>5.8941451079471907E-2</v>
      </c>
      <c r="BB114" s="57">
        <v>-0.14622227942808602</v>
      </c>
      <c r="BC114" s="57">
        <v>-0.74544332590453521</v>
      </c>
      <c r="BD114" s="57">
        <v>0.56990277826722635</v>
      </c>
      <c r="BE114" s="14" cm="1">
        <f t="array" ref="BE114">SQRT(MMULT(_xlfn.ANCHORARRAY(AT114),MMULT(V,TRANSPOSE(_xlfn.ANCHORARRAY(AT114)))))</f>
        <v>0.34190683955381929</v>
      </c>
      <c r="BF114" s="14" cm="1">
        <f t="array" ref="BF114">MMULT(_xlfn.ANCHORARRAY(AT114),M)</f>
        <v>0.75000000000000044</v>
      </c>
      <c r="BH114" s="8">
        <f t="shared" si="58"/>
        <v>0.3</v>
      </c>
      <c r="BI114" s="71">
        <f t="shared" si="57"/>
        <v>0.97604780053358819</v>
      </c>
      <c r="BK114" s="115">
        <v>603336</v>
      </c>
      <c r="BL114" s="90">
        <f t="shared" ref="BL114:BL123" si="60">$BM$105*AS67</f>
        <v>2.7281377545166016E-2</v>
      </c>
      <c r="BM114" s="93">
        <f t="shared" si="59"/>
        <v>1364.0688772583007</v>
      </c>
      <c r="BN114" s="99">
        <v>0.71937856689917556</v>
      </c>
      <c r="BO114" s="117">
        <f>ROUNDDOWN(BM114/BN114,0)</f>
        <v>1896</v>
      </c>
      <c r="BP114" s="99">
        <f t="shared" ref="BP114:BP123" si="61">BN114*BO114</f>
        <v>1363.9417628408369</v>
      </c>
      <c r="BS114" s="111">
        <v>603336</v>
      </c>
      <c r="BT114" s="90">
        <f t="shared" ref="BT114:BT123" si="62">$BQ$105*AS67</f>
        <v>2.9259661097857576E-2</v>
      </c>
      <c r="BU114" s="93">
        <f t="shared" ref="BU114:BU123" si="63">BT114*$BR$108</f>
        <v>1462.9830548928787</v>
      </c>
      <c r="BV114" s="99">
        <v>0.71937856689917556</v>
      </c>
      <c r="BW114" s="113">
        <f>ROUNDDOWN(BU114/BV114,0)</f>
        <v>2033</v>
      </c>
      <c r="BX114" s="99">
        <f t="shared" ref="BX114:BX123" si="64">BV114*BW114</f>
        <v>1462.4966265060239</v>
      </c>
    </row>
    <row r="115" spans="3:78" x14ac:dyDescent="0.3">
      <c r="C115" s="1">
        <v>22.11</v>
      </c>
      <c r="D115" s="1">
        <v>3.19</v>
      </c>
      <c r="E115" s="1">
        <v>47.48</v>
      </c>
      <c r="F115" s="1">
        <v>249.59</v>
      </c>
      <c r="G115" s="1">
        <v>900.4</v>
      </c>
      <c r="H115" s="1">
        <v>26.57</v>
      </c>
      <c r="I115" s="1">
        <v>92.3</v>
      </c>
      <c r="J115" s="1">
        <v>105.34</v>
      </c>
      <c r="K115" s="1">
        <v>275.39999999999998</v>
      </c>
      <c r="L115" s="1">
        <v>169.39</v>
      </c>
      <c r="M115" s="1">
        <v>19.72</v>
      </c>
      <c r="O115" s="1">
        <v>19.879799999999999</v>
      </c>
      <c r="P115" s="1">
        <v>1.1042012495095523</v>
      </c>
      <c r="Q115" s="1">
        <v>0.14036358514673186</v>
      </c>
      <c r="R115" s="1">
        <v>0.73650000000000004</v>
      </c>
      <c r="T115" s="28">
        <v>22.11</v>
      </c>
      <c r="U115" s="29">
        <f t="shared" si="36"/>
        <v>0.44775983661807461</v>
      </c>
      <c r="V115" s="28">
        <v>47.48</v>
      </c>
      <c r="W115" s="28">
        <v>249.59</v>
      </c>
      <c r="X115" s="28">
        <v>900.4</v>
      </c>
      <c r="Y115" s="29">
        <f t="shared" si="37"/>
        <v>29.51262099594349</v>
      </c>
      <c r="Z115" s="29">
        <f t="shared" si="38"/>
        <v>101.91777532973168</v>
      </c>
      <c r="AA115" s="29">
        <f t="shared" si="39"/>
        <v>77.582910000000012</v>
      </c>
      <c r="AB115" s="29">
        <f t="shared" si="40"/>
        <v>304.09702411493066</v>
      </c>
      <c r="AC115" s="29">
        <f t="shared" si="41"/>
        <v>8.5207094638779051</v>
      </c>
      <c r="AD115" s="29">
        <f t="shared" si="42"/>
        <v>21.774848640328372</v>
      </c>
      <c r="AF115">
        <f t="shared" si="43"/>
        <v>-5.8453237410071024E-3</v>
      </c>
      <c r="AG115">
        <f t="shared" si="44"/>
        <v>-1.8363137090838699E-2</v>
      </c>
      <c r="AH115">
        <f t="shared" si="45"/>
        <v>-1.4721345951630438E-3</v>
      </c>
      <c r="AI115">
        <f t="shared" si="46"/>
        <v>1.8464255609520475E-3</v>
      </c>
      <c r="AJ115">
        <f t="shared" si="47"/>
        <v>6.8322356282637386E-3</v>
      </c>
      <c r="AK115">
        <f t="shared" si="48"/>
        <v>1.2534423667570405E-2</v>
      </c>
      <c r="AL115">
        <f t="shared" si="49"/>
        <v>9.6373091890453733E-3</v>
      </c>
      <c r="AM115">
        <f t="shared" si="50"/>
        <v>1.1560350520511964E-3</v>
      </c>
      <c r="AN115">
        <f t="shared" si="51"/>
        <v>3.2112837524274074E-3</v>
      </c>
      <c r="AO115">
        <f t="shared" si="52"/>
        <v>-4.3736764909416692E-3</v>
      </c>
      <c r="AP115">
        <f t="shared" si="53"/>
        <v>-3.621890191527477E-3</v>
      </c>
      <c r="AS115" s="8">
        <f t="shared" si="56"/>
        <v>0.77500000000000036</v>
      </c>
      <c r="AT115" s="57" cm="1">
        <f t="array" ref="AT115:BD115">TRANSPOSE(Port_R(V,M,AS115))</f>
        <v>7.9984491724770512E-2</v>
      </c>
      <c r="AU115" s="57">
        <v>9.5619917455911196E-2</v>
      </c>
      <c r="AV115" s="57">
        <v>0.15870848043948671</v>
      </c>
      <c r="AW115" s="57">
        <v>-0.27104780982399246</v>
      </c>
      <c r="AX115" s="57">
        <v>-0.14709300829206018</v>
      </c>
      <c r="AY115" s="57">
        <v>0.76981012493381362</v>
      </c>
      <c r="AZ115" s="57">
        <v>0.60925643877717206</v>
      </c>
      <c r="BA115" s="57">
        <v>6.0908813281236707E-2</v>
      </c>
      <c r="BB115" s="57">
        <v>-0.15628009881522784</v>
      </c>
      <c r="BC115" s="57">
        <v>-0.7939980512771716</v>
      </c>
      <c r="BD115" s="57">
        <v>0.59413070159606374</v>
      </c>
      <c r="BE115" s="14" cm="1">
        <f t="array" ref="BE115">SQRT(MMULT(_xlfn.ANCHORARRAY(AT115),MMULT(V,TRANSPOSE(_xlfn.ANCHORARRAY(AT115)))))</f>
        <v>0.3612268562381461</v>
      </c>
      <c r="BF115" s="14" cm="1">
        <f t="array" ref="BF115">MMULT(_xlfn.ANCHORARRAY(AT115),M)</f>
        <v>0.77500000000000036</v>
      </c>
      <c r="BH115" s="8">
        <f t="shared" si="58"/>
        <v>0.32500000000000001</v>
      </c>
      <c r="BI115" s="71">
        <f t="shared" si="57"/>
        <v>1.0491101172447206</v>
      </c>
      <c r="BK115" s="114" t="s">
        <v>1169</v>
      </c>
      <c r="BL115" s="90">
        <f t="shared" si="60"/>
        <v>0.20090868770419068</v>
      </c>
      <c r="BM115" s="93">
        <f t="shared" si="59"/>
        <v>10045.434385209534</v>
      </c>
      <c r="BN115" s="99">
        <v>57.26</v>
      </c>
      <c r="BO115" s="117">
        <f t="shared" ref="BO115:BO123" si="65">ROUNDDOWN(BM115/BN115,0)</f>
        <v>175</v>
      </c>
      <c r="BP115" s="99">
        <f t="shared" si="61"/>
        <v>10020.5</v>
      </c>
      <c r="BS115" s="110" t="s">
        <v>1169</v>
      </c>
      <c r="BT115" s="90">
        <f t="shared" si="62"/>
        <v>0.21547739310845537</v>
      </c>
      <c r="BU115" s="93">
        <f t="shared" si="63"/>
        <v>10773.869655422768</v>
      </c>
      <c r="BV115" s="99">
        <v>57.26</v>
      </c>
      <c r="BW115" s="113">
        <f t="shared" ref="BW115:BW123" si="66">ROUNDDOWN(BU115/BV115,0)</f>
        <v>188</v>
      </c>
      <c r="BX115" s="99">
        <f t="shared" si="64"/>
        <v>10764.88</v>
      </c>
    </row>
    <row r="116" spans="3:78" x14ac:dyDescent="0.3">
      <c r="C116" s="1">
        <v>22.5</v>
      </c>
      <c r="D116" s="1">
        <v>3.27</v>
      </c>
      <c r="E116" s="1">
        <v>48.32</v>
      </c>
      <c r="F116" s="1">
        <v>249.48</v>
      </c>
      <c r="G116" s="1">
        <v>915.03</v>
      </c>
      <c r="H116" s="1">
        <v>26.82</v>
      </c>
      <c r="I116" s="1">
        <v>93.08</v>
      </c>
      <c r="J116" s="1">
        <v>106.04</v>
      </c>
      <c r="K116" s="1">
        <v>279.2</v>
      </c>
      <c r="L116" s="1">
        <v>167.9</v>
      </c>
      <c r="M116" s="1">
        <v>19.88</v>
      </c>
      <c r="O116" s="1">
        <v>20.058299999999999</v>
      </c>
      <c r="P116" s="1">
        <v>1.1040516893256158</v>
      </c>
      <c r="Q116" s="1">
        <v>0.14031099345408135</v>
      </c>
      <c r="R116" s="1">
        <v>0.73750000000000004</v>
      </c>
      <c r="T116" s="28">
        <v>22.5</v>
      </c>
      <c r="U116" s="29">
        <f t="shared" si="36"/>
        <v>0.45881694859484601</v>
      </c>
      <c r="V116" s="28">
        <v>48.32</v>
      </c>
      <c r="W116" s="28">
        <v>249.48</v>
      </c>
      <c r="X116" s="28">
        <v>915.03</v>
      </c>
      <c r="Y116" s="29">
        <f t="shared" si="37"/>
        <v>29.614677511846192</v>
      </c>
      <c r="Z116" s="29">
        <f t="shared" si="38"/>
        <v>102.76513124242832</v>
      </c>
      <c r="AA116" s="29">
        <f t="shared" si="39"/>
        <v>78.20450000000001</v>
      </c>
      <c r="AB116" s="29">
        <f t="shared" si="40"/>
        <v>308.25123165971195</v>
      </c>
      <c r="AC116" s="29">
        <f t="shared" si="41"/>
        <v>8.3705997018690521</v>
      </c>
      <c r="AD116" s="29">
        <f t="shared" si="42"/>
        <v>21.948547583793243</v>
      </c>
      <c r="AF116">
        <f t="shared" si="43"/>
        <v>1.7639077340569909E-2</v>
      </c>
      <c r="AG116">
        <f t="shared" si="44"/>
        <v>2.4694291610175778E-2</v>
      </c>
      <c r="AH116">
        <f t="shared" si="45"/>
        <v>1.7691659646166924E-2</v>
      </c>
      <c r="AI116">
        <f t="shared" si="46"/>
        <v>-4.4072278536810838E-4</v>
      </c>
      <c r="AJ116">
        <f t="shared" si="47"/>
        <v>1.624833407374493E-2</v>
      </c>
      <c r="AK116">
        <f t="shared" si="48"/>
        <v>3.4580634473884153E-3</v>
      </c>
      <c r="AL116">
        <f t="shared" si="49"/>
        <v>8.314113116727917E-3</v>
      </c>
      <c r="AM116">
        <f t="shared" si="50"/>
        <v>8.0119448986897268E-3</v>
      </c>
      <c r="AN116">
        <f t="shared" si="51"/>
        <v>1.3660796441109735E-2</v>
      </c>
      <c r="AO116">
        <f t="shared" si="52"/>
        <v>-1.7617049688786746E-2</v>
      </c>
      <c r="AP116">
        <f t="shared" si="53"/>
        <v>7.9770448159703911E-3</v>
      </c>
      <c r="AS116" s="8">
        <f t="shared" si="56"/>
        <v>0.80000000000000038</v>
      </c>
      <c r="AT116" s="57" cm="1">
        <f t="array" ref="AT116:BD116">TRANSPOSE(Port_R(V,M,AS116))</f>
        <v>8.0900136147393109E-2</v>
      </c>
      <c r="AU116" s="57">
        <v>9.9691969487816556E-2</v>
      </c>
      <c r="AV116" s="57">
        <v>0.1527533741823901</v>
      </c>
      <c r="AW116" s="57">
        <v>-0.29033724066164751</v>
      </c>
      <c r="AX116" s="57">
        <v>-0.1596856885765956</v>
      </c>
      <c r="AY116" s="57">
        <v>0.80242453264726965</v>
      </c>
      <c r="AZ116" s="57">
        <v>0.64190881121765142</v>
      </c>
      <c r="BA116" s="57">
        <v>6.2876175483001506E-2</v>
      </c>
      <c r="BB116" s="57">
        <v>-0.16633791820236959</v>
      </c>
      <c r="BC116" s="57">
        <v>-0.84255277664980799</v>
      </c>
      <c r="BD116" s="57">
        <v>0.61835862492490135</v>
      </c>
      <c r="BE116" s="14" cm="1">
        <f t="array" ref="BE116">SQRT(MMULT(_xlfn.ANCHORARRAY(AT116),MMULT(V,TRANSPOSE(_xlfn.ANCHORARRAY(AT116)))))</f>
        <v>0.38061446566072143</v>
      </c>
      <c r="BF116" s="14" cm="1">
        <f t="array" ref="BF116">MMULT(_xlfn.ANCHORARRAY(AT116),M)</f>
        <v>0.80000000000000049</v>
      </c>
      <c r="BH116" s="8">
        <f t="shared" si="58"/>
        <v>0.35000000000000003</v>
      </c>
      <c r="BI116" s="71">
        <f t="shared" si="57"/>
        <v>1.122172433955853</v>
      </c>
      <c r="BK116" s="114" t="s">
        <v>756</v>
      </c>
      <c r="BL116" s="90">
        <f t="shared" si="60"/>
        <v>1.6681097176112023E-2</v>
      </c>
      <c r="BM116" s="93">
        <f t="shared" si="59"/>
        <v>834.05485880560116</v>
      </c>
      <c r="BN116" s="99">
        <v>257.64</v>
      </c>
      <c r="BO116" s="117">
        <f t="shared" si="65"/>
        <v>3</v>
      </c>
      <c r="BP116" s="99">
        <f t="shared" si="61"/>
        <v>772.92</v>
      </c>
      <c r="BS116" s="110" t="s">
        <v>756</v>
      </c>
      <c r="BT116" s="90">
        <f t="shared" si="62"/>
        <v>1.7890711321501808E-2</v>
      </c>
      <c r="BU116" s="93">
        <f t="shared" si="63"/>
        <v>894.5355660750904</v>
      </c>
      <c r="BV116" s="99">
        <v>257.64</v>
      </c>
      <c r="BW116" s="113">
        <f t="shared" si="66"/>
        <v>3</v>
      </c>
      <c r="BX116" s="99">
        <f t="shared" si="64"/>
        <v>772.92</v>
      </c>
    </row>
    <row r="117" spans="3:78" x14ac:dyDescent="0.3">
      <c r="C117" s="1">
        <v>22.4</v>
      </c>
      <c r="D117" s="1">
        <v>3.24</v>
      </c>
      <c r="E117" s="1">
        <v>48.8</v>
      </c>
      <c r="F117" s="1">
        <v>255.46</v>
      </c>
      <c r="G117" s="1">
        <v>916</v>
      </c>
      <c r="H117" s="1">
        <v>26.91</v>
      </c>
      <c r="I117" s="1">
        <v>93.76</v>
      </c>
      <c r="J117" s="1">
        <v>105.93</v>
      </c>
      <c r="K117" s="1">
        <v>276.39999999999998</v>
      </c>
      <c r="L117" s="1">
        <v>167.87</v>
      </c>
      <c r="M117" s="1">
        <v>19.835000000000001</v>
      </c>
      <c r="O117" s="1">
        <v>19.838999999999999</v>
      </c>
      <c r="P117" s="1">
        <v>1.1050506577952519</v>
      </c>
      <c r="Q117" s="1">
        <v>0.14052623620142146</v>
      </c>
      <c r="R117" s="1">
        <v>0.73460000000000003</v>
      </c>
      <c r="T117" s="28">
        <v>22.4</v>
      </c>
      <c r="U117" s="29">
        <f t="shared" si="36"/>
        <v>0.45530500529260559</v>
      </c>
      <c r="V117" s="28">
        <v>48.8</v>
      </c>
      <c r="W117" s="28">
        <v>255.46</v>
      </c>
      <c r="X117" s="28">
        <v>916</v>
      </c>
      <c r="Y117" s="29">
        <f t="shared" si="37"/>
        <v>29.71003095975232</v>
      </c>
      <c r="Z117" s="29">
        <f t="shared" si="38"/>
        <v>103.60954967488283</v>
      </c>
      <c r="AA117" s="29">
        <f t="shared" si="39"/>
        <v>77.816178000000008</v>
      </c>
      <c r="AB117" s="29">
        <f t="shared" si="40"/>
        <v>305.43600181460761</v>
      </c>
      <c r="AC117" s="29">
        <f t="shared" si="41"/>
        <v>8.461616008871415</v>
      </c>
      <c r="AD117" s="29">
        <f t="shared" si="42"/>
        <v>21.918679797368824</v>
      </c>
      <c r="AF117">
        <f t="shared" si="43"/>
        <v>-4.4444444444444731E-3</v>
      </c>
      <c r="AG117">
        <f t="shared" si="44"/>
        <v>-7.654345187107725E-3</v>
      </c>
      <c r="AH117">
        <f t="shared" si="45"/>
        <v>9.9337748344370258E-3</v>
      </c>
      <c r="AI117">
        <f t="shared" si="46"/>
        <v>2.3969857303190789E-2</v>
      </c>
      <c r="AJ117">
        <f t="shared" si="47"/>
        <v>1.0600745330755501E-3</v>
      </c>
      <c r="AK117">
        <f t="shared" si="48"/>
        <v>3.2198036891668558E-3</v>
      </c>
      <c r="AL117">
        <f t="shared" si="49"/>
        <v>8.2169742036575233E-3</v>
      </c>
      <c r="AM117">
        <f t="shared" si="50"/>
        <v>-4.9654687390111585E-3</v>
      </c>
      <c r="AN117">
        <f t="shared" si="51"/>
        <v>-9.132907044511529E-3</v>
      </c>
      <c r="AO117">
        <f t="shared" si="52"/>
        <v>1.0873331689967181E-2</v>
      </c>
      <c r="AP117">
        <f t="shared" si="53"/>
        <v>-1.3608092430896779E-3</v>
      </c>
      <c r="AS117" s="8">
        <f t="shared" si="56"/>
        <v>0.8250000000000004</v>
      </c>
      <c r="AT117" s="57" cm="1">
        <f t="array" ref="AT117:BD117">TRANSPOSE(Port_R(V,M,AS117))</f>
        <v>8.1815780570015817E-2</v>
      </c>
      <c r="AU117" s="57">
        <v>0.10376402151972192</v>
      </c>
      <c r="AV117" s="57">
        <v>0.14679826792529349</v>
      </c>
      <c r="AW117" s="57">
        <v>-0.30962667149930267</v>
      </c>
      <c r="AX117" s="57">
        <v>-0.17227836886113101</v>
      </c>
      <c r="AY117" s="57">
        <v>0.83503894036072523</v>
      </c>
      <c r="AZ117" s="57">
        <v>0.67456118365813067</v>
      </c>
      <c r="BA117" s="57">
        <v>6.4843537684766306E-2</v>
      </c>
      <c r="BB117" s="57">
        <v>-0.17639573758951144</v>
      </c>
      <c r="BC117" s="57">
        <v>-0.89110750202244449</v>
      </c>
      <c r="BD117" s="57">
        <v>0.64258654825373895</v>
      </c>
      <c r="BE117" s="14" cm="1">
        <f t="array" ref="BE117">SQRT(MMULT(_xlfn.ANCHORARRAY(AT117),MMULT(V,TRANSPOSE(_xlfn.ANCHORARRAY(AT117)))))</f>
        <v>0.40005984095031055</v>
      </c>
      <c r="BF117" s="14" cm="1">
        <f t="array" ref="BF117">MMULT(_xlfn.ANCHORARRAY(AT117),M)</f>
        <v>0.8250000000000004</v>
      </c>
      <c r="BH117" s="8">
        <f t="shared" si="58"/>
        <v>0.37500000000000006</v>
      </c>
      <c r="BI117" s="71">
        <f t="shared" si="57"/>
        <v>1.1952347506669854</v>
      </c>
      <c r="BK117" s="114" t="s">
        <v>757</v>
      </c>
      <c r="BL117" s="90">
        <f t="shared" si="60"/>
        <v>3.8159590605826708E-2</v>
      </c>
      <c r="BM117" s="93">
        <f t="shared" si="59"/>
        <v>1907.9795302913353</v>
      </c>
      <c r="BN117" s="99">
        <v>916.48</v>
      </c>
      <c r="BO117" s="117">
        <f t="shared" si="65"/>
        <v>2</v>
      </c>
      <c r="BP117" s="99">
        <f t="shared" si="61"/>
        <v>1832.96</v>
      </c>
      <c r="BS117" s="110" t="s">
        <v>757</v>
      </c>
      <c r="BT117" s="90">
        <f t="shared" si="62"/>
        <v>4.0926697594759767E-2</v>
      </c>
      <c r="BU117" s="93">
        <f t="shared" si="63"/>
        <v>2046.3348797379883</v>
      </c>
      <c r="BV117" s="99">
        <v>916.48</v>
      </c>
      <c r="BW117" s="113">
        <f t="shared" si="66"/>
        <v>2</v>
      </c>
      <c r="BX117" s="99">
        <f t="shared" si="64"/>
        <v>1832.96</v>
      </c>
    </row>
    <row r="118" spans="3:78" x14ac:dyDescent="0.3">
      <c r="C118" s="1">
        <v>22.54</v>
      </c>
      <c r="D118" s="1">
        <v>3.36</v>
      </c>
      <c r="E118" s="1">
        <v>48.77</v>
      </c>
      <c r="F118" s="1">
        <v>256.31</v>
      </c>
      <c r="G118" s="1">
        <v>907.87</v>
      </c>
      <c r="H118" s="1">
        <v>26.68</v>
      </c>
      <c r="I118" s="1">
        <v>95.26</v>
      </c>
      <c r="J118" s="1">
        <v>106.91</v>
      </c>
      <c r="K118" s="1">
        <v>269.7</v>
      </c>
      <c r="L118" s="1">
        <v>166.44</v>
      </c>
      <c r="M118" s="1">
        <v>19.984999999999999</v>
      </c>
      <c r="O118" s="1">
        <v>19.588699999999999</v>
      </c>
      <c r="P118" s="1">
        <v>1.1022477244533839</v>
      </c>
      <c r="Q118" s="1">
        <v>0.14029517017464152</v>
      </c>
      <c r="R118" s="1">
        <v>0.73650000000000004</v>
      </c>
      <c r="T118" s="28">
        <v>22.54</v>
      </c>
      <c r="U118" s="29">
        <f t="shared" si="36"/>
        <v>0.47139177178679548</v>
      </c>
      <c r="V118" s="28">
        <v>48.77</v>
      </c>
      <c r="W118" s="28">
        <v>256.31</v>
      </c>
      <c r="X118" s="28">
        <v>907.87</v>
      </c>
      <c r="Y118" s="29">
        <f t="shared" si="37"/>
        <v>29.482751549977319</v>
      </c>
      <c r="Z118" s="29">
        <f t="shared" si="38"/>
        <v>105.00011823142935</v>
      </c>
      <c r="AA118" s="29">
        <f t="shared" si="39"/>
        <v>78.739215000000002</v>
      </c>
      <c r="AB118" s="29">
        <f t="shared" si="40"/>
        <v>297.27621128507764</v>
      </c>
      <c r="AC118" s="29">
        <f t="shared" si="41"/>
        <v>8.496735362734638</v>
      </c>
      <c r="AD118" s="29">
        <f t="shared" si="42"/>
        <v>22.028420773200878</v>
      </c>
      <c r="AF118">
        <f t="shared" si="43"/>
        <v>6.2500000000000888E-3</v>
      </c>
      <c r="AG118">
        <f t="shared" si="44"/>
        <v>3.5331846360554753E-2</v>
      </c>
      <c r="AH118">
        <f t="shared" si="45"/>
        <v>-6.1475409836053707E-4</v>
      </c>
      <c r="AI118">
        <f t="shared" si="46"/>
        <v>3.3273310890158392E-3</v>
      </c>
      <c r="AJ118">
        <f t="shared" si="47"/>
        <v>-8.875545851528388E-3</v>
      </c>
      <c r="AK118">
        <f t="shared" si="48"/>
        <v>-7.6499216740262277E-3</v>
      </c>
      <c r="AL118">
        <f t="shared" si="49"/>
        <v>1.3421239267133123E-2</v>
      </c>
      <c r="AM118">
        <f t="shared" si="50"/>
        <v>1.1861762216077931E-2</v>
      </c>
      <c r="AN118">
        <f t="shared" si="51"/>
        <v>-2.6715221784767818E-2</v>
      </c>
      <c r="AO118">
        <f t="shared" si="52"/>
        <v>4.1504310555340318E-3</v>
      </c>
      <c r="AP118">
        <f t="shared" si="53"/>
        <v>5.0067329258227655E-3</v>
      </c>
      <c r="AS118" s="8">
        <f t="shared" si="56"/>
        <v>0.85000000000000042</v>
      </c>
      <c r="AT118" s="57" cm="1">
        <f t="array" ref="AT118:BD118">TRANSPOSE(Port_R(V,M,AS118))</f>
        <v>8.2731424992638525E-2</v>
      </c>
      <c r="AU118" s="57">
        <v>0.10783607355162733</v>
      </c>
      <c r="AV118" s="57">
        <v>0.14084316166819733</v>
      </c>
      <c r="AW118" s="57">
        <v>-0.32891610233695789</v>
      </c>
      <c r="AX118" s="57">
        <v>-0.18487104914566643</v>
      </c>
      <c r="AY118" s="57">
        <v>0.86765334807418082</v>
      </c>
      <c r="AZ118" s="57">
        <v>0.70721355609861003</v>
      </c>
      <c r="BA118" s="57">
        <v>6.6810899886531216E-2</v>
      </c>
      <c r="BB118" s="57">
        <v>-0.18645355697665328</v>
      </c>
      <c r="BC118" s="57">
        <v>-0.93966222739508121</v>
      </c>
      <c r="BD118" s="57">
        <v>0.66681447158257701</v>
      </c>
      <c r="BE118" s="14" cm="1">
        <f t="array" ref="BE118">SQRT(MMULT(_xlfn.ANCHORARRAY(AT118),MMULT(V,TRANSPOSE(_xlfn.ANCHORARRAY(AT118)))))</f>
        <v>0.4195549502516544</v>
      </c>
      <c r="BF118" s="14" cm="1">
        <f t="array" ref="BF118">MMULT(_xlfn.ANCHORARRAY(AT118),M)</f>
        <v>0.85000000000000075</v>
      </c>
      <c r="BH118" s="8">
        <f t="shared" si="58"/>
        <v>0.40000000000000008</v>
      </c>
      <c r="BI118" s="71">
        <f t="shared" si="57"/>
        <v>1.268297067378118</v>
      </c>
      <c r="BK118" s="114" t="s">
        <v>758</v>
      </c>
      <c r="BL118" s="90">
        <f t="shared" si="60"/>
        <v>0.22704666197580095</v>
      </c>
      <c r="BM118" s="93">
        <f t="shared" si="59"/>
        <v>11352.333098790048</v>
      </c>
      <c r="BN118" s="99">
        <v>36.027841648807261</v>
      </c>
      <c r="BO118" s="117">
        <f t="shared" si="65"/>
        <v>315</v>
      </c>
      <c r="BP118" s="99">
        <f t="shared" si="61"/>
        <v>11348.770119374287</v>
      </c>
      <c r="BS118" s="110" t="s">
        <v>758</v>
      </c>
      <c r="BT118" s="90">
        <f t="shared" si="62"/>
        <v>0.24351073811479471</v>
      </c>
      <c r="BU118" s="93">
        <f t="shared" si="63"/>
        <v>12175.536905739735</v>
      </c>
      <c r="BV118" s="99">
        <v>36.027841648807261</v>
      </c>
      <c r="BW118" s="113">
        <f t="shared" si="66"/>
        <v>337</v>
      </c>
      <c r="BX118" s="99">
        <f t="shared" si="64"/>
        <v>12141.382635648048</v>
      </c>
    </row>
    <row r="119" spans="3:78" x14ac:dyDescent="0.3">
      <c r="C119" s="1">
        <v>22.56</v>
      </c>
      <c r="D119" s="1">
        <v>3.29</v>
      </c>
      <c r="E119" s="1">
        <v>48.53</v>
      </c>
      <c r="F119" s="1">
        <v>256.91000000000003</v>
      </c>
      <c r="G119" s="1">
        <v>897.27</v>
      </c>
      <c r="H119" s="1">
        <v>26.47</v>
      </c>
      <c r="I119" s="1">
        <v>95.78</v>
      </c>
      <c r="J119" s="1">
        <v>107.42</v>
      </c>
      <c r="K119" s="1">
        <v>270.3</v>
      </c>
      <c r="L119" s="1">
        <v>167.53</v>
      </c>
      <c r="M119" s="1">
        <v>19.66</v>
      </c>
      <c r="O119" s="1">
        <v>19.2483</v>
      </c>
      <c r="P119" s="1">
        <v>1.1090485913041672</v>
      </c>
      <c r="Q119" s="1">
        <v>0.14087477855187211</v>
      </c>
      <c r="R119" s="1">
        <v>0.73629999999999995</v>
      </c>
      <c r="T119" s="28">
        <v>22.56</v>
      </c>
      <c r="U119" s="29">
        <f t="shared" si="36"/>
        <v>0.46347802143565925</v>
      </c>
      <c r="V119" s="28">
        <v>48.53</v>
      </c>
      <c r="W119" s="28">
        <v>256.91000000000003</v>
      </c>
      <c r="X119" s="28">
        <v>897.27</v>
      </c>
      <c r="Y119" s="29">
        <f t="shared" si="37"/>
        <v>29.176497266281071</v>
      </c>
      <c r="Z119" s="29">
        <f t="shared" si="38"/>
        <v>106.22467407511314</v>
      </c>
      <c r="AA119" s="29">
        <f t="shared" si="39"/>
        <v>79.093345999999997</v>
      </c>
      <c r="AB119" s="29">
        <f t="shared" si="40"/>
        <v>299.77583422951642</v>
      </c>
      <c r="AC119" s="29">
        <f t="shared" si="41"/>
        <v>8.7036257747437435</v>
      </c>
      <c r="AD119" s="29">
        <f t="shared" si="42"/>
        <v>21.803895305039926</v>
      </c>
      <c r="AF119">
        <f t="shared" si="43"/>
        <v>8.8731144631770675E-4</v>
      </c>
      <c r="AG119">
        <f t="shared" si="44"/>
        <v>-1.6788053641962009E-2</v>
      </c>
      <c r="AH119">
        <f t="shared" si="45"/>
        <v>-4.9210580274759996E-3</v>
      </c>
      <c r="AI119">
        <f t="shared" si="46"/>
        <v>2.3409152978814962E-3</v>
      </c>
      <c r="AJ119">
        <f t="shared" si="47"/>
        <v>-1.1675680438829383E-2</v>
      </c>
      <c r="AK119">
        <f t="shared" si="48"/>
        <v>-1.0387574686748779E-2</v>
      </c>
      <c r="AL119">
        <f t="shared" si="49"/>
        <v>1.1662423474464667E-2</v>
      </c>
      <c r="AM119">
        <f t="shared" si="50"/>
        <v>4.4975175330359551E-3</v>
      </c>
      <c r="AN119">
        <f t="shared" si="51"/>
        <v>8.4084190041082696E-3</v>
      </c>
      <c r="AO119">
        <f t="shared" si="52"/>
        <v>2.434940046697176E-2</v>
      </c>
      <c r="AP119">
        <f t="shared" si="53"/>
        <v>-1.0192535836890393E-2</v>
      </c>
      <c r="AS119" s="8">
        <f t="shared" si="56"/>
        <v>0.87500000000000044</v>
      </c>
      <c r="AT119" s="57" cm="1">
        <f t="array" ref="AT119:BD119">TRANSPOSE(Port_R(V,M,AS119))</f>
        <v>8.3647069415261122E-2</v>
      </c>
      <c r="AU119" s="57">
        <v>0.11190812558353269</v>
      </c>
      <c r="AV119" s="57">
        <v>0.13488805541110072</v>
      </c>
      <c r="AW119" s="57">
        <v>-0.348205533174613</v>
      </c>
      <c r="AX119" s="57">
        <v>-0.19746372943020185</v>
      </c>
      <c r="AY119" s="57">
        <v>0.90026775578763685</v>
      </c>
      <c r="AZ119" s="57">
        <v>0.73986592853908928</v>
      </c>
      <c r="BA119" s="57">
        <v>6.8778262088296016E-2</v>
      </c>
      <c r="BB119" s="57">
        <v>-0.19651137636379512</v>
      </c>
      <c r="BC119" s="57">
        <v>-0.98821695276771759</v>
      </c>
      <c r="BD119" s="57">
        <v>0.69104239491141417</v>
      </c>
      <c r="BE119" s="14" cm="1">
        <f t="array" ref="BE119">SQRT(MMULT(_xlfn.ANCHORARRAY(AT119),MMULT(V,TRANSPOSE(_xlfn.ANCHORARRAY(AT119)))))</f>
        <v>0.43909316925754782</v>
      </c>
      <c r="BF119" s="14" cm="1">
        <f t="array" ref="BF119">MMULT(_xlfn.ANCHORARRAY(AT119),M)</f>
        <v>0.87500000000000067</v>
      </c>
      <c r="BH119" s="8">
        <f t="shared" si="58"/>
        <v>0.4250000000000001</v>
      </c>
      <c r="BI119" s="71">
        <f t="shared" si="57"/>
        <v>1.3413593840892504</v>
      </c>
      <c r="BK119" s="114" t="s">
        <v>759</v>
      </c>
      <c r="BL119" s="90">
        <f t="shared" si="60"/>
        <v>8.6693210765352802E-2</v>
      </c>
      <c r="BM119" s="93">
        <f t="shared" si="59"/>
        <v>4334.6605382676398</v>
      </c>
      <c r="BN119" s="99">
        <v>167.0896980635091</v>
      </c>
      <c r="BO119" s="117">
        <f t="shared" si="65"/>
        <v>25</v>
      </c>
      <c r="BP119" s="99">
        <f t="shared" si="61"/>
        <v>4177.2424515877274</v>
      </c>
      <c r="BS119" s="110" t="s">
        <v>759</v>
      </c>
      <c r="BT119" s="90">
        <f t="shared" si="62"/>
        <v>9.2979687784454382E-2</v>
      </c>
      <c r="BU119" s="93">
        <f t="shared" si="63"/>
        <v>4648.9843892227191</v>
      </c>
      <c r="BV119" s="99">
        <v>167.0896980635091</v>
      </c>
      <c r="BW119" s="113">
        <f t="shared" si="66"/>
        <v>27</v>
      </c>
      <c r="BX119" s="99">
        <f t="shared" si="64"/>
        <v>4511.421847714746</v>
      </c>
    </row>
    <row r="120" spans="3:78" x14ac:dyDescent="0.3">
      <c r="C120" s="1">
        <v>22.56</v>
      </c>
      <c r="D120" s="1">
        <v>3.28</v>
      </c>
      <c r="E120" s="1">
        <v>48.15</v>
      </c>
      <c r="F120" s="1">
        <v>257.66000000000003</v>
      </c>
      <c r="G120" s="1">
        <v>892.52</v>
      </c>
      <c r="H120" s="1">
        <v>26.02</v>
      </c>
      <c r="I120" s="1">
        <v>100</v>
      </c>
      <c r="J120" s="1">
        <v>109.45</v>
      </c>
      <c r="K120" s="1">
        <v>276.3</v>
      </c>
      <c r="L120" s="1">
        <v>173.63</v>
      </c>
      <c r="M120" s="1">
        <v>19.309999999999999</v>
      </c>
      <c r="O120" s="1">
        <v>19.266999999999999</v>
      </c>
      <c r="P120" s="1">
        <v>1.1134011522292002</v>
      </c>
      <c r="Q120" s="1">
        <v>0.14094565837961281</v>
      </c>
      <c r="R120" s="1">
        <v>0.73609999999999998</v>
      </c>
      <c r="T120" s="28">
        <v>22.56</v>
      </c>
      <c r="U120" s="29">
        <f t="shared" si="36"/>
        <v>0.46230175948513003</v>
      </c>
      <c r="V120" s="28">
        <v>48.15</v>
      </c>
      <c r="W120" s="28">
        <v>257.66000000000003</v>
      </c>
      <c r="X120" s="28">
        <v>892.52</v>
      </c>
      <c r="Y120" s="29">
        <f t="shared" si="37"/>
        <v>28.857444345734432</v>
      </c>
      <c r="Z120" s="29">
        <f t="shared" si="38"/>
        <v>111.34011522292002</v>
      </c>
      <c r="AA120" s="29">
        <f t="shared" si="39"/>
        <v>80.566145000000006</v>
      </c>
      <c r="AB120" s="29">
        <f t="shared" si="40"/>
        <v>307.63273836092804</v>
      </c>
      <c r="AC120" s="29">
        <f t="shared" si="41"/>
        <v>9.0117818030829913</v>
      </c>
      <c r="AD120" s="29">
        <f t="shared" si="42"/>
        <v>21.499776249545853</v>
      </c>
      <c r="AF120">
        <f t="shared" si="43"/>
        <v>0</v>
      </c>
      <c r="AG120">
        <f t="shared" si="44"/>
        <v>-2.5379023300514669E-3</v>
      </c>
      <c r="AH120">
        <f t="shared" si="45"/>
        <v>-7.8302081186895078E-3</v>
      </c>
      <c r="AI120">
        <f t="shared" si="46"/>
        <v>2.9193102642948165E-3</v>
      </c>
      <c r="AJ120">
        <f t="shared" si="47"/>
        <v>-5.2938357462078978E-3</v>
      </c>
      <c r="AK120">
        <f t="shared" si="48"/>
        <v>-1.0935271552125814E-2</v>
      </c>
      <c r="AL120">
        <f t="shared" si="49"/>
        <v>4.8156807185773642E-2</v>
      </c>
      <c r="AM120">
        <f t="shared" si="50"/>
        <v>1.8621022810186849E-2</v>
      </c>
      <c r="AN120">
        <f t="shared" si="51"/>
        <v>2.6209264504610363E-2</v>
      </c>
      <c r="AO120">
        <f t="shared" si="52"/>
        <v>3.540547770717084E-2</v>
      </c>
      <c r="AP120">
        <f t="shared" si="53"/>
        <v>-1.39479231228824E-2</v>
      </c>
      <c r="AS120" s="8"/>
      <c r="BH120" s="8">
        <f t="shared" si="58"/>
        <v>0.45000000000000012</v>
      </c>
      <c r="BI120" s="71">
        <f t="shared" si="57"/>
        <v>1.4144217008003828</v>
      </c>
      <c r="BK120" s="114" t="s">
        <v>1512</v>
      </c>
      <c r="BL120" s="90">
        <f t="shared" si="60"/>
        <v>2.6369591601013712E-2</v>
      </c>
      <c r="BM120" s="93">
        <f t="shared" si="59"/>
        <v>1318.4795800506856</v>
      </c>
      <c r="BN120" s="99">
        <v>85.885582000000014</v>
      </c>
      <c r="BO120" s="117">
        <f t="shared" si="65"/>
        <v>15</v>
      </c>
      <c r="BP120" s="99">
        <f t="shared" si="61"/>
        <v>1288.2837300000001</v>
      </c>
      <c r="BS120" s="110" t="s">
        <v>1512</v>
      </c>
      <c r="BT120" s="90">
        <f t="shared" si="62"/>
        <v>2.8281757849551347E-2</v>
      </c>
      <c r="BU120" s="93">
        <f t="shared" si="63"/>
        <v>1414.0878924775673</v>
      </c>
      <c r="BV120" s="99">
        <v>85.885582000000014</v>
      </c>
      <c r="BW120" s="113">
        <f t="shared" si="66"/>
        <v>16</v>
      </c>
      <c r="BX120" s="99">
        <f t="shared" si="64"/>
        <v>1374.1693120000002</v>
      </c>
    </row>
    <row r="121" spans="3:78" x14ac:dyDescent="0.3">
      <c r="C121" s="1">
        <v>22.91</v>
      </c>
      <c r="D121" s="1">
        <v>3.23</v>
      </c>
      <c r="E121" s="1">
        <v>48.89</v>
      </c>
      <c r="F121" s="1">
        <v>255.3</v>
      </c>
      <c r="G121" s="1">
        <v>900.74</v>
      </c>
      <c r="H121" s="1">
        <v>26.07</v>
      </c>
      <c r="I121" s="1">
        <v>98.78</v>
      </c>
      <c r="J121" s="1">
        <v>109.54</v>
      </c>
      <c r="K121" s="1">
        <v>278.5</v>
      </c>
      <c r="L121" s="1">
        <v>175.27</v>
      </c>
      <c r="M121" s="1">
        <v>19.38</v>
      </c>
      <c r="O121" s="1">
        <v>19.3033</v>
      </c>
      <c r="P121" s="1">
        <v>1.1129495992913128</v>
      </c>
      <c r="Q121" s="1">
        <v>0.14111576777027762</v>
      </c>
      <c r="R121" s="1">
        <v>0.7359</v>
      </c>
      <c r="T121" s="28">
        <v>22.91</v>
      </c>
      <c r="U121" s="29">
        <f t="shared" si="36"/>
        <v>0.45580392989799673</v>
      </c>
      <c r="V121" s="28">
        <v>48.89</v>
      </c>
      <c r="W121" s="28">
        <v>255.3</v>
      </c>
      <c r="X121" s="28">
        <v>900.74</v>
      </c>
      <c r="Y121" s="29">
        <f t="shared" si="37"/>
        <v>29.026368038615249</v>
      </c>
      <c r="Z121" s="29">
        <f t="shared" si="38"/>
        <v>109.93716141799588</v>
      </c>
      <c r="AA121" s="29">
        <f t="shared" si="39"/>
        <v>80.610486000000009</v>
      </c>
      <c r="AB121" s="29">
        <f t="shared" si="40"/>
        <v>309.95646340263062</v>
      </c>
      <c r="AC121" s="29">
        <f t="shared" si="41"/>
        <v>9.0797946465112194</v>
      </c>
      <c r="AD121" s="29">
        <f t="shared" si="42"/>
        <v>21.568963234265642</v>
      </c>
      <c r="AF121">
        <f t="shared" si="43"/>
        <v>1.5514184397163122E-2</v>
      </c>
      <c r="AG121">
        <f t="shared" si="44"/>
        <v>-1.4055385803354969E-2</v>
      </c>
      <c r="AH121">
        <f t="shared" si="45"/>
        <v>1.5368639667705075E-2</v>
      </c>
      <c r="AI121">
        <f t="shared" si="46"/>
        <v>-9.1593572925561251E-3</v>
      </c>
      <c r="AJ121">
        <f t="shared" si="47"/>
        <v>9.2098776498006352E-3</v>
      </c>
      <c r="AK121">
        <f t="shared" si="48"/>
        <v>5.8537301798793351E-3</v>
      </c>
      <c r="AL121">
        <f t="shared" si="49"/>
        <v>-1.2600613912741254E-2</v>
      </c>
      <c r="AM121">
        <f t="shared" si="50"/>
        <v>5.5036765132543408E-4</v>
      </c>
      <c r="AN121">
        <f t="shared" si="51"/>
        <v>7.5535687589149969E-3</v>
      </c>
      <c r="AO121">
        <f t="shared" si="52"/>
        <v>7.5471027721687456E-3</v>
      </c>
      <c r="AP121">
        <f t="shared" si="53"/>
        <v>3.2180327793527308E-3</v>
      </c>
      <c r="AS121" s="8"/>
      <c r="BH121" s="8">
        <f>BH120+2.5%</f>
        <v>0.47500000000000014</v>
      </c>
      <c r="BI121" s="71">
        <f t="shared" si="57"/>
        <v>1.4874840175115152</v>
      </c>
      <c r="BK121" s="114" t="s">
        <v>760</v>
      </c>
      <c r="BL121" s="90">
        <f t="shared" si="60"/>
        <v>0</v>
      </c>
      <c r="BM121" s="93">
        <f t="shared" si="59"/>
        <v>0</v>
      </c>
      <c r="BN121" s="99">
        <v>315.98150821911128</v>
      </c>
      <c r="BO121" s="117">
        <f t="shared" si="65"/>
        <v>0</v>
      </c>
      <c r="BP121" s="99">
        <f t="shared" si="61"/>
        <v>0</v>
      </c>
      <c r="BS121" s="110" t="s">
        <v>760</v>
      </c>
      <c r="BT121" s="90">
        <f t="shared" si="62"/>
        <v>0</v>
      </c>
      <c r="BU121" s="93">
        <f t="shared" si="63"/>
        <v>0</v>
      </c>
      <c r="BV121" s="99">
        <v>315.98150821911128</v>
      </c>
      <c r="BW121" s="113">
        <f t="shared" si="66"/>
        <v>0</v>
      </c>
      <c r="BX121" s="99">
        <f t="shared" si="64"/>
        <v>0</v>
      </c>
    </row>
    <row r="122" spans="3:78" x14ac:dyDescent="0.3">
      <c r="C122" s="1">
        <v>23.02</v>
      </c>
      <c r="D122" s="1">
        <v>3.25</v>
      </c>
      <c r="E122" s="1">
        <v>49.52</v>
      </c>
      <c r="F122" s="1">
        <v>259.24</v>
      </c>
      <c r="G122" s="1">
        <v>906.98</v>
      </c>
      <c r="H122" s="1">
        <v>26.24</v>
      </c>
      <c r="I122" s="1">
        <v>97.94</v>
      </c>
      <c r="J122" s="1">
        <v>108.82</v>
      </c>
      <c r="K122" s="1">
        <v>280.2</v>
      </c>
      <c r="L122" s="1">
        <v>176.8</v>
      </c>
      <c r="M122" s="1">
        <v>19.649999999999999</v>
      </c>
      <c r="O122" s="1">
        <v>19.2773</v>
      </c>
      <c r="P122" s="1">
        <v>1.1172000228247732</v>
      </c>
      <c r="Q122" s="1">
        <v>0.14156028074471008</v>
      </c>
      <c r="R122" s="1">
        <v>0.73540000000000005</v>
      </c>
      <c r="T122" s="28">
        <v>23.02</v>
      </c>
      <c r="U122" s="29">
        <f t="shared" si="36"/>
        <v>0.46007091242030779</v>
      </c>
      <c r="V122" s="28">
        <v>49.52</v>
      </c>
      <c r="W122" s="28">
        <v>259.24</v>
      </c>
      <c r="X122" s="28">
        <v>906.98</v>
      </c>
      <c r="Y122" s="29">
        <f t="shared" si="37"/>
        <v>29.203797485404046</v>
      </c>
      <c r="Z122" s="29">
        <f t="shared" si="38"/>
        <v>109.41857023545828</v>
      </c>
      <c r="AA122" s="29">
        <f t="shared" si="39"/>
        <v>80.026228000000003</v>
      </c>
      <c r="AB122" s="29">
        <f t="shared" si="40"/>
        <v>313.03944639550144</v>
      </c>
      <c r="AC122" s="29">
        <f t="shared" si="41"/>
        <v>9.1714088591244636</v>
      </c>
      <c r="AD122" s="29">
        <f t="shared" si="42"/>
        <v>21.952980448506789</v>
      </c>
      <c r="AF122">
        <f t="shared" si="43"/>
        <v>4.8013967699693794E-3</v>
      </c>
      <c r="AG122">
        <f t="shared" si="44"/>
        <v>9.3614430293875728E-3</v>
      </c>
      <c r="AH122">
        <f t="shared" si="45"/>
        <v>1.2886070771118918E-2</v>
      </c>
      <c r="AI122">
        <f t="shared" si="46"/>
        <v>1.5432824128476241E-2</v>
      </c>
      <c r="AJ122">
        <f t="shared" si="47"/>
        <v>6.9276372760174176E-3</v>
      </c>
      <c r="AK122">
        <f t="shared" si="48"/>
        <v>6.1126988589392806E-3</v>
      </c>
      <c r="AL122">
        <f t="shared" si="49"/>
        <v>-4.7171600198576691E-3</v>
      </c>
      <c r="AM122">
        <f t="shared" si="50"/>
        <v>-7.2479156123683719E-3</v>
      </c>
      <c r="AN122">
        <f t="shared" si="51"/>
        <v>9.9465033218748555E-3</v>
      </c>
      <c r="AO122">
        <f t="shared" si="52"/>
        <v>1.0089899186040086E-2</v>
      </c>
      <c r="AP122">
        <f t="shared" si="53"/>
        <v>1.7804157300944201E-2</v>
      </c>
      <c r="AS122" s="8"/>
      <c r="BH122" s="8">
        <f t="shared" si="58"/>
        <v>0.50000000000000011</v>
      </c>
      <c r="BI122" s="71">
        <f t="shared" si="57"/>
        <v>1.5605463342226473</v>
      </c>
      <c r="BK122" s="114" t="s">
        <v>1918</v>
      </c>
      <c r="BL122" s="90">
        <f t="shared" si="60"/>
        <v>0</v>
      </c>
      <c r="BM122" s="93">
        <f t="shared" si="59"/>
        <v>0</v>
      </c>
      <c r="BN122" s="99">
        <v>9.311253109604408</v>
      </c>
      <c r="BO122" s="117">
        <f t="shared" si="65"/>
        <v>0</v>
      </c>
      <c r="BP122" s="99">
        <f t="shared" si="61"/>
        <v>0</v>
      </c>
      <c r="BS122" s="110" t="s">
        <v>1918</v>
      </c>
      <c r="BT122" s="90">
        <f t="shared" si="62"/>
        <v>0</v>
      </c>
      <c r="BU122" s="93">
        <f t="shared" si="63"/>
        <v>0</v>
      </c>
      <c r="BV122" s="99">
        <v>9.311253109604408</v>
      </c>
      <c r="BW122" s="113">
        <f t="shared" si="66"/>
        <v>0</v>
      </c>
      <c r="BX122" s="99">
        <f t="shared" si="64"/>
        <v>0</v>
      </c>
    </row>
    <row r="123" spans="3:78" x14ac:dyDescent="0.3">
      <c r="C123" s="1">
        <v>23</v>
      </c>
      <c r="D123" s="1">
        <v>3.23</v>
      </c>
      <c r="E123" s="1">
        <v>49.6</v>
      </c>
      <c r="F123" s="1">
        <v>257.60000000000002</v>
      </c>
      <c r="G123" s="1">
        <v>917.08</v>
      </c>
      <c r="H123" s="1">
        <v>26.47</v>
      </c>
      <c r="I123" s="1">
        <v>96.94</v>
      </c>
      <c r="J123" s="1">
        <v>109.94</v>
      </c>
      <c r="K123" s="1">
        <v>282.7</v>
      </c>
      <c r="L123" s="1">
        <v>175.57</v>
      </c>
      <c r="M123" s="1">
        <v>19.75</v>
      </c>
      <c r="O123" s="1">
        <v>19.372499999999999</v>
      </c>
      <c r="P123" s="1">
        <v>1.1159478642405474</v>
      </c>
      <c r="Q123" s="1">
        <v>0.14174732223512712</v>
      </c>
      <c r="R123" s="1">
        <v>0.73499999999999999</v>
      </c>
      <c r="T123" s="28">
        <v>23</v>
      </c>
      <c r="U123" s="29">
        <f t="shared" si="36"/>
        <v>0.45784385081946061</v>
      </c>
      <c r="V123" s="28">
        <v>49.6</v>
      </c>
      <c r="W123" s="28">
        <v>257.60000000000002</v>
      </c>
      <c r="X123" s="28">
        <v>917.08</v>
      </c>
      <c r="Y123" s="29">
        <f t="shared" si="37"/>
        <v>29.572284604171745</v>
      </c>
      <c r="Z123" s="29">
        <f t="shared" si="38"/>
        <v>108.17998595947866</v>
      </c>
      <c r="AA123" s="29">
        <f t="shared" si="39"/>
        <v>80.805899999999994</v>
      </c>
      <c r="AB123" s="29">
        <f t="shared" si="40"/>
        <v>315.47846122080273</v>
      </c>
      <c r="AC123" s="29">
        <f t="shared" si="41"/>
        <v>9.0628468189443794</v>
      </c>
      <c r="AD123" s="29">
        <f t="shared" si="42"/>
        <v>22.039970318750811</v>
      </c>
      <c r="AF123">
        <f t="shared" si="43"/>
        <v>-8.6880973066894018E-4</v>
      </c>
      <c r="AG123">
        <f t="shared" si="44"/>
        <v>-4.8406920340414716E-3</v>
      </c>
      <c r="AH123">
        <f t="shared" si="45"/>
        <v>1.615508885298933E-3</v>
      </c>
      <c r="AI123">
        <f t="shared" si="46"/>
        <v>-6.3261842308285354E-3</v>
      </c>
      <c r="AJ123">
        <f t="shared" si="47"/>
        <v>1.1135857461024523E-2</v>
      </c>
      <c r="AK123">
        <f t="shared" si="48"/>
        <v>1.2617780922219657E-2</v>
      </c>
      <c r="AL123">
        <f t="shared" si="49"/>
        <v>-1.1319689823348078E-2</v>
      </c>
      <c r="AM123">
        <f t="shared" si="50"/>
        <v>9.7427058538857025E-3</v>
      </c>
      <c r="AN123">
        <f t="shared" si="51"/>
        <v>7.7913977084529407E-3</v>
      </c>
      <c r="AO123">
        <f t="shared" si="52"/>
        <v>-1.1837008015630812E-2</v>
      </c>
      <c r="AP123">
        <f t="shared" si="53"/>
        <v>3.9625539888794581E-3</v>
      </c>
      <c r="AS123" s="8"/>
      <c r="BH123" s="8">
        <f t="shared" si="58"/>
        <v>0.52500000000000013</v>
      </c>
      <c r="BI123" s="71">
        <f t="shared" si="57"/>
        <v>1.6336086509337799</v>
      </c>
      <c r="BK123" s="116" t="s">
        <v>2307</v>
      </c>
      <c r="BL123" s="90">
        <f t="shared" si="60"/>
        <v>0.19185881963541296</v>
      </c>
      <c r="BM123" s="93">
        <f t="shared" si="59"/>
        <v>9592.9409817706473</v>
      </c>
      <c r="BN123" s="99">
        <v>27.418151114579775</v>
      </c>
      <c r="BO123" s="117">
        <f t="shared" si="65"/>
        <v>349</v>
      </c>
      <c r="BP123" s="99">
        <f t="shared" si="61"/>
        <v>9568.9347389883424</v>
      </c>
      <c r="BS123" s="112" t="s">
        <v>2307</v>
      </c>
      <c r="BT123" s="90">
        <f t="shared" si="62"/>
        <v>0.20577128232888153</v>
      </c>
      <c r="BU123" s="93">
        <f t="shared" si="63"/>
        <v>10288.564116444077</v>
      </c>
      <c r="BV123" s="99">
        <v>27.418151114579775</v>
      </c>
      <c r="BW123" s="113">
        <f t="shared" si="66"/>
        <v>375</v>
      </c>
      <c r="BX123" s="99">
        <f t="shared" si="64"/>
        <v>10281.806667967416</v>
      </c>
    </row>
    <row r="124" spans="3:78" x14ac:dyDescent="0.3">
      <c r="C124" s="1">
        <v>23.21</v>
      </c>
      <c r="D124" s="1">
        <v>3.16</v>
      </c>
      <c r="E124" s="1">
        <v>50.31</v>
      </c>
      <c r="F124" s="1">
        <v>256.54000000000002</v>
      </c>
      <c r="G124" s="1">
        <v>901.54</v>
      </c>
      <c r="H124" s="1">
        <v>26.48</v>
      </c>
      <c r="I124" s="1">
        <v>98.3</v>
      </c>
      <c r="J124" s="1">
        <v>110.01</v>
      </c>
      <c r="K124" s="1">
        <v>282.5</v>
      </c>
      <c r="L124" s="1">
        <v>174.85</v>
      </c>
      <c r="M124" s="1">
        <v>19.675000000000001</v>
      </c>
      <c r="O124" s="1">
        <v>19.414999999999999</v>
      </c>
      <c r="P124" s="1">
        <v>1.1113984032964204</v>
      </c>
      <c r="Q124" s="1">
        <v>0.14166366211691991</v>
      </c>
      <c r="R124" s="1">
        <v>0.73750000000000004</v>
      </c>
      <c r="T124" s="28">
        <v>23.21</v>
      </c>
      <c r="U124" s="29">
        <f t="shared" si="36"/>
        <v>0.44765717228946694</v>
      </c>
      <c r="V124" s="28">
        <v>50.31</v>
      </c>
      <c r="W124" s="28">
        <v>256.54000000000002</v>
      </c>
      <c r="X124" s="28">
        <v>901.54</v>
      </c>
      <c r="Y124" s="29">
        <f t="shared" si="37"/>
        <v>29.550299445089696</v>
      </c>
      <c r="Z124" s="29">
        <f t="shared" si="38"/>
        <v>109.25046304403811</v>
      </c>
      <c r="AA124" s="29">
        <f t="shared" si="39"/>
        <v>81.13237500000001</v>
      </c>
      <c r="AB124" s="29">
        <f t="shared" si="40"/>
        <v>313.97004893123875</v>
      </c>
      <c r="AC124" s="29">
        <f t="shared" si="41"/>
        <v>9.0059232552150394</v>
      </c>
      <c r="AD124" s="29">
        <f t="shared" si="42"/>
        <v>21.866763584857072</v>
      </c>
      <c r="AF124">
        <f t="shared" si="43"/>
        <v>9.1304347826086651E-3</v>
      </c>
      <c r="AG124">
        <f t="shared" si="44"/>
        <v>-2.224924177044485E-2</v>
      </c>
      <c r="AH124">
        <f t="shared" si="45"/>
        <v>1.431451612903234E-2</v>
      </c>
      <c r="AI124">
        <f t="shared" si="46"/>
        <v>-4.1149068322980931E-3</v>
      </c>
      <c r="AJ124">
        <f t="shared" si="47"/>
        <v>-1.6945086579142621E-2</v>
      </c>
      <c r="AK124">
        <f t="shared" si="48"/>
        <v>-7.4343796484865887E-4</v>
      </c>
      <c r="AL124">
        <f t="shared" si="49"/>
        <v>9.895333920272753E-3</v>
      </c>
      <c r="AM124">
        <f t="shared" si="50"/>
        <v>4.0402371609005172E-3</v>
      </c>
      <c r="AN124">
        <f t="shared" si="51"/>
        <v>-4.7813479364863243E-3</v>
      </c>
      <c r="AO124">
        <f t="shared" si="52"/>
        <v>-6.2809804542156566E-3</v>
      </c>
      <c r="AP124">
        <f t="shared" si="53"/>
        <v>-7.8587553153999234E-3</v>
      </c>
      <c r="AS124" s="8"/>
      <c r="BH124" s="8">
        <f t="shared" si="58"/>
        <v>0.55000000000000016</v>
      </c>
      <c r="BI124" s="71">
        <f t="shared" si="57"/>
        <v>1.7066709676449123</v>
      </c>
      <c r="BK124" s="91" t="s">
        <v>2345</v>
      </c>
      <c r="BL124" s="28"/>
      <c r="BM124" s="28"/>
      <c r="BN124" s="28"/>
      <c r="BO124" s="28"/>
      <c r="BP124" s="28"/>
      <c r="BS124" s="91" t="s">
        <v>2345</v>
      </c>
      <c r="BT124" s="28"/>
      <c r="BU124" s="28"/>
      <c r="BV124" s="28"/>
      <c r="BW124" s="28"/>
      <c r="BX124" s="28"/>
    </row>
    <row r="125" spans="3:78" x14ac:dyDescent="0.3">
      <c r="C125" s="1">
        <v>22.64</v>
      </c>
      <c r="D125" s="1">
        <v>3.13</v>
      </c>
      <c r="E125" s="1">
        <v>50.25</v>
      </c>
      <c r="F125" s="1">
        <v>256.99</v>
      </c>
      <c r="G125" s="1">
        <v>908.42</v>
      </c>
      <c r="H125" s="1">
        <v>26.35</v>
      </c>
      <c r="I125" s="1">
        <v>100.55</v>
      </c>
      <c r="J125" s="1">
        <v>111.3</v>
      </c>
      <c r="K125" s="1">
        <v>284.60000000000002</v>
      </c>
      <c r="L125" s="1">
        <v>177.98</v>
      </c>
      <c r="M125" s="1">
        <v>19.664999999999999</v>
      </c>
      <c r="O125" s="1">
        <v>19.356200000000001</v>
      </c>
      <c r="P125" s="1">
        <v>1.1129508891207984</v>
      </c>
      <c r="Q125" s="1">
        <v>0.1421869995143675</v>
      </c>
      <c r="R125" s="1">
        <v>0.7369</v>
      </c>
      <c r="T125" s="28">
        <v>22.64</v>
      </c>
      <c r="U125" s="29">
        <f t="shared" si="36"/>
        <v>0.44504530847997026</v>
      </c>
      <c r="V125" s="28">
        <v>50.25</v>
      </c>
      <c r="W125" s="28">
        <v>256.99</v>
      </c>
      <c r="X125" s="28">
        <v>908.42</v>
      </c>
      <c r="Y125" s="29">
        <f t="shared" si="37"/>
        <v>29.285347926860677</v>
      </c>
      <c r="Z125" s="29">
        <f t="shared" si="38"/>
        <v>111.90721190109628</v>
      </c>
      <c r="AA125" s="29">
        <f t="shared" si="39"/>
        <v>82.016970000000001</v>
      </c>
      <c r="AB125" s="29">
        <f t="shared" si="40"/>
        <v>316.74582304377924</v>
      </c>
      <c r="AC125" s="29">
        <f t="shared" si="41"/>
        <v>9.1949866192744434</v>
      </c>
      <c r="AD125" s="29">
        <f t="shared" si="42"/>
        <v>21.886179234560501</v>
      </c>
      <c r="AF125">
        <f t="shared" si="43"/>
        <v>-2.4558380008616987E-2</v>
      </c>
      <c r="AG125">
        <f t="shared" si="44"/>
        <v>-5.8345179551994031E-3</v>
      </c>
      <c r="AH125">
        <f t="shared" si="45"/>
        <v>-1.1926058437686793E-3</v>
      </c>
      <c r="AI125">
        <f t="shared" si="46"/>
        <v>1.7541124191158275E-3</v>
      </c>
      <c r="AJ125">
        <f t="shared" si="47"/>
        <v>7.6313862945627253E-3</v>
      </c>
      <c r="AK125">
        <f t="shared" si="48"/>
        <v>-8.9661195725393439E-3</v>
      </c>
      <c r="AL125">
        <f t="shared" si="49"/>
        <v>2.4317964272492221E-2</v>
      </c>
      <c r="AM125">
        <f t="shared" si="50"/>
        <v>1.0903107421667224E-2</v>
      </c>
      <c r="AN125">
        <f t="shared" si="51"/>
        <v>8.8408882375541342E-3</v>
      </c>
      <c r="AO125">
        <f t="shared" si="52"/>
        <v>2.0993223981774722E-2</v>
      </c>
      <c r="AP125">
        <f t="shared" si="53"/>
        <v>8.8790687419670888E-4</v>
      </c>
      <c r="AS125" s="8"/>
      <c r="BH125" s="8">
        <f t="shared" si="58"/>
        <v>0.57500000000000018</v>
      </c>
      <c r="BI125" s="71">
        <f t="shared" si="57"/>
        <v>1.7797332843560447</v>
      </c>
      <c r="BK125" s="118" t="s">
        <v>2310</v>
      </c>
      <c r="BL125" s="90">
        <f>$BM$106*'Tasa libre de riesgo'!D2</f>
        <v>6.5321560219066488E-2</v>
      </c>
      <c r="BM125" s="93">
        <f t="shared" ref="BM125:BM130" si="67">$BR$108*BL125</f>
        <v>3266.0780109533243</v>
      </c>
      <c r="BN125" s="99">
        <f>BV125</f>
        <v>3.1238622506219205</v>
      </c>
      <c r="BO125" s="121">
        <f>ROUNDUP(BM125/BN125,0)</f>
        <v>1046</v>
      </c>
      <c r="BP125" s="99">
        <f>BN125*BO125</f>
        <v>3267.5599141505286</v>
      </c>
      <c r="BS125" s="122" t="s">
        <v>2310</v>
      </c>
      <c r="BT125" s="90">
        <f>$BQ$106*'Tasa libre de riesgo'!D2</f>
        <v>3.3801260091090801E-2</v>
      </c>
      <c r="BU125" s="93">
        <f>$BR$108*BT125</f>
        <v>1690.0630045545402</v>
      </c>
      <c r="BV125" s="101">
        <f>64.0423/tc</f>
        <v>3.1238622506219205</v>
      </c>
      <c r="BW125" s="125">
        <f>ROUNDUP(BU125/BV125,0)</f>
        <v>542</v>
      </c>
      <c r="BX125" s="99">
        <f>BW125*BV125</f>
        <v>1693.1333398370809</v>
      </c>
      <c r="BZ125" s="100"/>
    </row>
    <row r="126" spans="3:78" x14ac:dyDescent="0.3">
      <c r="C126" s="1">
        <v>22.47</v>
      </c>
      <c r="D126" s="1">
        <v>3.11</v>
      </c>
      <c r="E126" s="1">
        <v>50.5</v>
      </c>
      <c r="F126" s="1">
        <v>252.38</v>
      </c>
      <c r="G126" s="1">
        <v>901.44</v>
      </c>
      <c r="H126" s="1">
        <v>26.24</v>
      </c>
      <c r="I126" s="1">
        <v>98.9</v>
      </c>
      <c r="J126" s="1">
        <v>111.3</v>
      </c>
      <c r="K126" s="1">
        <v>281.10000000000002</v>
      </c>
      <c r="L126" s="1">
        <v>177.65</v>
      </c>
      <c r="M126" s="1">
        <v>19.774999999999999</v>
      </c>
      <c r="O126" s="1">
        <v>19.587</v>
      </c>
      <c r="P126" s="1">
        <v>1.1187522336243427</v>
      </c>
      <c r="Q126" s="1">
        <v>0.14234441211007301</v>
      </c>
      <c r="R126" s="1">
        <v>0.73839999999999995</v>
      </c>
      <c r="T126" s="28">
        <v>22.47</v>
      </c>
      <c r="U126" s="29">
        <f t="shared" si="36"/>
        <v>0.44269112166232705</v>
      </c>
      <c r="V126" s="28">
        <v>50.5</v>
      </c>
      <c r="W126" s="28">
        <v>252.38</v>
      </c>
      <c r="X126" s="28">
        <v>901.44</v>
      </c>
      <c r="Y126" s="29">
        <f t="shared" si="37"/>
        <v>29.203831330529749</v>
      </c>
      <c r="Z126" s="29">
        <f t="shared" si="38"/>
        <v>110.6445959054475</v>
      </c>
      <c r="AA126" s="29">
        <f t="shared" si="39"/>
        <v>82.183919999999986</v>
      </c>
      <c r="AB126" s="29">
        <f t="shared" si="40"/>
        <v>314.48125287180278</v>
      </c>
      <c r="AC126" s="29">
        <f t="shared" si="41"/>
        <v>9.0697911880328785</v>
      </c>
      <c r="AD126" s="29">
        <f t="shared" si="42"/>
        <v>22.123325419921375</v>
      </c>
      <c r="AF126">
        <f t="shared" si="43"/>
        <v>-7.5088339222615375E-3</v>
      </c>
      <c r="AG126">
        <f t="shared" si="44"/>
        <v>-5.2897688679919286E-3</v>
      </c>
      <c r="AH126">
        <f t="shared" si="45"/>
        <v>4.9751243781095411E-3</v>
      </c>
      <c r="AI126">
        <f t="shared" si="46"/>
        <v>-1.7938441184481957E-2</v>
      </c>
      <c r="AJ126">
        <f t="shared" si="47"/>
        <v>-7.6836705488649848E-3</v>
      </c>
      <c r="AK126">
        <f t="shared" si="48"/>
        <v>-2.7835283546746581E-3</v>
      </c>
      <c r="AL126">
        <f t="shared" si="49"/>
        <v>-1.1282704431638146E-2</v>
      </c>
      <c r="AM126">
        <f t="shared" si="50"/>
        <v>2.0355543493009165E-3</v>
      </c>
      <c r="AN126">
        <f t="shared" si="51"/>
        <v>-7.1494870878328065E-3</v>
      </c>
      <c r="AO126">
        <f t="shared" si="52"/>
        <v>-1.3615618643656457E-2</v>
      </c>
      <c r="AP126">
        <f t="shared" si="53"/>
        <v>1.0835431018786368E-2</v>
      </c>
      <c r="BH126" s="8">
        <f t="shared" si="58"/>
        <v>0.6000000000000002</v>
      </c>
      <c r="BI126" s="71">
        <f t="shared" si="57"/>
        <v>1.8527956010671771</v>
      </c>
      <c r="BK126" s="119" t="s">
        <v>2311</v>
      </c>
      <c r="BL126" s="90">
        <f>$BM$106*'Tasa libre de riesgo'!D3</f>
        <v>1.6983605656957286E-2</v>
      </c>
      <c r="BM126" s="93">
        <f t="shared" si="67"/>
        <v>849.18028284786431</v>
      </c>
      <c r="BN126" s="99">
        <f t="shared" ref="BN126:BN130" si="68">BV126</f>
        <v>1.0107604507097214</v>
      </c>
      <c r="BO126" s="121">
        <f t="shared" ref="BO126:BO130" si="69">ROUNDUP(BM126/BN126,0)</f>
        <v>841</v>
      </c>
      <c r="BP126" s="99">
        <f t="shared" ref="BP126:BP130" si="70">BN126*BO126</f>
        <v>850.04953904687568</v>
      </c>
      <c r="BS126" s="123" t="s">
        <v>2311</v>
      </c>
      <c r="BT126" s="90">
        <f>$BQ$106*'Tasa libre de riesgo'!D3</f>
        <v>8.7883276236836085E-3</v>
      </c>
      <c r="BU126" s="93">
        <f t="shared" ref="BU126:BU130" si="71">$BR$108*BT126</f>
        <v>439.41638118418041</v>
      </c>
      <c r="BV126" s="101">
        <f>20.7216/tc</f>
        <v>1.0107604507097214</v>
      </c>
      <c r="BW126" s="125">
        <f t="shared" ref="BW126:BW130" si="72">ROUNDUP(BU126/BV126,0)</f>
        <v>435</v>
      </c>
      <c r="BX126" s="99">
        <f t="shared" ref="BX126:BX130" si="73">BW126*BV126</f>
        <v>439.68079605872884</v>
      </c>
    </row>
    <row r="127" spans="3:78" x14ac:dyDescent="0.3">
      <c r="C127" s="1">
        <v>22.2</v>
      </c>
      <c r="D127" s="1">
        <v>3.06</v>
      </c>
      <c r="E127" s="1">
        <v>50.09</v>
      </c>
      <c r="F127" s="1">
        <v>251.1</v>
      </c>
      <c r="G127" s="1">
        <v>885.62</v>
      </c>
      <c r="H127" s="1">
        <v>26.39</v>
      </c>
      <c r="I127" s="1">
        <v>97.6</v>
      </c>
      <c r="J127" s="1">
        <v>112.1</v>
      </c>
      <c r="K127" s="1">
        <v>280</v>
      </c>
      <c r="L127" s="1">
        <v>180.08</v>
      </c>
      <c r="M127" s="1">
        <v>19.63</v>
      </c>
      <c r="O127" s="1">
        <v>19.629000000000001</v>
      </c>
      <c r="P127" s="1">
        <v>1.1154516276937183</v>
      </c>
      <c r="Q127" s="1">
        <v>0.14296703856538792</v>
      </c>
      <c r="R127" s="1">
        <v>0.74450000000000005</v>
      </c>
      <c r="T127" s="28">
        <v>22.2</v>
      </c>
      <c r="U127" s="29">
        <f t="shared" si="36"/>
        <v>0.43747913801008703</v>
      </c>
      <c r="V127" s="28">
        <v>50.09</v>
      </c>
      <c r="W127" s="28">
        <v>251.1</v>
      </c>
      <c r="X127" s="28">
        <v>885.62</v>
      </c>
      <c r="Y127" s="29">
        <f t="shared" si="37"/>
        <v>29.523871445346405</v>
      </c>
      <c r="Z127" s="29">
        <f t="shared" si="38"/>
        <v>108.8680788629069</v>
      </c>
      <c r="AA127" s="29">
        <f t="shared" si="39"/>
        <v>83.458449999999999</v>
      </c>
      <c r="AB127" s="29">
        <f t="shared" si="40"/>
        <v>312.32645575424112</v>
      </c>
      <c r="AC127" s="29">
        <f t="shared" si="41"/>
        <v>9.1741810586377301</v>
      </c>
      <c r="AD127" s="29">
        <f t="shared" si="42"/>
        <v>21.896315451627689</v>
      </c>
      <c r="AF127">
        <f t="shared" si="43"/>
        <v>-1.2016021361815787E-2</v>
      </c>
      <c r="AG127">
        <f t="shared" si="44"/>
        <v>-1.1773409036686222E-2</v>
      </c>
      <c r="AH127">
        <f t="shared" si="45"/>
        <v>-8.118811881188015E-3</v>
      </c>
      <c r="AI127">
        <f t="shared" si="46"/>
        <v>-5.0717172517632525E-3</v>
      </c>
      <c r="AJ127">
        <f t="shared" si="47"/>
        <v>-1.7549698260560964E-2</v>
      </c>
      <c r="AK127">
        <f t="shared" si="48"/>
        <v>1.0958839995836023E-2</v>
      </c>
      <c r="AL127">
        <f t="shared" si="49"/>
        <v>-1.6056066977358285E-2</v>
      </c>
      <c r="AM127">
        <f t="shared" si="50"/>
        <v>1.5508264877119649E-2</v>
      </c>
      <c r="AN127">
        <f t="shared" si="51"/>
        <v>-6.8519096063257567E-3</v>
      </c>
      <c r="AO127">
        <f t="shared" si="52"/>
        <v>1.1509622265900576E-2</v>
      </c>
      <c r="AP127">
        <f t="shared" si="53"/>
        <v>-1.0261114185359799E-2</v>
      </c>
      <c r="BH127" s="8">
        <f t="shared" si="58"/>
        <v>0.62500000000000022</v>
      </c>
      <c r="BI127" s="71">
        <f t="shared" si="57"/>
        <v>1.9258579177783095</v>
      </c>
      <c r="BK127" s="120" t="s">
        <v>2312</v>
      </c>
      <c r="BL127" s="90">
        <f>$BM$106*'Tasa libre de riesgo'!D4</f>
        <v>2.6128624087626597E-2</v>
      </c>
      <c r="BM127" s="93">
        <f t="shared" si="67"/>
        <v>1306.4312043813297</v>
      </c>
      <c r="BN127" s="99">
        <f t="shared" si="68"/>
        <v>1.1047900102434027</v>
      </c>
      <c r="BO127" s="121">
        <f t="shared" si="69"/>
        <v>1183</v>
      </c>
      <c r="BP127" s="99">
        <f t="shared" si="70"/>
        <v>1306.9665821179453</v>
      </c>
      <c r="BS127" s="124" t="s">
        <v>2312</v>
      </c>
      <c r="BT127" s="90">
        <f>$BQ$106*'Tasa libre de riesgo'!D4</f>
        <v>1.3520504036436322E-2</v>
      </c>
      <c r="BU127" s="93">
        <f t="shared" si="71"/>
        <v>676.02520182181604</v>
      </c>
      <c r="BV127" s="101">
        <f>22.6493/tc</f>
        <v>1.1047900102434027</v>
      </c>
      <c r="BW127" s="125">
        <f t="shared" si="72"/>
        <v>612</v>
      </c>
      <c r="BX127" s="99">
        <f t="shared" si="73"/>
        <v>676.13148626896248</v>
      </c>
    </row>
    <row r="128" spans="3:78" x14ac:dyDescent="0.3">
      <c r="C128" s="1">
        <v>22.49</v>
      </c>
      <c r="D128" s="1">
        <v>3.37</v>
      </c>
      <c r="E128" s="1">
        <v>49.7</v>
      </c>
      <c r="F128" s="1">
        <v>253.76</v>
      </c>
      <c r="G128" s="1">
        <v>886.52</v>
      </c>
      <c r="H128" s="1">
        <v>26.51</v>
      </c>
      <c r="I128" s="1">
        <v>97.18</v>
      </c>
      <c r="J128" s="1">
        <v>112.7</v>
      </c>
      <c r="K128" s="1">
        <v>286.10000000000002</v>
      </c>
      <c r="L128" s="1">
        <v>177.76</v>
      </c>
      <c r="M128" s="1">
        <v>19.8</v>
      </c>
      <c r="O128" s="1">
        <v>19.669699999999999</v>
      </c>
      <c r="P128" s="1">
        <v>1.1164023853947951</v>
      </c>
      <c r="Q128" s="1">
        <v>0.14311860374077898</v>
      </c>
      <c r="R128" s="1">
        <v>0.74139999999999995</v>
      </c>
      <c r="T128" s="28">
        <v>22.49</v>
      </c>
      <c r="U128" s="29">
        <f t="shared" si="36"/>
        <v>0.48230969460642514</v>
      </c>
      <c r="V128" s="28">
        <v>49.7</v>
      </c>
      <c r="W128" s="28">
        <v>253.76</v>
      </c>
      <c r="X128" s="28">
        <v>886.52</v>
      </c>
      <c r="Y128" s="29">
        <f t="shared" si="37"/>
        <v>29.570622650160473</v>
      </c>
      <c r="Z128" s="29">
        <f t="shared" si="38"/>
        <v>108.49198381266619</v>
      </c>
      <c r="AA128" s="29">
        <f t="shared" si="39"/>
        <v>83.555779999999999</v>
      </c>
      <c r="AB128" s="29">
        <f t="shared" si="40"/>
        <v>319.40272246145088</v>
      </c>
      <c r="AC128" s="29">
        <f t="shared" si="41"/>
        <v>9.037250186835589</v>
      </c>
      <c r="AD128" s="29">
        <f t="shared" si="42"/>
        <v>22.104767230816943</v>
      </c>
      <c r="AF128">
        <f t="shared" si="43"/>
        <v>1.3063063063063041E-2</v>
      </c>
      <c r="AG128">
        <f t="shared" si="44"/>
        <v>0.10247473010999775</v>
      </c>
      <c r="AH128">
        <f t="shared" si="45"/>
        <v>-7.7859852265921292E-3</v>
      </c>
      <c r="AI128">
        <f t="shared" si="46"/>
        <v>1.0593389088012772E-2</v>
      </c>
      <c r="AJ128">
        <f t="shared" si="47"/>
        <v>1.0162372123483365E-3</v>
      </c>
      <c r="AK128">
        <f t="shared" si="48"/>
        <v>1.583505229001414E-3</v>
      </c>
      <c r="AL128">
        <f t="shared" si="49"/>
        <v>-3.4545943509695087E-3</v>
      </c>
      <c r="AM128">
        <f t="shared" si="50"/>
        <v>1.1662090537267744E-3</v>
      </c>
      <c r="AN128">
        <f t="shared" si="51"/>
        <v>2.2656635635047939E-2</v>
      </c>
      <c r="AO128">
        <f t="shared" si="52"/>
        <v>-1.4925677935385573E-2</v>
      </c>
      <c r="AP128">
        <f t="shared" si="53"/>
        <v>9.5199477578662428E-3</v>
      </c>
      <c r="BH128" s="8">
        <f t="shared" si="58"/>
        <v>0.65000000000000024</v>
      </c>
      <c r="BI128" s="71">
        <f t="shared" si="57"/>
        <v>1.9989202344894419</v>
      </c>
      <c r="BK128" s="120" t="s">
        <v>2313</v>
      </c>
      <c r="BL128" s="90">
        <f>$BM$106*'Tasa libre de riesgo'!D5</f>
        <v>7.838587226287979E-3</v>
      </c>
      <c r="BM128" s="93">
        <f t="shared" si="67"/>
        <v>391.92936131439893</v>
      </c>
      <c r="BN128" s="99">
        <f t="shared" si="68"/>
        <v>0.92475001219452713</v>
      </c>
      <c r="BO128" s="121">
        <f t="shared" si="69"/>
        <v>424</v>
      </c>
      <c r="BP128" s="99">
        <f t="shared" si="70"/>
        <v>392.09400517047948</v>
      </c>
      <c r="BS128" s="124" t="s">
        <v>2313</v>
      </c>
      <c r="BT128" s="90">
        <f>$BQ$106*'Tasa libre de riesgo'!D5</f>
        <v>4.056151210930896E-3</v>
      </c>
      <c r="BU128" s="93">
        <f t="shared" si="71"/>
        <v>202.80756054654481</v>
      </c>
      <c r="BV128" s="101">
        <f>18.9583/tc</f>
        <v>0.92475001219452713</v>
      </c>
      <c r="BW128" s="125">
        <f t="shared" si="72"/>
        <v>220</v>
      </c>
      <c r="BX128" s="99">
        <f t="shared" si="73"/>
        <v>203.44500268279597</v>
      </c>
    </row>
    <row r="129" spans="3:76" x14ac:dyDescent="0.3">
      <c r="C129" s="1">
        <v>21.7</v>
      </c>
      <c r="D129" s="1">
        <v>3.4</v>
      </c>
      <c r="E129" s="1">
        <v>50.21</v>
      </c>
      <c r="F129" s="1">
        <v>254.27</v>
      </c>
      <c r="G129" s="1">
        <v>877.38</v>
      </c>
      <c r="H129" s="1">
        <v>26.32</v>
      </c>
      <c r="I129" s="1">
        <v>97.34</v>
      </c>
      <c r="J129" s="1">
        <v>113.09</v>
      </c>
      <c r="K129" s="1">
        <v>282.60000000000002</v>
      </c>
      <c r="L129" s="1">
        <v>174.3</v>
      </c>
      <c r="M129" s="1">
        <v>19.52</v>
      </c>
      <c r="O129" s="1">
        <v>19.643999999999998</v>
      </c>
      <c r="P129" s="1">
        <v>1.1189981673793525</v>
      </c>
      <c r="Q129" s="1">
        <v>0.14302076970067196</v>
      </c>
      <c r="R129" s="1">
        <v>0.74270000000000003</v>
      </c>
      <c r="T129" s="28">
        <v>21.7</v>
      </c>
      <c r="U129" s="29">
        <f t="shared" si="36"/>
        <v>0.48627061698228463</v>
      </c>
      <c r="V129" s="28">
        <v>50.21</v>
      </c>
      <c r="W129" s="28">
        <v>254.27</v>
      </c>
      <c r="X129" s="28">
        <v>877.38</v>
      </c>
      <c r="Y129" s="29">
        <f t="shared" si="37"/>
        <v>29.383710783591006</v>
      </c>
      <c r="Z129" s="29">
        <f t="shared" si="38"/>
        <v>108.92328161270618</v>
      </c>
      <c r="AA129" s="29">
        <f t="shared" si="39"/>
        <v>83.991943000000006</v>
      </c>
      <c r="AB129" s="29">
        <f t="shared" si="40"/>
        <v>316.22888210140508</v>
      </c>
      <c r="AC129" s="29">
        <f t="shared" si="41"/>
        <v>8.8729383017715353</v>
      </c>
      <c r="AD129" s="29">
        <f t="shared" si="42"/>
        <v>21.84284422724496</v>
      </c>
      <c r="AF129">
        <f t="shared" si="43"/>
        <v>-3.5126722987994574E-2</v>
      </c>
      <c r="AG129">
        <f t="shared" si="44"/>
        <v>8.2124046440570364E-3</v>
      </c>
      <c r="AH129">
        <f t="shared" si="45"/>
        <v>1.0261569416498917E-2</v>
      </c>
      <c r="AI129">
        <f t="shared" si="46"/>
        <v>2.0097730138715075E-3</v>
      </c>
      <c r="AJ129">
        <f t="shared" si="47"/>
        <v>-1.0309976086269934E-2</v>
      </c>
      <c r="AK129">
        <f t="shared" si="48"/>
        <v>-6.32086340489868E-3</v>
      </c>
      <c r="AL129">
        <f t="shared" si="49"/>
        <v>3.9753886405535788E-3</v>
      </c>
      <c r="AM129">
        <f t="shared" si="50"/>
        <v>5.2200218823881261E-3</v>
      </c>
      <c r="AN129">
        <f t="shared" si="51"/>
        <v>-9.936798082329612E-3</v>
      </c>
      <c r="AO129">
        <f t="shared" si="52"/>
        <v>-1.8181624019151799E-2</v>
      </c>
      <c r="AP129">
        <f t="shared" si="53"/>
        <v>-1.184916361421029E-2</v>
      </c>
      <c r="BH129" s="8">
        <f t="shared" si="58"/>
        <v>0.67500000000000027</v>
      </c>
      <c r="BI129" s="71">
        <f t="shared" si="57"/>
        <v>2.0719825512005743</v>
      </c>
      <c r="BK129" s="120" t="s">
        <v>2314</v>
      </c>
      <c r="BL129" s="90">
        <f>$BM$106*'Tasa libre de riesgo'!D6</f>
        <v>3.9192936131439895E-3</v>
      </c>
      <c r="BM129" s="93">
        <f t="shared" si="67"/>
        <v>195.96468065719947</v>
      </c>
      <c r="BN129" s="99">
        <f t="shared" si="68"/>
        <v>0.48481537485976289</v>
      </c>
      <c r="BO129" s="121">
        <f t="shared" si="69"/>
        <v>405</v>
      </c>
      <c r="BP129" s="99">
        <f t="shared" si="70"/>
        <v>196.35022681820396</v>
      </c>
      <c r="BS129" s="124" t="s">
        <v>2314</v>
      </c>
      <c r="BT129" s="90">
        <f>$BQ$106*'Tasa libre de riesgo'!D6</f>
        <v>2.028075605465448E-3</v>
      </c>
      <c r="BU129" s="93">
        <f t="shared" si="71"/>
        <v>101.4037802732724</v>
      </c>
      <c r="BV129" s="101">
        <f>9.9392/tc</f>
        <v>0.48481537485976289</v>
      </c>
      <c r="BW129" s="125">
        <f t="shared" si="72"/>
        <v>210</v>
      </c>
      <c r="BX129" s="99">
        <f t="shared" si="73"/>
        <v>101.8112287205502</v>
      </c>
    </row>
    <row r="130" spans="3:76" ht="15.6" x14ac:dyDescent="0.3">
      <c r="C130" s="1">
        <v>21.42</v>
      </c>
      <c r="D130" s="1">
        <v>3.39</v>
      </c>
      <c r="E130" s="1">
        <v>50.22</v>
      </c>
      <c r="F130" s="1">
        <v>254.43</v>
      </c>
      <c r="G130" s="1">
        <v>878.53</v>
      </c>
      <c r="H130" s="1">
        <v>26.29</v>
      </c>
      <c r="I130" s="1">
        <v>96.46</v>
      </c>
      <c r="J130" s="1">
        <v>113.5</v>
      </c>
      <c r="K130" s="1">
        <v>283</v>
      </c>
      <c r="L130" s="1">
        <v>173.26</v>
      </c>
      <c r="M130" s="1">
        <v>19.38</v>
      </c>
      <c r="O130" s="1">
        <v>19.388500000000001</v>
      </c>
      <c r="P130" s="1">
        <v>1.1066508497305103</v>
      </c>
      <c r="Q130" s="1">
        <v>0.14224411377878637</v>
      </c>
      <c r="R130" s="1">
        <v>0.73970000000000002</v>
      </c>
      <c r="T130" s="28">
        <v>21.42</v>
      </c>
      <c r="U130" s="29">
        <f t="shared" si="36"/>
        <v>0.48220754571008584</v>
      </c>
      <c r="V130" s="28">
        <v>50.22</v>
      </c>
      <c r="W130" s="28">
        <v>254.43</v>
      </c>
      <c r="X130" s="28">
        <v>878.53</v>
      </c>
      <c r="Y130" s="29">
        <f t="shared" si="37"/>
        <v>29.418461820403177</v>
      </c>
      <c r="Z130" s="29">
        <f t="shared" si="38"/>
        <v>106.74754096500502</v>
      </c>
      <c r="AA130" s="29">
        <f t="shared" si="39"/>
        <v>83.955950000000001</v>
      </c>
      <c r="AB130" s="29">
        <f t="shared" si="40"/>
        <v>313.18219047373441</v>
      </c>
      <c r="AC130" s="29">
        <f t="shared" si="41"/>
        <v>8.9362250818784332</v>
      </c>
      <c r="AD130" s="29">
        <f t="shared" si="42"/>
        <v>21.44689346777729</v>
      </c>
      <c r="AF130">
        <f t="shared" si="43"/>
        <v>-1.2903225806451535E-2</v>
      </c>
      <c r="AG130">
        <f t="shared" si="44"/>
        <v>-8.3555763607794376E-3</v>
      </c>
      <c r="AH130">
        <f t="shared" si="45"/>
        <v>1.9916351324433812E-4</v>
      </c>
      <c r="AI130">
        <f t="shared" si="46"/>
        <v>6.2925236952837693E-4</v>
      </c>
      <c r="AJ130">
        <f t="shared" si="47"/>
        <v>1.3107205543778644E-3</v>
      </c>
      <c r="AK130">
        <f t="shared" si="48"/>
        <v>1.1826633153351196E-3</v>
      </c>
      <c r="AL130">
        <f t="shared" si="49"/>
        <v>-1.9974982533461971E-2</v>
      </c>
      <c r="AM130">
        <f t="shared" si="50"/>
        <v>-4.2852919833047398E-4</v>
      </c>
      <c r="AN130">
        <f t="shared" si="51"/>
        <v>-9.6344508680699104E-3</v>
      </c>
      <c r="AO130">
        <f t="shared" si="52"/>
        <v>7.1325617235795669E-3</v>
      </c>
      <c r="AP130">
        <f t="shared" si="53"/>
        <v>-1.8127252813248229E-2</v>
      </c>
      <c r="BH130" s="8">
        <f t="shared" si="58"/>
        <v>0.70000000000000029</v>
      </c>
      <c r="BI130" s="71">
        <f t="shared" si="57"/>
        <v>2.1450448679117069</v>
      </c>
      <c r="BK130" s="120" t="s">
        <v>2315</v>
      </c>
      <c r="BL130" s="90">
        <f>$BM$106*'Tasa libre de riesgo'!D7</f>
        <v>1.0451449635050639E-2</v>
      </c>
      <c r="BM130" s="93">
        <f t="shared" si="67"/>
        <v>522.57248175253198</v>
      </c>
      <c r="BN130" s="99">
        <f t="shared" si="68"/>
        <v>0.44827081605775321</v>
      </c>
      <c r="BO130" s="121">
        <f t="shared" si="69"/>
        <v>1166</v>
      </c>
      <c r="BP130" s="99">
        <f t="shared" si="70"/>
        <v>522.68377152334028</v>
      </c>
      <c r="BS130" s="124" t="s">
        <v>2315</v>
      </c>
      <c r="BT130" s="90">
        <f>$BQ$106*'Tasa libre de riesgo'!D7</f>
        <v>5.4082016145745281E-3</v>
      </c>
      <c r="BU130" s="93">
        <f t="shared" si="71"/>
        <v>270.41008072872643</v>
      </c>
      <c r="BV130" s="101">
        <f>9.19/tc</f>
        <v>0.44827081605775321</v>
      </c>
      <c r="BW130" s="125">
        <f t="shared" si="72"/>
        <v>604</v>
      </c>
      <c r="BX130" s="99">
        <f t="shared" si="73"/>
        <v>270.75557289888292</v>
      </c>
    </row>
    <row r="131" spans="3:76" x14ac:dyDescent="0.3">
      <c r="C131" s="1">
        <v>21.47</v>
      </c>
      <c r="D131" s="1">
        <v>3.45</v>
      </c>
      <c r="E131" s="1">
        <v>50.2</v>
      </c>
      <c r="F131" s="1">
        <v>252.27</v>
      </c>
      <c r="G131" s="1">
        <v>875.67</v>
      </c>
      <c r="H131" s="1">
        <v>26.29</v>
      </c>
      <c r="I131" s="1">
        <v>97.38</v>
      </c>
      <c r="J131" s="1">
        <v>114.56</v>
      </c>
      <c r="K131" s="1">
        <v>284.2</v>
      </c>
      <c r="L131" s="1">
        <v>170.13</v>
      </c>
      <c r="M131" s="1">
        <v>19.18</v>
      </c>
      <c r="O131" s="1">
        <v>19.4678</v>
      </c>
      <c r="P131" s="1">
        <v>1.1043980316214466</v>
      </c>
      <c r="Q131" s="1">
        <v>0.14193180534010005</v>
      </c>
      <c r="R131" s="1">
        <v>0.73929999999999996</v>
      </c>
      <c r="T131" s="28">
        <v>21.47</v>
      </c>
      <c r="U131" s="29">
        <f t="shared" si="36"/>
        <v>0.48966472842334519</v>
      </c>
      <c r="V131" s="28">
        <v>50.2</v>
      </c>
      <c r="W131" s="28">
        <v>252.27</v>
      </c>
      <c r="X131" s="28">
        <v>875.67</v>
      </c>
      <c r="Y131" s="29">
        <f t="shared" si="37"/>
        <v>29.093850839415115</v>
      </c>
      <c r="Z131" s="29">
        <f t="shared" si="38"/>
        <v>107.54628031929646</v>
      </c>
      <c r="AA131" s="29">
        <f t="shared" si="39"/>
        <v>84.694208000000003</v>
      </c>
      <c r="AB131" s="29">
        <f t="shared" si="40"/>
        <v>313.86992058681511</v>
      </c>
      <c r="AC131" s="29">
        <f t="shared" si="41"/>
        <v>8.739046014444364</v>
      </c>
      <c r="AD131" s="29">
        <f t="shared" si="42"/>
        <v>21.182354246499344</v>
      </c>
      <c r="AF131">
        <f t="shared" si="43"/>
        <v>2.3342670401491628E-3</v>
      </c>
      <c r="AG131">
        <f t="shared" si="44"/>
        <v>1.5464674453150806E-2</v>
      </c>
      <c r="AH131">
        <f t="shared" si="45"/>
        <v>-3.9824771007557214E-4</v>
      </c>
      <c r="AI131">
        <f t="shared" si="46"/>
        <v>-8.4895649097983528E-3</v>
      </c>
      <c r="AJ131">
        <f t="shared" si="47"/>
        <v>-3.2554380613070144E-3</v>
      </c>
      <c r="AK131">
        <f t="shared" si="48"/>
        <v>-1.1034260831507159E-2</v>
      </c>
      <c r="AL131">
        <f t="shared" si="49"/>
        <v>7.4825082345764127E-3</v>
      </c>
      <c r="AM131">
        <f t="shared" si="50"/>
        <v>8.7933970135529727E-3</v>
      </c>
      <c r="AN131">
        <f t="shared" si="51"/>
        <v>2.1959425982698288E-3</v>
      </c>
      <c r="AO131">
        <f t="shared" si="52"/>
        <v>-2.2065141111309305E-2</v>
      </c>
      <c r="AP131">
        <f t="shared" si="53"/>
        <v>-1.2334617210431942E-2</v>
      </c>
      <c r="BH131" s="8">
        <f t="shared" si="58"/>
        <v>0.72500000000000031</v>
      </c>
      <c r="BI131" s="71">
        <f t="shared" si="57"/>
        <v>2.2181071846228391</v>
      </c>
      <c r="BM131" s="96">
        <f>SUM(BM125:BM130)</f>
        <v>6532.1560219066487</v>
      </c>
      <c r="BP131" s="95">
        <f>SUM(BP125:BP130)</f>
        <v>6535.7040388273726</v>
      </c>
      <c r="BU131" s="96">
        <f>SUM(BU125:BU130)</f>
        <v>3380.1260091090799</v>
      </c>
      <c r="BX131" s="95">
        <f>SUM(BX125:BX130)</f>
        <v>3384.9574264670009</v>
      </c>
    </row>
    <row r="132" spans="3:76" x14ac:dyDescent="0.3">
      <c r="C132" s="1">
        <v>21.97</v>
      </c>
      <c r="D132" s="1">
        <v>3.44</v>
      </c>
      <c r="E132" s="1">
        <v>50.08</v>
      </c>
      <c r="F132" s="1">
        <v>255.36</v>
      </c>
      <c r="G132" s="1">
        <v>883.11</v>
      </c>
      <c r="H132" s="1">
        <v>26.43</v>
      </c>
      <c r="I132" s="1">
        <v>98.5</v>
      </c>
      <c r="J132" s="1">
        <v>113.98</v>
      </c>
      <c r="K132" s="1">
        <v>282.39999999999998</v>
      </c>
      <c r="L132" s="1">
        <v>170.25</v>
      </c>
      <c r="M132" s="1">
        <v>19.04</v>
      </c>
      <c r="O132" s="1">
        <v>19.212700000000002</v>
      </c>
      <c r="P132" s="1">
        <v>1.1028017925642932</v>
      </c>
      <c r="Q132" s="1">
        <v>0.14150535843478532</v>
      </c>
      <c r="R132" s="1">
        <v>0.74119999999999997</v>
      </c>
      <c r="T132" s="28">
        <v>21.97</v>
      </c>
      <c r="U132" s="29">
        <f t="shared" si="36"/>
        <v>0.48677843301566148</v>
      </c>
      <c r="V132" s="28">
        <v>50.08</v>
      </c>
      <c r="W132" s="28">
        <v>255.36</v>
      </c>
      <c r="X132" s="28">
        <v>883.11</v>
      </c>
      <c r="Y132" s="29">
        <f t="shared" si="37"/>
        <v>29.189239975754834</v>
      </c>
      <c r="Z132" s="29">
        <f t="shared" si="38"/>
        <v>108.62597656758288</v>
      </c>
      <c r="AA132" s="29">
        <f t="shared" si="39"/>
        <v>84.481976000000003</v>
      </c>
      <c r="AB132" s="29">
        <f t="shared" si="40"/>
        <v>311.43122622015636</v>
      </c>
      <c r="AC132" s="29">
        <f t="shared" si="41"/>
        <v>8.8613261020054441</v>
      </c>
      <c r="AD132" s="29">
        <f t="shared" si="42"/>
        <v>20.997346130424141</v>
      </c>
      <c r="AF132">
        <f t="shared" si="43"/>
        <v>2.3288309268747032E-2</v>
      </c>
      <c r="AG132">
        <f t="shared" si="44"/>
        <v>-5.8944319248339649E-3</v>
      </c>
      <c r="AH132">
        <f t="shared" si="45"/>
        <v>-2.3904382470120167E-3</v>
      </c>
      <c r="AI132">
        <f t="shared" si="46"/>
        <v>1.2248781067903503E-2</v>
      </c>
      <c r="AJ132">
        <f t="shared" si="47"/>
        <v>8.4963513652402956E-3</v>
      </c>
      <c r="AK132">
        <f t="shared" si="48"/>
        <v>3.2786700140254865E-3</v>
      </c>
      <c r="AL132">
        <f t="shared" si="49"/>
        <v>1.003936393784044E-2</v>
      </c>
      <c r="AM132">
        <f t="shared" si="50"/>
        <v>-2.505862030140249E-3</v>
      </c>
      <c r="AN132">
        <f t="shared" si="51"/>
        <v>-7.7697613141753941E-3</v>
      </c>
      <c r="AO132">
        <f t="shared" si="52"/>
        <v>1.3992383992368129E-2</v>
      </c>
      <c r="AP132">
        <f t="shared" si="53"/>
        <v>-8.7340677019306368E-3</v>
      </c>
      <c r="BH132" s="8">
        <f t="shared" si="58"/>
        <v>0.75000000000000033</v>
      </c>
      <c r="BI132" s="71">
        <f t="shared" si="57"/>
        <v>2.2911695013339717</v>
      </c>
      <c r="BN132" s="105">
        <f>BM131-BP131</f>
        <v>-3.5480169207239669</v>
      </c>
      <c r="BO132" s="106"/>
      <c r="BR132" s="109"/>
      <c r="BV132" s="105">
        <f>BU131-BX131</f>
        <v>-4.8314173579210546</v>
      </c>
      <c r="BW132" s="106"/>
    </row>
    <row r="133" spans="3:76" x14ac:dyDescent="0.3">
      <c r="C133" s="1">
        <v>21.91</v>
      </c>
      <c r="D133" s="1">
        <v>3.54</v>
      </c>
      <c r="E133" s="1">
        <v>49.92</v>
      </c>
      <c r="F133" s="1">
        <v>245.52</v>
      </c>
      <c r="G133" s="1">
        <v>873.59</v>
      </c>
      <c r="H133" s="1">
        <v>26.6</v>
      </c>
      <c r="I133" s="1">
        <v>96.64</v>
      </c>
      <c r="J133" s="1">
        <v>115.14</v>
      </c>
      <c r="K133" s="1">
        <v>285.2</v>
      </c>
      <c r="L133" s="1">
        <v>168.61</v>
      </c>
      <c r="M133" s="1">
        <v>19.265000000000001</v>
      </c>
      <c r="O133" s="1">
        <v>19.338799999999999</v>
      </c>
      <c r="P133" s="1">
        <v>1.0966502575133927</v>
      </c>
      <c r="Q133" s="1">
        <v>0.1414513827124744</v>
      </c>
      <c r="R133" s="1">
        <v>0.74060000000000004</v>
      </c>
      <c r="T133" s="28">
        <v>21.91</v>
      </c>
      <c r="U133" s="29">
        <f t="shared" ref="U133:U196" si="74">Q133*D133</f>
        <v>0.50073789480215936</v>
      </c>
      <c r="V133" s="28">
        <v>49.92</v>
      </c>
      <c r="W133" s="28">
        <v>245.52</v>
      </c>
      <c r="X133" s="28">
        <v>873.59</v>
      </c>
      <c r="Y133" s="29">
        <f t="shared" si="37"/>
        <v>29.334527682210201</v>
      </c>
      <c r="Z133" s="29">
        <f t="shared" si="38"/>
        <v>105.98028088609428</v>
      </c>
      <c r="AA133" s="29">
        <f t="shared" si="39"/>
        <v>85.272683999999998</v>
      </c>
      <c r="AB133" s="29">
        <f t="shared" si="40"/>
        <v>312.76465344281962</v>
      </c>
      <c r="AC133" s="29">
        <f t="shared" si="41"/>
        <v>8.7187415972035502</v>
      </c>
      <c r="AD133" s="29">
        <f t="shared" si="42"/>
        <v>21.126967210995513</v>
      </c>
      <c r="AF133">
        <f t="shared" si="43"/>
        <v>-2.7309968138370389E-3</v>
      </c>
      <c r="AG133">
        <f t="shared" si="44"/>
        <v>2.8677239663263299E-2</v>
      </c>
      <c r="AH133">
        <f t="shared" si="45"/>
        <v>-3.1948881789136685E-3</v>
      </c>
      <c r="AI133">
        <f t="shared" si="46"/>
        <v>-3.8533834586466198E-2</v>
      </c>
      <c r="AJ133">
        <f t="shared" si="47"/>
        <v>-1.0780084021243086E-2</v>
      </c>
      <c r="AK133">
        <f t="shared" si="48"/>
        <v>4.9774405423383961E-3</v>
      </c>
      <c r="AL133">
        <f t="shared" si="49"/>
        <v>-2.4356012853357867E-2</v>
      </c>
      <c r="AM133">
        <f t="shared" si="50"/>
        <v>9.3594875195626148E-3</v>
      </c>
      <c r="AN133">
        <f t="shared" si="51"/>
        <v>4.2816105464025256E-3</v>
      </c>
      <c r="AO133">
        <f t="shared" si="52"/>
        <v>-1.6090650898134218E-2</v>
      </c>
      <c r="AP133">
        <f t="shared" si="53"/>
        <v>6.1732125463016541E-3</v>
      </c>
      <c r="BH133" s="8">
        <f>BH132+2.5%</f>
        <v>0.77500000000000036</v>
      </c>
      <c r="BI133" s="71">
        <f t="shared" si="57"/>
        <v>2.3642318180451043</v>
      </c>
    </row>
    <row r="134" spans="3:76" x14ac:dyDescent="0.3">
      <c r="C134" s="1">
        <v>21.99</v>
      </c>
      <c r="D134" s="1">
        <v>3.67</v>
      </c>
      <c r="E134" s="1">
        <v>49.54</v>
      </c>
      <c r="F134" s="1">
        <v>249.02</v>
      </c>
      <c r="G134" s="1">
        <v>890.42</v>
      </c>
      <c r="H134" s="1">
        <v>26.75</v>
      </c>
      <c r="I134" s="1">
        <v>99.16</v>
      </c>
      <c r="J134" s="1">
        <v>114.62</v>
      </c>
      <c r="K134" s="1">
        <v>286</v>
      </c>
      <c r="L134" s="1">
        <v>168.32</v>
      </c>
      <c r="M134" s="1">
        <v>19.364999999999998</v>
      </c>
      <c r="O134" s="1">
        <v>19.353200000000001</v>
      </c>
      <c r="P134" s="1">
        <v>1.0985986813550213</v>
      </c>
      <c r="Q134" s="1">
        <v>0.14174400099208398</v>
      </c>
      <c r="R134" s="1">
        <v>0.73770000000000002</v>
      </c>
      <c r="T134" s="28">
        <v>21.99</v>
      </c>
      <c r="U134" s="29">
        <f t="shared" si="74"/>
        <v>0.52020048364094817</v>
      </c>
      <c r="V134" s="28">
        <v>49.54</v>
      </c>
      <c r="W134" s="28">
        <v>249.02</v>
      </c>
      <c r="X134" s="28">
        <v>890.42</v>
      </c>
      <c r="Y134" s="29">
        <f t="shared" ref="Y134:Y197" si="75">P133*H134</f>
        <v>29.335394388483255</v>
      </c>
      <c r="Z134" s="29">
        <f t="shared" ref="Z134:Z197" si="76">P134*I134</f>
        <v>108.93704524316391</v>
      </c>
      <c r="AA134" s="29">
        <f t="shared" ref="AA134:AA197" si="77">R134*J134</f>
        <v>84.555174000000008</v>
      </c>
      <c r="AB134" s="29">
        <f t="shared" ref="AB134:AB197" si="78">P134*K134</f>
        <v>314.19922286753609</v>
      </c>
      <c r="AC134" s="29">
        <f t="shared" ref="AC134:AC197" si="79">L134/O134</f>
        <v>8.697269702168116</v>
      </c>
      <c r="AD134" s="29">
        <f t="shared" ref="AD134:AD197" si="80">P134*M134</f>
        <v>21.274363464439986</v>
      </c>
      <c r="AF134">
        <f t="shared" si="43"/>
        <v>3.6513007759013671E-3</v>
      </c>
      <c r="AG134">
        <f t="shared" si="44"/>
        <v>3.8867816957369294E-2</v>
      </c>
      <c r="AH134">
        <f t="shared" si="45"/>
        <v>-7.6121794871795156E-3</v>
      </c>
      <c r="AI134">
        <f t="shared" si="46"/>
        <v>1.4255457803844962E-2</v>
      </c>
      <c r="AJ134">
        <f t="shared" si="47"/>
        <v>1.9265330418159365E-2</v>
      </c>
      <c r="AK134">
        <f t="shared" si="48"/>
        <v>2.9545601771596708E-5</v>
      </c>
      <c r="AL134">
        <f t="shared" si="49"/>
        <v>2.7899193438140735E-2</v>
      </c>
      <c r="AM134">
        <f t="shared" si="50"/>
        <v>-8.4143006452099822E-3</v>
      </c>
      <c r="AN134">
        <f t="shared" si="51"/>
        <v>4.5867376921437941E-3</v>
      </c>
      <c r="AO134">
        <f t="shared" si="52"/>
        <v>-2.4627286857912267E-3</v>
      </c>
      <c r="AP134">
        <f t="shared" si="53"/>
        <v>6.9766877551531437E-3</v>
      </c>
      <c r="BH134" s="8">
        <f t="shared" si="58"/>
        <v>0.80000000000000038</v>
      </c>
      <c r="BI134" s="71">
        <f t="shared" si="57"/>
        <v>2.4372941347562365</v>
      </c>
      <c r="BP134" s="108"/>
    </row>
    <row r="135" spans="3:76" x14ac:dyDescent="0.3">
      <c r="C135" s="1">
        <v>21.94</v>
      </c>
      <c r="D135" s="1">
        <v>3.99</v>
      </c>
      <c r="E135" s="1">
        <v>49.27</v>
      </c>
      <c r="F135" s="1">
        <v>250.76</v>
      </c>
      <c r="G135" s="1">
        <v>909.1</v>
      </c>
      <c r="H135" s="1">
        <v>27.2</v>
      </c>
      <c r="I135" s="1">
        <v>98.44</v>
      </c>
      <c r="J135" s="1">
        <v>115.78</v>
      </c>
      <c r="K135" s="1">
        <v>284.89999999999998</v>
      </c>
      <c r="L135" s="1">
        <v>168.79</v>
      </c>
      <c r="M135" s="1">
        <v>18.68</v>
      </c>
      <c r="O135" s="1">
        <v>19.4175</v>
      </c>
      <c r="P135" s="1">
        <v>1.0965984292519633</v>
      </c>
      <c r="Q135" s="1">
        <v>0.14137247328440838</v>
      </c>
      <c r="R135" s="1">
        <v>0.73650000000000004</v>
      </c>
      <c r="T135" s="28">
        <v>21.94</v>
      </c>
      <c r="U135" s="29">
        <f t="shared" si="74"/>
        <v>0.56407616840478947</v>
      </c>
      <c r="V135" s="28">
        <v>49.27</v>
      </c>
      <c r="W135" s="28">
        <v>250.76</v>
      </c>
      <c r="X135" s="28">
        <v>909.1</v>
      </c>
      <c r="Y135" s="29">
        <f t="shared" si="75"/>
        <v>29.881884132856577</v>
      </c>
      <c r="Z135" s="29">
        <f t="shared" si="76"/>
        <v>107.94914937556327</v>
      </c>
      <c r="AA135" s="29">
        <f t="shared" si="77"/>
        <v>85.27197000000001</v>
      </c>
      <c r="AB135" s="29">
        <f t="shared" si="78"/>
        <v>312.42089249388431</v>
      </c>
      <c r="AC135" s="29">
        <f t="shared" si="79"/>
        <v>8.6926741341573326</v>
      </c>
      <c r="AD135" s="29">
        <f t="shared" si="80"/>
        <v>20.484458658426675</v>
      </c>
      <c r="AF135">
        <f t="shared" ref="AF135:AF198" si="81">(T135/T134)-1</f>
        <v>-2.2737608003636778E-3</v>
      </c>
      <c r="AG135">
        <f t="shared" ref="AG135:AG198" si="82">(U135/U134)-1</f>
        <v>8.4343798484672439E-2</v>
      </c>
      <c r="AH135">
        <f t="shared" ref="AH135:AH198" si="83">(V135/V134)-1</f>
        <v>-5.4501412999595766E-3</v>
      </c>
      <c r="AI135">
        <f t="shared" ref="AI135:AI198" si="84">(W135/W134)-1</f>
        <v>6.9873905710384765E-3</v>
      </c>
      <c r="AJ135">
        <f t="shared" ref="AJ135:AJ198" si="85">(X135/X134)-1</f>
        <v>2.0978863906920386E-2</v>
      </c>
      <c r="AK135">
        <f t="shared" ref="AK135:AK198" si="86">(Y135/Y134)-1</f>
        <v>1.8629023258943E-2</v>
      </c>
      <c r="AL135">
        <f t="shared" ref="AL135:AL198" si="87">(Z135/Z134)-1</f>
        <v>-9.0685025043180101E-3</v>
      </c>
      <c r="AM135">
        <f t="shared" ref="AM135:AM198" si="88">(AA135/AA134)-1</f>
        <v>8.4772577015808093E-3</v>
      </c>
      <c r="AN135">
        <f t="shared" ref="AN135:AN198" si="89">(AB135/AB134)-1</f>
        <v>-5.6598815153706683E-3</v>
      </c>
      <c r="AO135">
        <f t="shared" ref="AO135:AO198" si="90">(AC135/AC134)-1</f>
        <v>-5.2839203200027995E-4</v>
      </c>
      <c r="AP135">
        <f t="shared" ref="AP135:AP198" si="91">(AD135/AD134)-1</f>
        <v>-3.7129421396491336E-2</v>
      </c>
      <c r="BH135" s="8">
        <f t="shared" si="58"/>
        <v>0.8250000000000004</v>
      </c>
      <c r="BI135" s="71">
        <f t="shared" si="57"/>
        <v>2.5103564514673691</v>
      </c>
      <c r="BP135" s="108"/>
    </row>
    <row r="136" spans="3:76" x14ac:dyDescent="0.3">
      <c r="C136" s="1">
        <v>21.96</v>
      </c>
      <c r="D136" s="1">
        <v>4.12</v>
      </c>
      <c r="E136" s="1">
        <v>49.65</v>
      </c>
      <c r="F136" s="1">
        <v>251.78</v>
      </c>
      <c r="G136" s="1">
        <v>893.63</v>
      </c>
      <c r="H136" s="1">
        <v>27.14</v>
      </c>
      <c r="I136" s="1">
        <v>98.02</v>
      </c>
      <c r="J136" s="1">
        <v>117.37</v>
      </c>
      <c r="K136" s="1">
        <v>286</v>
      </c>
      <c r="L136" s="1">
        <v>172.4</v>
      </c>
      <c r="M136" s="1">
        <v>18.934999999999999</v>
      </c>
      <c r="O136" s="1">
        <v>19.511299999999999</v>
      </c>
      <c r="P136" s="1">
        <v>1.0938994326364722</v>
      </c>
      <c r="Q136" s="1">
        <v>0.14110284809315629</v>
      </c>
      <c r="R136" s="1">
        <v>0.73419999999999996</v>
      </c>
      <c r="T136" s="28">
        <v>21.96</v>
      </c>
      <c r="U136" s="29">
        <f t="shared" si="74"/>
        <v>0.58134373414380391</v>
      </c>
      <c r="V136" s="28">
        <v>49.65</v>
      </c>
      <c r="W136" s="28">
        <v>251.78</v>
      </c>
      <c r="X136" s="28">
        <v>893.63</v>
      </c>
      <c r="Y136" s="29">
        <f t="shared" si="75"/>
        <v>29.761681369898284</v>
      </c>
      <c r="Z136" s="29">
        <f t="shared" si="76"/>
        <v>107.22402238702699</v>
      </c>
      <c r="AA136" s="29">
        <f t="shared" si="77"/>
        <v>86.173053999999993</v>
      </c>
      <c r="AB136" s="29">
        <f t="shared" si="78"/>
        <v>312.85523773403105</v>
      </c>
      <c r="AC136" s="29">
        <f t="shared" si="79"/>
        <v>8.8359053471578015</v>
      </c>
      <c r="AD136" s="29">
        <f t="shared" si="80"/>
        <v>20.712985756971598</v>
      </c>
      <c r="AF136">
        <f t="shared" si="81"/>
        <v>9.1157702825883646E-4</v>
      </c>
      <c r="AG136">
        <f t="shared" si="82"/>
        <v>3.0612117132775118E-2</v>
      </c>
      <c r="AH136">
        <f t="shared" si="83"/>
        <v>7.7126040186725753E-3</v>
      </c>
      <c r="AI136">
        <f t="shared" si="84"/>
        <v>4.0676343914500812E-3</v>
      </c>
      <c r="AJ136">
        <f t="shared" si="85"/>
        <v>-1.7016829831701719E-2</v>
      </c>
      <c r="AK136">
        <f t="shared" si="86"/>
        <v>-4.0225965144589093E-3</v>
      </c>
      <c r="AL136">
        <f t="shared" si="87"/>
        <v>-6.7173015510617606E-3</v>
      </c>
      <c r="AM136">
        <f t="shared" si="88"/>
        <v>1.0567176998490524E-2</v>
      </c>
      <c r="AN136">
        <f t="shared" si="89"/>
        <v>1.3902567036396807E-3</v>
      </c>
      <c r="AO136">
        <f t="shared" si="90"/>
        <v>1.6477232528210317E-2</v>
      </c>
      <c r="AP136">
        <f t="shared" si="91"/>
        <v>1.1156120957627191E-2</v>
      </c>
      <c r="BH136" s="8">
        <f t="shared" si="58"/>
        <v>0.85000000000000042</v>
      </c>
      <c r="BI136" s="71">
        <f t="shared" si="57"/>
        <v>2.5834187681785012</v>
      </c>
      <c r="BP136" s="108"/>
    </row>
    <row r="137" spans="3:76" x14ac:dyDescent="0.3">
      <c r="C137" s="1">
        <v>22.35</v>
      </c>
      <c r="D137" s="1">
        <v>3.73</v>
      </c>
      <c r="E137" s="1">
        <v>50.16</v>
      </c>
      <c r="F137" s="1">
        <v>254.09</v>
      </c>
      <c r="G137" s="1">
        <v>889.03</v>
      </c>
      <c r="H137" s="1">
        <v>27.48</v>
      </c>
      <c r="I137" s="1">
        <v>98.16</v>
      </c>
      <c r="J137" s="1">
        <v>117.54</v>
      </c>
      <c r="K137" s="1">
        <v>289.60000000000002</v>
      </c>
      <c r="L137" s="1">
        <v>170.73</v>
      </c>
      <c r="M137" s="1">
        <v>19.324999999999999</v>
      </c>
      <c r="O137" s="1">
        <v>19.398299999999999</v>
      </c>
      <c r="P137" s="1">
        <v>1.0935494347442818</v>
      </c>
      <c r="Q137" s="1">
        <v>0.14138867838934341</v>
      </c>
      <c r="R137" s="1">
        <v>0.73270000000000002</v>
      </c>
      <c r="T137" s="28">
        <v>22.35</v>
      </c>
      <c r="U137" s="29">
        <f t="shared" si="74"/>
        <v>0.52737977039225092</v>
      </c>
      <c r="V137" s="28">
        <v>50.16</v>
      </c>
      <c r="W137" s="28">
        <v>254.09</v>
      </c>
      <c r="X137" s="28">
        <v>889.03</v>
      </c>
      <c r="Y137" s="29">
        <f t="shared" si="75"/>
        <v>30.060356408850254</v>
      </c>
      <c r="Z137" s="29">
        <f t="shared" si="76"/>
        <v>107.3428125144987</v>
      </c>
      <c r="AA137" s="29">
        <f t="shared" si="77"/>
        <v>86.121558000000007</v>
      </c>
      <c r="AB137" s="29">
        <f t="shared" si="78"/>
        <v>316.69191630194405</v>
      </c>
      <c r="AC137" s="29">
        <f t="shared" si="79"/>
        <v>8.8012867106911425</v>
      </c>
      <c r="AD137" s="29">
        <f t="shared" si="80"/>
        <v>21.132842826433244</v>
      </c>
      <c r="AF137">
        <f t="shared" si="81"/>
        <v>1.775956284153013E-2</v>
      </c>
      <c r="AG137">
        <f t="shared" si="82"/>
        <v>-9.2826258514733029E-2</v>
      </c>
      <c r="AH137">
        <f t="shared" si="83"/>
        <v>1.0271903323262777E-2</v>
      </c>
      <c r="AI137">
        <f t="shared" si="84"/>
        <v>9.1746763047104718E-3</v>
      </c>
      <c r="AJ137">
        <f t="shared" si="85"/>
        <v>-5.1475442856663278E-3</v>
      </c>
      <c r="AK137">
        <f t="shared" si="86"/>
        <v>1.0035556635387355E-2</v>
      </c>
      <c r="AL137">
        <f t="shared" si="87"/>
        <v>1.107868599099282E-3</v>
      </c>
      <c r="AM137">
        <f t="shared" si="88"/>
        <v>-5.9758819734978541E-4</v>
      </c>
      <c r="AN137">
        <f t="shared" si="89"/>
        <v>1.2263430830506739E-2</v>
      </c>
      <c r="AO137">
        <f t="shared" si="90"/>
        <v>-3.9179501258231886E-3</v>
      </c>
      <c r="AP137">
        <f t="shared" si="91"/>
        <v>2.02702340641705E-2</v>
      </c>
      <c r="BH137" s="8">
        <f t="shared" si="58"/>
        <v>0.87500000000000044</v>
      </c>
      <c r="BI137" s="71">
        <f t="shared" si="57"/>
        <v>2.6564810848896339</v>
      </c>
      <c r="BP137" s="108"/>
    </row>
    <row r="138" spans="3:76" x14ac:dyDescent="0.3">
      <c r="C138" s="1">
        <v>22.91</v>
      </c>
      <c r="D138" s="1">
        <v>3.82</v>
      </c>
      <c r="E138" s="1">
        <v>50.1</v>
      </c>
      <c r="F138" s="1">
        <v>251.88</v>
      </c>
      <c r="G138" s="1">
        <v>889.76</v>
      </c>
      <c r="H138" s="1">
        <v>28.02</v>
      </c>
      <c r="I138" s="1">
        <v>97.02</v>
      </c>
      <c r="J138" s="1">
        <v>117.45</v>
      </c>
      <c r="K138" s="1">
        <v>303.89999999999998</v>
      </c>
      <c r="L138" s="1">
        <v>168.5</v>
      </c>
      <c r="M138" s="1">
        <v>19.664999999999999</v>
      </c>
      <c r="O138" s="1">
        <v>19.341999999999999</v>
      </c>
      <c r="P138" s="1">
        <v>1.0915003619067314</v>
      </c>
      <c r="Q138" s="1">
        <v>0.14096267190569747</v>
      </c>
      <c r="R138" s="1">
        <v>0.72929999999999995</v>
      </c>
      <c r="T138" s="28">
        <v>22.91</v>
      </c>
      <c r="U138" s="29">
        <f t="shared" si="74"/>
        <v>0.53847740667976429</v>
      </c>
      <c r="V138" s="28">
        <v>50.1</v>
      </c>
      <c r="W138" s="28">
        <v>251.88</v>
      </c>
      <c r="X138" s="28">
        <v>889.76</v>
      </c>
      <c r="Y138" s="29">
        <f t="shared" si="75"/>
        <v>30.641255161534776</v>
      </c>
      <c r="Z138" s="29">
        <f t="shared" si="76"/>
        <v>105.89736511219107</v>
      </c>
      <c r="AA138" s="29">
        <f t="shared" si="77"/>
        <v>85.656284999999997</v>
      </c>
      <c r="AB138" s="29">
        <f t="shared" si="78"/>
        <v>331.70695998345565</v>
      </c>
      <c r="AC138" s="29">
        <f t="shared" si="79"/>
        <v>8.7116120359838707</v>
      </c>
      <c r="AD138" s="29">
        <f t="shared" si="80"/>
        <v>21.464354616895871</v>
      </c>
      <c r="AF138">
        <f t="shared" si="81"/>
        <v>2.5055928411632955E-2</v>
      </c>
      <c r="AG138">
        <f t="shared" si="82"/>
        <v>2.1042969242561771E-2</v>
      </c>
      <c r="AH138">
        <f t="shared" si="83"/>
        <v>-1.1961722488037507E-3</v>
      </c>
      <c r="AI138">
        <f t="shared" si="84"/>
        <v>-8.697705537408007E-3</v>
      </c>
      <c r="AJ138">
        <f t="shared" si="85"/>
        <v>8.2111964725606335E-4</v>
      </c>
      <c r="AK138">
        <f t="shared" si="86"/>
        <v>1.9324413349719904E-2</v>
      </c>
      <c r="AL138">
        <f t="shared" si="87"/>
        <v>-1.3465712034631094E-2</v>
      </c>
      <c r="AM138">
        <f t="shared" si="88"/>
        <v>-5.4025148964444991E-3</v>
      </c>
      <c r="AN138">
        <f t="shared" si="89"/>
        <v>4.7412146975029712E-2</v>
      </c>
      <c r="AO138">
        <f t="shared" si="90"/>
        <v>-1.0188814164904025E-2</v>
      </c>
      <c r="AP138">
        <f t="shared" si="91"/>
        <v>1.5687041880043218E-2</v>
      </c>
      <c r="BH138" s="8">
        <f t="shared" si="58"/>
        <v>0.90000000000000047</v>
      </c>
      <c r="BI138" s="71">
        <f t="shared" si="57"/>
        <v>2.729543401600766</v>
      </c>
      <c r="BP138" s="108"/>
    </row>
    <row r="139" spans="3:76" x14ac:dyDescent="0.3">
      <c r="C139" s="1">
        <v>24.08</v>
      </c>
      <c r="D139" s="1">
        <v>3.69</v>
      </c>
      <c r="E139" s="1">
        <v>50.28</v>
      </c>
      <c r="F139" s="1">
        <v>251.6</v>
      </c>
      <c r="G139" s="1">
        <v>894.61</v>
      </c>
      <c r="H139" s="1">
        <v>28.19</v>
      </c>
      <c r="I139" s="1">
        <v>96.46</v>
      </c>
      <c r="J139" s="1">
        <v>118.55</v>
      </c>
      <c r="K139" s="1">
        <v>308.8</v>
      </c>
      <c r="L139" s="1">
        <v>171.8</v>
      </c>
      <c r="M139" s="1">
        <v>19.875</v>
      </c>
      <c r="O139" s="1">
        <v>19.62</v>
      </c>
      <c r="P139" s="1">
        <v>1.0903516819571866</v>
      </c>
      <c r="Q139" s="1">
        <v>0.14030581039755352</v>
      </c>
      <c r="R139" s="1">
        <v>0.72770000000000001</v>
      </c>
      <c r="T139" s="28">
        <v>24.08</v>
      </c>
      <c r="U139" s="29">
        <f t="shared" si="74"/>
        <v>0.51772844036697252</v>
      </c>
      <c r="V139" s="28">
        <v>50.28</v>
      </c>
      <c r="W139" s="28">
        <v>251.6</v>
      </c>
      <c r="X139" s="28">
        <v>894.61</v>
      </c>
      <c r="Y139" s="29">
        <f t="shared" si="75"/>
        <v>30.769395202150758</v>
      </c>
      <c r="Z139" s="29">
        <f t="shared" si="76"/>
        <v>105.17532324159021</v>
      </c>
      <c r="AA139" s="29">
        <f t="shared" si="77"/>
        <v>86.268834999999996</v>
      </c>
      <c r="AB139" s="29">
        <f t="shared" si="78"/>
        <v>336.7005993883792</v>
      </c>
      <c r="AC139" s="29">
        <f t="shared" si="79"/>
        <v>8.7563710499490313</v>
      </c>
      <c r="AD139" s="29">
        <f t="shared" si="80"/>
        <v>21.670739678899082</v>
      </c>
      <c r="AF139">
        <f t="shared" si="81"/>
        <v>5.1069402007856812E-2</v>
      </c>
      <c r="AG139">
        <f t="shared" si="82"/>
        <v>-3.8532659040848682E-2</v>
      </c>
      <c r="AH139">
        <f t="shared" si="83"/>
        <v>3.59281437125758E-3</v>
      </c>
      <c r="AI139">
        <f t="shared" si="84"/>
        <v>-1.1116404637129262E-3</v>
      </c>
      <c r="AJ139">
        <f t="shared" si="85"/>
        <v>5.4509081100522216E-3</v>
      </c>
      <c r="AK139">
        <f t="shared" si="86"/>
        <v>4.1819448955486838E-3</v>
      </c>
      <c r="AL139">
        <f t="shared" si="87"/>
        <v>-6.8183176213677532E-3</v>
      </c>
      <c r="AM139">
        <f t="shared" si="88"/>
        <v>7.1512557426463008E-3</v>
      </c>
      <c r="AN139">
        <f t="shared" si="89"/>
        <v>1.5054370294710129E-2</v>
      </c>
      <c r="AO139">
        <f t="shared" si="90"/>
        <v>5.1378566653657032E-3</v>
      </c>
      <c r="AP139">
        <f t="shared" si="91"/>
        <v>9.6152465651473396E-3</v>
      </c>
      <c r="BH139" s="8">
        <f t="shared" si="58"/>
        <v>0.92500000000000049</v>
      </c>
      <c r="BI139" s="71">
        <f t="shared" si="57"/>
        <v>2.8026057183118986</v>
      </c>
      <c r="BP139" s="108"/>
    </row>
    <row r="140" spans="3:76" x14ac:dyDescent="0.3">
      <c r="C140" s="1">
        <v>24.42</v>
      </c>
      <c r="D140" s="1">
        <v>3.84</v>
      </c>
      <c r="E140" s="1">
        <v>50.53</v>
      </c>
      <c r="F140" s="1">
        <v>255.37</v>
      </c>
      <c r="G140" s="1">
        <v>887.38</v>
      </c>
      <c r="H140" s="1">
        <v>28.2</v>
      </c>
      <c r="I140" s="1">
        <v>98.18</v>
      </c>
      <c r="J140" s="1">
        <v>118.44</v>
      </c>
      <c r="K140" s="1">
        <v>312.7</v>
      </c>
      <c r="L140" s="1">
        <v>174.28</v>
      </c>
      <c r="M140" s="1">
        <v>19.704999999999998</v>
      </c>
      <c r="O140" s="1">
        <v>19.892499999999998</v>
      </c>
      <c r="P140" s="1">
        <v>1.0889983662184242</v>
      </c>
      <c r="Q140" s="1">
        <v>0.1403342968455448</v>
      </c>
      <c r="R140" s="1">
        <v>0.72660000000000002</v>
      </c>
      <c r="T140" s="28">
        <v>24.42</v>
      </c>
      <c r="U140" s="29">
        <f t="shared" si="74"/>
        <v>0.538883699886892</v>
      </c>
      <c r="V140" s="28">
        <v>50.53</v>
      </c>
      <c r="W140" s="28">
        <v>255.37</v>
      </c>
      <c r="X140" s="28">
        <v>887.38</v>
      </c>
      <c r="Y140" s="29">
        <f t="shared" si="75"/>
        <v>30.747917431192661</v>
      </c>
      <c r="Z140" s="29">
        <f t="shared" si="76"/>
        <v>106.9178595953249</v>
      </c>
      <c r="AA140" s="29">
        <f t="shared" si="77"/>
        <v>86.058503999999999</v>
      </c>
      <c r="AB140" s="29">
        <f t="shared" si="78"/>
        <v>340.52978911650121</v>
      </c>
      <c r="AC140" s="29">
        <f t="shared" si="79"/>
        <v>8.7610908633907254</v>
      </c>
      <c r="AD140" s="29">
        <f t="shared" si="80"/>
        <v>21.458712806334045</v>
      </c>
      <c r="AF140">
        <f t="shared" si="81"/>
        <v>1.4119601328903775E-2</v>
      </c>
      <c r="AG140">
        <f t="shared" si="82"/>
        <v>4.0861690937674444E-2</v>
      </c>
      <c r="AH140">
        <f t="shared" si="83"/>
        <v>4.9721559268098847E-3</v>
      </c>
      <c r="AI140">
        <f t="shared" si="84"/>
        <v>1.498410174880771E-2</v>
      </c>
      <c r="AJ140">
        <f t="shared" si="85"/>
        <v>-8.0817339399291699E-3</v>
      </c>
      <c r="AK140">
        <f t="shared" si="86"/>
        <v>-6.9802382585004707E-4</v>
      </c>
      <c r="AL140">
        <f t="shared" si="87"/>
        <v>1.6567920116889345E-2</v>
      </c>
      <c r="AM140">
        <f t="shared" si="88"/>
        <v>-2.4380878680000384E-3</v>
      </c>
      <c r="AN140">
        <f t="shared" si="89"/>
        <v>1.1372684619741724E-2</v>
      </c>
      <c r="AO140">
        <f t="shared" si="90"/>
        <v>5.3901478303863826E-4</v>
      </c>
      <c r="AP140">
        <f t="shared" si="91"/>
        <v>-9.7840164067629631E-3</v>
      </c>
    </row>
    <row r="141" spans="3:76" x14ac:dyDescent="0.3">
      <c r="C141" s="1">
        <v>24.46</v>
      </c>
      <c r="D141" s="1">
        <v>3.81</v>
      </c>
      <c r="E141" s="1">
        <v>50.84</v>
      </c>
      <c r="F141" s="1">
        <v>251.34</v>
      </c>
      <c r="G141" s="1">
        <v>885.29</v>
      </c>
      <c r="H141" s="1">
        <v>28.28</v>
      </c>
      <c r="I141" s="1">
        <v>98.7</v>
      </c>
      <c r="J141" s="1">
        <v>118.23</v>
      </c>
      <c r="K141" s="1">
        <v>311</v>
      </c>
      <c r="L141" s="1">
        <v>172.67</v>
      </c>
      <c r="M141" s="1">
        <v>19.664999999999999</v>
      </c>
      <c r="O141" s="1">
        <v>19.9313</v>
      </c>
      <c r="P141" s="1">
        <v>1.0864519624911571</v>
      </c>
      <c r="Q141" s="1">
        <v>0.14015142012814016</v>
      </c>
      <c r="R141" s="1">
        <v>0.7248</v>
      </c>
      <c r="T141" s="28">
        <v>24.46</v>
      </c>
      <c r="U141" s="29">
        <f t="shared" si="74"/>
        <v>0.53397691068821407</v>
      </c>
      <c r="V141" s="28">
        <v>50.84</v>
      </c>
      <c r="W141" s="28">
        <v>251.34</v>
      </c>
      <c r="X141" s="28">
        <v>885.29</v>
      </c>
      <c r="Y141" s="29">
        <f t="shared" si="75"/>
        <v>30.796873796657035</v>
      </c>
      <c r="Z141" s="29">
        <f t="shared" si="76"/>
        <v>107.2328086978772</v>
      </c>
      <c r="AA141" s="29">
        <f t="shared" si="77"/>
        <v>85.693104000000005</v>
      </c>
      <c r="AB141" s="29">
        <f t="shared" si="78"/>
        <v>337.88656033474984</v>
      </c>
      <c r="AC141" s="29">
        <f t="shared" si="79"/>
        <v>8.6632582922338219</v>
      </c>
      <c r="AD141" s="29">
        <f t="shared" si="80"/>
        <v>21.365077842388601</v>
      </c>
      <c r="AF141">
        <f t="shared" si="81"/>
        <v>1.6380016380015405E-3</v>
      </c>
      <c r="AG141">
        <f t="shared" si="82"/>
        <v>-9.1054696954238068E-3</v>
      </c>
      <c r="AH141">
        <f t="shared" si="83"/>
        <v>6.1349693251533388E-3</v>
      </c>
      <c r="AI141">
        <f t="shared" si="84"/>
        <v>-1.5781023612797096E-2</v>
      </c>
      <c r="AJ141">
        <f t="shared" si="85"/>
        <v>-2.3552480335369275E-3</v>
      </c>
      <c r="AK141">
        <f t="shared" si="86"/>
        <v>1.592184757680748E-3</v>
      </c>
      <c r="AL141">
        <f t="shared" si="87"/>
        <v>2.9457108825818867E-3</v>
      </c>
      <c r="AM141">
        <f t="shared" si="88"/>
        <v>-4.2459487792164685E-3</v>
      </c>
      <c r="AN141">
        <f t="shared" si="89"/>
        <v>-7.762107358093906E-3</v>
      </c>
      <c r="AO141">
        <f t="shared" si="90"/>
        <v>-1.1166711164440568E-2</v>
      </c>
      <c r="AP141">
        <f t="shared" si="91"/>
        <v>-4.3634939705146092E-3</v>
      </c>
    </row>
    <row r="142" spans="3:76" x14ac:dyDescent="0.3">
      <c r="C142" s="1">
        <v>24.67</v>
      </c>
      <c r="D142" s="1">
        <v>3.91</v>
      </c>
      <c r="E142" s="1">
        <v>51.37</v>
      </c>
      <c r="F142" s="1">
        <v>251.12</v>
      </c>
      <c r="G142" s="1">
        <v>889.56</v>
      </c>
      <c r="H142" s="1">
        <v>27.89</v>
      </c>
      <c r="I142" s="1">
        <v>98.26</v>
      </c>
      <c r="J142" s="1">
        <v>117.31</v>
      </c>
      <c r="K142" s="1">
        <v>309.5</v>
      </c>
      <c r="L142" s="1">
        <v>173.15</v>
      </c>
      <c r="M142" s="1">
        <v>19.664999999999999</v>
      </c>
      <c r="O142" s="1">
        <v>19.8325</v>
      </c>
      <c r="P142" s="1">
        <v>1.084548090255893</v>
      </c>
      <c r="Q142" s="1">
        <v>0.14047144838018402</v>
      </c>
      <c r="R142" s="1">
        <v>0.72589999999999999</v>
      </c>
      <c r="T142" s="28">
        <v>24.67</v>
      </c>
      <c r="U142" s="29">
        <f t="shared" si="74"/>
        <v>0.54924336316651956</v>
      </c>
      <c r="V142" s="28">
        <v>51.37</v>
      </c>
      <c r="W142" s="28">
        <v>251.12</v>
      </c>
      <c r="X142" s="28">
        <v>889.56</v>
      </c>
      <c r="Y142" s="29">
        <f t="shared" si="75"/>
        <v>30.301145233878369</v>
      </c>
      <c r="Z142" s="29">
        <f t="shared" si="76"/>
        <v>106.56769534854406</v>
      </c>
      <c r="AA142" s="29">
        <f t="shared" si="77"/>
        <v>85.155328999999995</v>
      </c>
      <c r="AB142" s="29">
        <f t="shared" si="78"/>
        <v>335.66763393419888</v>
      </c>
      <c r="AC142" s="29">
        <f t="shared" si="79"/>
        <v>8.7306189335686373</v>
      </c>
      <c r="AD142" s="29">
        <f t="shared" si="80"/>
        <v>21.327638194882137</v>
      </c>
      <c r="AF142">
        <f t="shared" si="81"/>
        <v>8.5854456255110012E-3</v>
      </c>
      <c r="AG142">
        <f t="shared" si="82"/>
        <v>2.8590098509370776E-2</v>
      </c>
      <c r="AH142">
        <f t="shared" si="83"/>
        <v>1.0424862313139105E-2</v>
      </c>
      <c r="AI142">
        <f t="shared" si="84"/>
        <v>-8.7530834725868534E-4</v>
      </c>
      <c r="AJ142">
        <f t="shared" si="85"/>
        <v>4.8232782478057068E-3</v>
      </c>
      <c r="AK142">
        <f t="shared" si="86"/>
        <v>-1.6096717025624763E-2</v>
      </c>
      <c r="AL142">
        <f t="shared" si="87"/>
        <v>-6.2025172837453235E-3</v>
      </c>
      <c r="AM142">
        <f t="shared" si="88"/>
        <v>-6.2755924910832261E-3</v>
      </c>
      <c r="AN142">
        <f t="shared" si="89"/>
        <v>-6.5670750513209253E-3</v>
      </c>
      <c r="AO142">
        <f t="shared" si="90"/>
        <v>7.7754395704905388E-3</v>
      </c>
      <c r="AP142">
        <f t="shared" si="91"/>
        <v>-1.7523758997115557E-3</v>
      </c>
    </row>
    <row r="143" spans="3:76" x14ac:dyDescent="0.3">
      <c r="C143" s="1">
        <v>23.99</v>
      </c>
      <c r="D143" s="1">
        <v>3.87</v>
      </c>
      <c r="E143" s="1">
        <v>51.38</v>
      </c>
      <c r="F143" s="1">
        <v>250.74</v>
      </c>
      <c r="G143" s="1">
        <v>886.77</v>
      </c>
      <c r="H143" s="1">
        <v>27.58</v>
      </c>
      <c r="I143" s="1">
        <v>98.36</v>
      </c>
      <c r="J143" s="1">
        <v>116.91</v>
      </c>
      <c r="K143" s="1">
        <v>310.5</v>
      </c>
      <c r="L143" s="1">
        <v>172.09</v>
      </c>
      <c r="M143" s="1">
        <v>19.53</v>
      </c>
      <c r="O143" s="1">
        <v>20.0075</v>
      </c>
      <c r="P143" s="1">
        <v>1.0847482194177183</v>
      </c>
      <c r="Q143" s="1">
        <v>0.14035236786205174</v>
      </c>
      <c r="R143" s="1">
        <v>0.72709999999999997</v>
      </c>
      <c r="T143" s="28">
        <v>23.99</v>
      </c>
      <c r="U143" s="29">
        <f t="shared" si="74"/>
        <v>0.54316366362614021</v>
      </c>
      <c r="V143" s="28">
        <v>51.38</v>
      </c>
      <c r="W143" s="28">
        <v>250.74</v>
      </c>
      <c r="X143" s="28">
        <v>886.77</v>
      </c>
      <c r="Y143" s="29">
        <f t="shared" si="75"/>
        <v>29.911836329257529</v>
      </c>
      <c r="Z143" s="29">
        <f t="shared" si="76"/>
        <v>106.69583486192677</v>
      </c>
      <c r="AA143" s="29">
        <f t="shared" si="77"/>
        <v>85.00526099999999</v>
      </c>
      <c r="AB143" s="29">
        <f t="shared" si="78"/>
        <v>336.81432212920151</v>
      </c>
      <c r="AC143" s="29">
        <f t="shared" si="79"/>
        <v>8.6012745220542293</v>
      </c>
      <c r="AD143" s="29">
        <f t="shared" si="80"/>
        <v>21.185132725228041</v>
      </c>
      <c r="AF143">
        <f t="shared" si="81"/>
        <v>-2.75638427239564E-2</v>
      </c>
      <c r="AG143">
        <f t="shared" si="82"/>
        <v>-1.1069227136998872E-2</v>
      </c>
      <c r="AH143">
        <f t="shared" si="83"/>
        <v>1.9466614755714318E-4</v>
      </c>
      <c r="AI143">
        <f t="shared" si="84"/>
        <v>-1.5132207709461776E-3</v>
      </c>
      <c r="AJ143">
        <f t="shared" si="85"/>
        <v>-3.1363820315660762E-3</v>
      </c>
      <c r="AK143">
        <f t="shared" si="86"/>
        <v>-1.2847993091217313E-2</v>
      </c>
      <c r="AL143">
        <f t="shared" si="87"/>
        <v>1.2024236140568689E-3</v>
      </c>
      <c r="AM143">
        <f t="shared" si="88"/>
        <v>-1.7622854818634126E-3</v>
      </c>
      <c r="AN143">
        <f t="shared" si="89"/>
        <v>3.4161416802771516E-3</v>
      </c>
      <c r="AO143">
        <f t="shared" si="90"/>
        <v>-1.4815033447066139E-2</v>
      </c>
      <c r="AP143">
        <f t="shared" si="91"/>
        <v>-6.6817276414737892E-3</v>
      </c>
    </row>
    <row r="144" spans="3:76" x14ac:dyDescent="0.3">
      <c r="C144" s="1">
        <v>23.13</v>
      </c>
      <c r="D144" s="1">
        <v>4.03</v>
      </c>
      <c r="E144" s="1">
        <v>51.92</v>
      </c>
      <c r="F144" s="1">
        <v>248.25</v>
      </c>
      <c r="G144" s="1">
        <v>893.49</v>
      </c>
      <c r="H144" s="1">
        <v>27.65</v>
      </c>
      <c r="I144" s="1">
        <v>97.46</v>
      </c>
      <c r="J144" s="1">
        <v>115.83</v>
      </c>
      <c r="K144" s="1">
        <v>308.2</v>
      </c>
      <c r="L144" s="1">
        <v>168.92</v>
      </c>
      <c r="M144" s="1">
        <v>19.690000000000001</v>
      </c>
      <c r="O144" s="1">
        <v>19.898499999999999</v>
      </c>
      <c r="P144" s="1">
        <v>1.0828002110711863</v>
      </c>
      <c r="Q144" s="1">
        <v>0.14017136970123378</v>
      </c>
      <c r="R144" s="1">
        <v>0.7248</v>
      </c>
      <c r="T144" s="28">
        <v>23.13</v>
      </c>
      <c r="U144" s="29">
        <f t="shared" si="74"/>
        <v>0.56489061989597222</v>
      </c>
      <c r="V144" s="28">
        <v>51.92</v>
      </c>
      <c r="W144" s="28">
        <v>248.25</v>
      </c>
      <c r="X144" s="28">
        <v>893.49</v>
      </c>
      <c r="Y144" s="29">
        <f t="shared" si="75"/>
        <v>29.99328826689991</v>
      </c>
      <c r="Z144" s="29">
        <f t="shared" si="76"/>
        <v>105.52970857099781</v>
      </c>
      <c r="AA144" s="29">
        <f t="shared" si="77"/>
        <v>83.953583999999992</v>
      </c>
      <c r="AB144" s="29">
        <f t="shared" si="78"/>
        <v>333.71902505213961</v>
      </c>
      <c r="AC144" s="29">
        <f t="shared" si="79"/>
        <v>8.4890820916149465</v>
      </c>
      <c r="AD144" s="29">
        <f t="shared" si="80"/>
        <v>21.320336155991658</v>
      </c>
      <c r="AF144">
        <f t="shared" si="81"/>
        <v>-3.5848270112546876E-2</v>
      </c>
      <c r="AG144">
        <f t="shared" si="82"/>
        <v>4.0000754330257848E-2</v>
      </c>
      <c r="AH144">
        <f t="shared" si="83"/>
        <v>1.0509926041261108E-2</v>
      </c>
      <c r="AI144">
        <f t="shared" si="84"/>
        <v>-9.9306054079923989E-3</v>
      </c>
      <c r="AJ144">
        <f t="shared" si="85"/>
        <v>7.5780642105620633E-3</v>
      </c>
      <c r="AK144">
        <f t="shared" si="86"/>
        <v>2.7230671078095625E-3</v>
      </c>
      <c r="AL144">
        <f t="shared" si="87"/>
        <v>-1.0929445300634444E-2</v>
      </c>
      <c r="AM144">
        <f t="shared" si="88"/>
        <v>-1.2371904840101533E-2</v>
      </c>
      <c r="AN144">
        <f t="shared" si="89"/>
        <v>-9.1899211930618341E-3</v>
      </c>
      <c r="AO144">
        <f t="shared" si="90"/>
        <v>-1.3043698367214529E-2</v>
      </c>
      <c r="AP144">
        <f t="shared" si="91"/>
        <v>6.3819959269177939E-3</v>
      </c>
    </row>
    <row r="145" spans="3:42" x14ac:dyDescent="0.3">
      <c r="C145" s="1">
        <v>22.69</v>
      </c>
      <c r="D145" s="1">
        <v>4.16</v>
      </c>
      <c r="E145" s="1">
        <v>51.29</v>
      </c>
      <c r="F145" s="1">
        <v>247.25</v>
      </c>
      <c r="G145" s="1">
        <v>899.17</v>
      </c>
      <c r="H145" s="1">
        <v>28.03</v>
      </c>
      <c r="I145" s="1">
        <v>96.88</v>
      </c>
      <c r="J145" s="1">
        <v>112.94</v>
      </c>
      <c r="K145" s="1">
        <v>312.60000000000002</v>
      </c>
      <c r="L145" s="1">
        <v>168.99</v>
      </c>
      <c r="M145" s="1">
        <v>19.745000000000001</v>
      </c>
      <c r="O145" s="1">
        <v>19.933800000000002</v>
      </c>
      <c r="P145" s="1">
        <v>1.0778476758069209</v>
      </c>
      <c r="Q145" s="1">
        <v>0.14001846110626173</v>
      </c>
      <c r="R145" s="1">
        <v>0.72450000000000003</v>
      </c>
      <c r="T145" s="28">
        <v>22.69</v>
      </c>
      <c r="U145" s="29">
        <f t="shared" si="74"/>
        <v>0.58247679820204878</v>
      </c>
      <c r="V145" s="28">
        <v>51.29</v>
      </c>
      <c r="W145" s="28">
        <v>247.25</v>
      </c>
      <c r="X145" s="28">
        <v>899.17</v>
      </c>
      <c r="Y145" s="29">
        <f t="shared" si="75"/>
        <v>30.350889916325354</v>
      </c>
      <c r="Z145" s="29">
        <f t="shared" si="76"/>
        <v>104.42188283217449</v>
      </c>
      <c r="AA145" s="29">
        <f t="shared" si="77"/>
        <v>81.825029999999998</v>
      </c>
      <c r="AB145" s="29">
        <f t="shared" si="78"/>
        <v>336.93518345724351</v>
      </c>
      <c r="AC145" s="29">
        <f t="shared" si="79"/>
        <v>8.4775607260030696</v>
      </c>
      <c r="AD145" s="29">
        <f t="shared" si="80"/>
        <v>21.282102358807652</v>
      </c>
      <c r="AF145">
        <f t="shared" si="81"/>
        <v>-1.9022913964548138E-2</v>
      </c>
      <c r="AG145">
        <f t="shared" si="82"/>
        <v>3.1132006244527721E-2</v>
      </c>
      <c r="AH145">
        <f t="shared" si="83"/>
        <v>-1.2134052388289684E-2</v>
      </c>
      <c r="AI145">
        <f t="shared" si="84"/>
        <v>-4.0281973816717054E-3</v>
      </c>
      <c r="AJ145">
        <f t="shared" si="85"/>
        <v>6.3570940917077046E-3</v>
      </c>
      <c r="AK145">
        <f t="shared" si="86"/>
        <v>1.1922722385197426E-2</v>
      </c>
      <c r="AL145">
        <f t="shared" si="87"/>
        <v>-1.0497761756614765E-2</v>
      </c>
      <c r="AM145">
        <f t="shared" si="88"/>
        <v>-2.5353938433408607E-2</v>
      </c>
      <c r="AN145">
        <f t="shared" si="89"/>
        <v>9.6373241070131233E-3</v>
      </c>
      <c r="AO145">
        <f t="shared" si="90"/>
        <v>-1.3571980442098619E-3</v>
      </c>
      <c r="AP145">
        <f t="shared" si="91"/>
        <v>-1.7933017990084954E-3</v>
      </c>
    </row>
    <row r="146" spans="3:42" x14ac:dyDescent="0.3">
      <c r="C146" s="1">
        <v>22.54</v>
      </c>
      <c r="D146" s="1">
        <v>4.4000000000000004</v>
      </c>
      <c r="E146" s="1">
        <v>51.68</v>
      </c>
      <c r="F146" s="1">
        <v>246.87</v>
      </c>
      <c r="G146" s="1">
        <v>893.42</v>
      </c>
      <c r="H146" s="1">
        <v>28.1</v>
      </c>
      <c r="I146" s="1">
        <v>99.02</v>
      </c>
      <c r="J146" s="1">
        <v>114.53</v>
      </c>
      <c r="K146" s="1">
        <v>309</v>
      </c>
      <c r="L146" s="1">
        <v>168.49</v>
      </c>
      <c r="M146" s="1">
        <v>19.68</v>
      </c>
      <c r="O146" s="1">
        <v>19.8385</v>
      </c>
      <c r="P146" s="1">
        <v>1.0800010081407365</v>
      </c>
      <c r="Q146" s="1">
        <v>0.14041888247599366</v>
      </c>
      <c r="R146" s="1">
        <v>0.72299999999999998</v>
      </c>
      <c r="T146" s="28">
        <v>22.54</v>
      </c>
      <c r="U146" s="29">
        <f t="shared" si="74"/>
        <v>0.61784308289437218</v>
      </c>
      <c r="V146" s="28">
        <v>51.68</v>
      </c>
      <c r="W146" s="28">
        <v>246.87</v>
      </c>
      <c r="X146" s="28">
        <v>893.42</v>
      </c>
      <c r="Y146" s="29">
        <f t="shared" si="75"/>
        <v>30.287519690174477</v>
      </c>
      <c r="Z146" s="29">
        <f t="shared" si="76"/>
        <v>106.94169982609573</v>
      </c>
      <c r="AA146" s="29">
        <f t="shared" si="77"/>
        <v>82.805189999999996</v>
      </c>
      <c r="AB146" s="29">
        <f t="shared" si="78"/>
        <v>333.72031151548759</v>
      </c>
      <c r="AC146" s="29">
        <f t="shared" si="79"/>
        <v>8.4930816341961339</v>
      </c>
      <c r="AD146" s="29">
        <f t="shared" si="80"/>
        <v>21.254419840209696</v>
      </c>
      <c r="AF146">
        <f t="shared" si="81"/>
        <v>-6.6108417805201825E-3</v>
      </c>
      <c r="AG146">
        <f t="shared" si="82"/>
        <v>6.0717070279004526E-2</v>
      </c>
      <c r="AH146">
        <f t="shared" si="83"/>
        <v>7.6038214076818988E-3</v>
      </c>
      <c r="AI146">
        <f t="shared" si="84"/>
        <v>-1.5369059656218376E-3</v>
      </c>
      <c r="AJ146">
        <f t="shared" si="85"/>
        <v>-6.3947863029237828E-3</v>
      </c>
      <c r="AK146">
        <f t="shared" si="86"/>
        <v>-2.0879198707379754E-3</v>
      </c>
      <c r="AL146">
        <f t="shared" si="87"/>
        <v>2.413112008304874E-2</v>
      </c>
      <c r="AM146">
        <f t="shared" si="88"/>
        <v>1.1978730713572583E-2</v>
      </c>
      <c r="AN146">
        <f t="shared" si="89"/>
        <v>-9.5415145096114928E-3</v>
      </c>
      <c r="AO146">
        <f t="shared" si="90"/>
        <v>1.8308224139824691E-3</v>
      </c>
      <c r="AP146">
        <f t="shared" si="91"/>
        <v>-1.3007417280135325E-3</v>
      </c>
    </row>
    <row r="147" spans="3:42" x14ac:dyDescent="0.3">
      <c r="C147" s="1">
        <v>22.73</v>
      </c>
      <c r="D147" s="1">
        <v>4.46</v>
      </c>
      <c r="E147" s="1">
        <v>51.8</v>
      </c>
      <c r="F147" s="1">
        <v>243.78</v>
      </c>
      <c r="G147" s="1">
        <v>891.22</v>
      </c>
      <c r="H147" s="1">
        <v>28.25</v>
      </c>
      <c r="I147" s="1">
        <v>100.8</v>
      </c>
      <c r="J147" s="1">
        <v>114.55</v>
      </c>
      <c r="K147" s="1">
        <v>307.2</v>
      </c>
      <c r="L147" s="1">
        <v>172.57</v>
      </c>
      <c r="M147" s="1">
        <v>19.805</v>
      </c>
      <c r="O147" s="1">
        <v>19.930299999999999</v>
      </c>
      <c r="P147" s="1">
        <v>1.082452346427299</v>
      </c>
      <c r="Q147" s="1">
        <v>0.14015343471999919</v>
      </c>
      <c r="R147" s="1">
        <v>0.72360000000000002</v>
      </c>
      <c r="T147" s="28">
        <v>22.73</v>
      </c>
      <c r="U147" s="29">
        <f t="shared" si="74"/>
        <v>0.62508431885119642</v>
      </c>
      <c r="V147" s="28">
        <v>51.8</v>
      </c>
      <c r="W147" s="28">
        <v>243.78</v>
      </c>
      <c r="X147" s="28">
        <v>891.22</v>
      </c>
      <c r="Y147" s="29">
        <f t="shared" si="75"/>
        <v>30.510028479975805</v>
      </c>
      <c r="Z147" s="29">
        <f t="shared" si="76"/>
        <v>109.11119651987174</v>
      </c>
      <c r="AA147" s="29">
        <f t="shared" si="77"/>
        <v>82.888379999999998</v>
      </c>
      <c r="AB147" s="29">
        <f t="shared" si="78"/>
        <v>332.52936082246623</v>
      </c>
      <c r="AC147" s="29">
        <f t="shared" si="79"/>
        <v>8.6586754840619555</v>
      </c>
      <c r="AD147" s="29">
        <f t="shared" si="80"/>
        <v>21.437968720992657</v>
      </c>
      <c r="AF147">
        <f t="shared" si="81"/>
        <v>8.4294587400177701E-3</v>
      </c>
      <c r="AG147">
        <f t="shared" si="82"/>
        <v>1.1720186172355707E-2</v>
      </c>
      <c r="AH147">
        <f t="shared" si="83"/>
        <v>2.3219814241486336E-3</v>
      </c>
      <c r="AI147">
        <f t="shared" si="84"/>
        <v>-1.2516709199173692E-2</v>
      </c>
      <c r="AJ147">
        <f t="shared" si="85"/>
        <v>-2.4624476729868672E-3</v>
      </c>
      <c r="AK147">
        <f t="shared" si="86"/>
        <v>7.3465503969118995E-3</v>
      </c>
      <c r="AL147">
        <f t="shared" si="87"/>
        <v>2.0286723488629477E-2</v>
      </c>
      <c r="AM147">
        <f t="shared" si="88"/>
        <v>1.004647172478057E-3</v>
      </c>
      <c r="AN147">
        <f t="shared" si="89"/>
        <v>-3.5687090414515676E-3</v>
      </c>
      <c r="AO147">
        <f t="shared" si="90"/>
        <v>1.9497498905354016E-2</v>
      </c>
      <c r="AP147">
        <f t="shared" si="91"/>
        <v>8.6357982086961993E-3</v>
      </c>
    </row>
    <row r="148" spans="3:42" x14ac:dyDescent="0.3">
      <c r="C148" s="1">
        <v>23.22</v>
      </c>
      <c r="D148" s="1">
        <v>4.38</v>
      </c>
      <c r="E148" s="1">
        <v>51.78</v>
      </c>
      <c r="F148" s="1">
        <v>244.31</v>
      </c>
      <c r="G148" s="1">
        <v>890.96</v>
      </c>
      <c r="H148" s="1">
        <v>28.34</v>
      </c>
      <c r="I148" s="1">
        <v>100.85</v>
      </c>
      <c r="J148" s="1">
        <v>115.34</v>
      </c>
      <c r="K148" s="1">
        <v>305.89999999999998</v>
      </c>
      <c r="L148" s="1">
        <v>169.9</v>
      </c>
      <c r="M148" s="1">
        <v>19.704999999999998</v>
      </c>
      <c r="O148" s="1">
        <v>20.000699999999998</v>
      </c>
      <c r="P148" s="1">
        <v>1.0819521316753915</v>
      </c>
      <c r="Q148" s="1">
        <v>0.14009509667161651</v>
      </c>
      <c r="R148" s="1">
        <v>0.72270000000000001</v>
      </c>
      <c r="T148" s="28">
        <v>23.22</v>
      </c>
      <c r="U148" s="29">
        <f t="shared" si="74"/>
        <v>0.61361652342168027</v>
      </c>
      <c r="V148" s="28">
        <v>51.78</v>
      </c>
      <c r="W148" s="28">
        <v>244.31</v>
      </c>
      <c r="X148" s="28">
        <v>890.96</v>
      </c>
      <c r="Y148" s="29">
        <f t="shared" si="75"/>
        <v>30.676699497749656</v>
      </c>
      <c r="Z148" s="29">
        <f t="shared" si="76"/>
        <v>109.11487247946323</v>
      </c>
      <c r="AA148" s="29">
        <f t="shared" si="77"/>
        <v>83.356217999999998</v>
      </c>
      <c r="AB148" s="29">
        <f t="shared" si="78"/>
        <v>330.96915707950222</v>
      </c>
      <c r="AC148" s="29">
        <f t="shared" si="79"/>
        <v>8.4947026854060113</v>
      </c>
      <c r="AD148" s="29">
        <f t="shared" si="80"/>
        <v>21.319866754663586</v>
      </c>
      <c r="AF148">
        <f t="shared" si="81"/>
        <v>2.1557413110426582E-2</v>
      </c>
      <c r="AG148">
        <f t="shared" si="82"/>
        <v>-1.8345997625715649E-2</v>
      </c>
      <c r="AH148">
        <f t="shared" si="83"/>
        <v>-3.8610038610031872E-4</v>
      </c>
      <c r="AI148">
        <f t="shared" si="84"/>
        <v>2.1740913938796957E-3</v>
      </c>
      <c r="AJ148">
        <f t="shared" si="85"/>
        <v>-2.9173492515877086E-4</v>
      </c>
      <c r="AK148">
        <f t="shared" si="86"/>
        <v>5.4628273416146289E-3</v>
      </c>
      <c r="AL148">
        <f t="shared" si="87"/>
        <v>3.3690030984301345E-5</v>
      </c>
      <c r="AM148">
        <f t="shared" si="88"/>
        <v>5.6441928289585608E-3</v>
      </c>
      <c r="AN148">
        <f t="shared" si="89"/>
        <v>-4.6919277717464292E-3</v>
      </c>
      <c r="AO148">
        <f t="shared" si="90"/>
        <v>-1.893739971636188E-2</v>
      </c>
      <c r="AP148">
        <f t="shared" si="91"/>
        <v>-5.5090091727497681E-3</v>
      </c>
    </row>
    <row r="149" spans="3:42" x14ac:dyDescent="0.3">
      <c r="C149" s="1">
        <v>23.64</v>
      </c>
      <c r="D149" s="1">
        <v>4.72</v>
      </c>
      <c r="E149" s="1">
        <v>52.36</v>
      </c>
      <c r="F149" s="1">
        <v>241.68</v>
      </c>
      <c r="G149" s="1">
        <v>886.99</v>
      </c>
      <c r="H149" s="1">
        <v>28.07</v>
      </c>
      <c r="I149" s="1">
        <v>101.2</v>
      </c>
      <c r="J149" s="1">
        <v>113.44</v>
      </c>
      <c r="K149" s="1">
        <v>306</v>
      </c>
      <c r="L149" s="1">
        <v>169.94</v>
      </c>
      <c r="M149" s="1">
        <v>19.63</v>
      </c>
      <c r="O149" s="1">
        <v>20.020800000000001</v>
      </c>
      <c r="P149" s="1">
        <v>1.0798519539678733</v>
      </c>
      <c r="Q149" s="1">
        <v>0.13973467593702549</v>
      </c>
      <c r="R149" s="1">
        <v>0.72170000000000001</v>
      </c>
      <c r="T149" s="28">
        <v>23.64</v>
      </c>
      <c r="U149" s="29">
        <f t="shared" si="74"/>
        <v>0.6595476704227603</v>
      </c>
      <c r="V149" s="28">
        <v>52.36</v>
      </c>
      <c r="W149" s="28">
        <v>241.68</v>
      </c>
      <c r="X149" s="28">
        <v>886.99</v>
      </c>
      <c r="Y149" s="29">
        <f t="shared" si="75"/>
        <v>30.370396336128241</v>
      </c>
      <c r="Z149" s="29">
        <f t="shared" si="76"/>
        <v>109.28101774154878</v>
      </c>
      <c r="AA149" s="29">
        <f t="shared" si="77"/>
        <v>81.869647999999998</v>
      </c>
      <c r="AB149" s="29">
        <f t="shared" si="78"/>
        <v>330.43469791416919</v>
      </c>
      <c r="AC149" s="29">
        <f t="shared" si="79"/>
        <v>8.4881723008071592</v>
      </c>
      <c r="AD149" s="29">
        <f t="shared" si="80"/>
        <v>21.19749385638935</v>
      </c>
      <c r="AF149">
        <f t="shared" si="81"/>
        <v>1.8087855297157729E-2</v>
      </c>
      <c r="AG149">
        <f t="shared" si="82"/>
        <v>7.4853178243891483E-2</v>
      </c>
      <c r="AH149">
        <f t="shared" si="83"/>
        <v>1.1201235998455017E-2</v>
      </c>
      <c r="AI149">
        <f t="shared" si="84"/>
        <v>-1.0765011665506918E-2</v>
      </c>
      <c r="AJ149">
        <f t="shared" si="85"/>
        <v>-4.4558678279609243E-3</v>
      </c>
      <c r="AK149">
        <f t="shared" si="86"/>
        <v>-9.9848799458978066E-3</v>
      </c>
      <c r="AL149">
        <f t="shared" si="87"/>
        <v>1.5226637607703708E-3</v>
      </c>
      <c r="AM149">
        <f t="shared" si="88"/>
        <v>-1.7833942514042578E-2</v>
      </c>
      <c r="AN149">
        <f t="shared" si="89"/>
        <v>-1.6148307293922803E-3</v>
      </c>
      <c r="AO149">
        <f t="shared" si="90"/>
        <v>-7.6875964241474026E-4</v>
      </c>
      <c r="AP149">
        <f t="shared" si="91"/>
        <v>-5.7398528650498548E-3</v>
      </c>
    </row>
    <row r="150" spans="3:42" x14ac:dyDescent="0.3">
      <c r="C150" s="1">
        <v>23.38</v>
      </c>
      <c r="D150" s="1">
        <v>5.19</v>
      </c>
      <c r="E150" s="1">
        <v>52.65</v>
      </c>
      <c r="F150" s="1">
        <v>243</v>
      </c>
      <c r="G150" s="1">
        <v>879.09</v>
      </c>
      <c r="H150" s="1">
        <v>27.82</v>
      </c>
      <c r="I150" s="1">
        <v>101.2</v>
      </c>
      <c r="J150" s="1">
        <v>114.19</v>
      </c>
      <c r="K150" s="1">
        <v>300.7</v>
      </c>
      <c r="L150" s="1">
        <v>171.21</v>
      </c>
      <c r="M150" s="1">
        <v>19.805</v>
      </c>
      <c r="O150" s="1">
        <v>20.1617</v>
      </c>
      <c r="P150" s="1">
        <v>1.0825476026327145</v>
      </c>
      <c r="Q150" s="1">
        <v>0.14013699241631411</v>
      </c>
      <c r="R150" s="1">
        <v>0.7198</v>
      </c>
      <c r="T150" s="28">
        <v>23.38</v>
      </c>
      <c r="U150" s="29">
        <f t="shared" si="74"/>
        <v>0.72731099064067029</v>
      </c>
      <c r="V150" s="28">
        <v>52.65</v>
      </c>
      <c r="W150" s="28">
        <v>243</v>
      </c>
      <c r="X150" s="28">
        <v>879.09</v>
      </c>
      <c r="Y150" s="29">
        <f t="shared" si="75"/>
        <v>30.041481359386236</v>
      </c>
      <c r="Z150" s="29">
        <f t="shared" si="76"/>
        <v>109.55381738643071</v>
      </c>
      <c r="AA150" s="29">
        <f t="shared" si="77"/>
        <v>82.193961999999999</v>
      </c>
      <c r="AB150" s="29">
        <f t="shared" si="78"/>
        <v>325.52206411165724</v>
      </c>
      <c r="AC150" s="29">
        <f t="shared" si="79"/>
        <v>8.4918434457411838</v>
      </c>
      <c r="AD150" s="29">
        <f t="shared" si="80"/>
        <v>21.43985527014091</v>
      </c>
      <c r="AF150">
        <f t="shared" si="81"/>
        <v>-1.0998307952622688E-2</v>
      </c>
      <c r="AG150">
        <f t="shared" si="82"/>
        <v>0.10274211138442002</v>
      </c>
      <c r="AH150">
        <f t="shared" si="83"/>
        <v>5.5385790679907121E-3</v>
      </c>
      <c r="AI150">
        <f t="shared" si="84"/>
        <v>5.4617676266137671E-3</v>
      </c>
      <c r="AJ150">
        <f t="shared" si="85"/>
        <v>-8.9065265673795579E-3</v>
      </c>
      <c r="AK150">
        <f t="shared" si="86"/>
        <v>-1.0830118023541613E-2</v>
      </c>
      <c r="AL150">
        <f t="shared" si="87"/>
        <v>2.4963131797244298E-3</v>
      </c>
      <c r="AM150">
        <f t="shared" si="88"/>
        <v>3.9613459679221918E-3</v>
      </c>
      <c r="AN150">
        <f t="shared" si="89"/>
        <v>-1.4867185055087662E-2</v>
      </c>
      <c r="AO150">
        <f t="shared" si="90"/>
        <v>4.3250122687488179E-4</v>
      </c>
      <c r="AP150">
        <f t="shared" si="91"/>
        <v>1.1433493760796942E-2</v>
      </c>
    </row>
    <row r="151" spans="3:42" x14ac:dyDescent="0.3">
      <c r="C151" s="1">
        <v>22.61</v>
      </c>
      <c r="D151" s="1">
        <v>5.0999999999999996</v>
      </c>
      <c r="E151" s="1">
        <v>51.84</v>
      </c>
      <c r="F151" s="1">
        <v>242.83</v>
      </c>
      <c r="G151" s="1">
        <v>874.18</v>
      </c>
      <c r="H151" s="1">
        <v>28.02</v>
      </c>
      <c r="I151" s="1">
        <v>102.3</v>
      </c>
      <c r="J151" s="1">
        <v>114.58</v>
      </c>
      <c r="K151" s="1">
        <v>306.10000000000002</v>
      </c>
      <c r="L151" s="1">
        <v>166.52</v>
      </c>
      <c r="M151" s="1">
        <v>19.95</v>
      </c>
      <c r="O151" s="1">
        <v>20.037800000000001</v>
      </c>
      <c r="P151" s="1">
        <v>1.0867510405333918</v>
      </c>
      <c r="Q151" s="1">
        <v>0.14031979558634181</v>
      </c>
      <c r="R151" s="1">
        <v>0.71989999999999998</v>
      </c>
      <c r="T151" s="28">
        <v>22.61</v>
      </c>
      <c r="U151" s="29">
        <f t="shared" si="74"/>
        <v>0.71563095749034311</v>
      </c>
      <c r="V151" s="28">
        <v>51.84</v>
      </c>
      <c r="W151" s="28">
        <v>242.83</v>
      </c>
      <c r="X151" s="28">
        <v>874.18</v>
      </c>
      <c r="Y151" s="29">
        <f t="shared" si="75"/>
        <v>30.332983825768661</v>
      </c>
      <c r="Z151" s="29">
        <f t="shared" si="76"/>
        <v>111.17463144656598</v>
      </c>
      <c r="AA151" s="29">
        <f t="shared" si="77"/>
        <v>82.486142000000001</v>
      </c>
      <c r="AB151" s="29">
        <f t="shared" si="78"/>
        <v>332.65449350727124</v>
      </c>
      <c r="AC151" s="29">
        <f t="shared" si="79"/>
        <v>8.3102935451995723</v>
      </c>
      <c r="AD151" s="29">
        <f t="shared" si="80"/>
        <v>21.680683258641164</v>
      </c>
      <c r="AF151">
        <f t="shared" si="81"/>
        <v>-3.2934131736526928E-2</v>
      </c>
      <c r="AG151">
        <f t="shared" si="82"/>
        <v>-1.605920067293154E-2</v>
      </c>
      <c r="AH151">
        <f t="shared" si="83"/>
        <v>-1.538461538461533E-2</v>
      </c>
      <c r="AI151">
        <f t="shared" si="84"/>
        <v>-6.9958847736617535E-4</v>
      </c>
      <c r="AJ151">
        <f t="shared" si="85"/>
        <v>-5.5853211844066886E-3</v>
      </c>
      <c r="AK151">
        <f t="shared" si="86"/>
        <v>9.7033319660633222E-3</v>
      </c>
      <c r="AL151">
        <f t="shared" si="87"/>
        <v>1.4794683551903498E-2</v>
      </c>
      <c r="AM151">
        <f t="shared" si="88"/>
        <v>3.554762331568817E-3</v>
      </c>
      <c r="AN151">
        <f t="shared" si="89"/>
        <v>2.1910740259890593E-2</v>
      </c>
      <c r="AO151">
        <f t="shared" si="90"/>
        <v>-2.1379327315868224E-2</v>
      </c>
      <c r="AP151">
        <f t="shared" si="91"/>
        <v>1.1232724543418504E-2</v>
      </c>
    </row>
    <row r="152" spans="3:42" x14ac:dyDescent="0.3">
      <c r="C152" s="1">
        <v>22.56</v>
      </c>
      <c r="D152" s="1">
        <v>5.46</v>
      </c>
      <c r="E152" s="1">
        <v>51.62</v>
      </c>
      <c r="F152" s="1">
        <v>242.72</v>
      </c>
      <c r="G152" s="1">
        <v>877.31</v>
      </c>
      <c r="H152" s="1">
        <v>27.95</v>
      </c>
      <c r="I152" s="1">
        <v>102.35</v>
      </c>
      <c r="J152" s="1">
        <v>115.01</v>
      </c>
      <c r="K152" s="1">
        <v>305.3</v>
      </c>
      <c r="L152" s="1">
        <v>165.51</v>
      </c>
      <c r="M152" s="1">
        <v>19.8</v>
      </c>
      <c r="O152" s="1">
        <v>20.090800000000002</v>
      </c>
      <c r="P152" s="1">
        <v>1.0868506978318433</v>
      </c>
      <c r="Q152" s="1">
        <v>0.14034782089314513</v>
      </c>
      <c r="R152" s="1">
        <v>0.71860000000000002</v>
      </c>
      <c r="T152" s="28">
        <v>22.56</v>
      </c>
      <c r="U152" s="29">
        <f t="shared" si="74"/>
        <v>0.76629910207657237</v>
      </c>
      <c r="V152" s="28">
        <v>51.62</v>
      </c>
      <c r="W152" s="28">
        <v>242.72</v>
      </c>
      <c r="X152" s="28">
        <v>877.31</v>
      </c>
      <c r="Y152" s="29">
        <f t="shared" si="75"/>
        <v>30.374691582908298</v>
      </c>
      <c r="Z152" s="29">
        <f t="shared" si="76"/>
        <v>111.23916892308915</v>
      </c>
      <c r="AA152" s="29">
        <f t="shared" si="77"/>
        <v>82.646186</v>
      </c>
      <c r="AB152" s="29">
        <f t="shared" si="78"/>
        <v>331.81551804806179</v>
      </c>
      <c r="AC152" s="29">
        <f t="shared" si="79"/>
        <v>8.2380990304019743</v>
      </c>
      <c r="AD152" s="29">
        <f t="shared" si="80"/>
        <v>21.519643817070499</v>
      </c>
      <c r="AF152">
        <f t="shared" si="81"/>
        <v>-2.21141088014154E-3</v>
      </c>
      <c r="AG152">
        <f t="shared" si="82"/>
        <v>7.0802058038291316E-2</v>
      </c>
      <c r="AH152">
        <f t="shared" si="83"/>
        <v>-4.2438271604939848E-3</v>
      </c>
      <c r="AI152">
        <f t="shared" si="84"/>
        <v>-4.5299180496649605E-4</v>
      </c>
      <c r="AJ152">
        <f t="shared" si="85"/>
        <v>3.580498295545631E-3</v>
      </c>
      <c r="AK152">
        <f t="shared" si="86"/>
        <v>1.3749968476297614E-3</v>
      </c>
      <c r="AL152">
        <f t="shared" si="87"/>
        <v>5.8050542361542945E-4</v>
      </c>
      <c r="AM152">
        <f t="shared" si="88"/>
        <v>1.9402531882264373E-3</v>
      </c>
      <c r="AN152">
        <f t="shared" si="89"/>
        <v>-2.5220626072531838E-3</v>
      </c>
      <c r="AO152">
        <f t="shared" si="90"/>
        <v>-8.6873603687923628E-3</v>
      </c>
      <c r="AP152">
        <f t="shared" si="91"/>
        <v>-7.4277844314006858E-3</v>
      </c>
    </row>
    <row r="153" spans="3:42" x14ac:dyDescent="0.3">
      <c r="C153" s="1">
        <v>22.91</v>
      </c>
      <c r="D153" s="1">
        <v>5.25</v>
      </c>
      <c r="E153" s="1">
        <v>51.7</v>
      </c>
      <c r="F153" s="1">
        <v>241.48</v>
      </c>
      <c r="G153" s="1">
        <v>886.07</v>
      </c>
      <c r="H153" s="1">
        <v>28.14</v>
      </c>
      <c r="I153" s="1">
        <v>105.15</v>
      </c>
      <c r="J153" s="1">
        <v>133.65</v>
      </c>
      <c r="K153" s="1">
        <v>311.89999999999998</v>
      </c>
      <c r="L153" s="1">
        <v>162.27000000000001</v>
      </c>
      <c r="M153" s="1">
        <v>19.97</v>
      </c>
      <c r="O153" s="1">
        <v>20.0367</v>
      </c>
      <c r="P153" s="1">
        <v>1.0913523684039788</v>
      </c>
      <c r="Q153" s="1">
        <v>0.14098629015756087</v>
      </c>
      <c r="R153" s="1">
        <v>0.71919999999999995</v>
      </c>
      <c r="T153" s="28">
        <v>22.91</v>
      </c>
      <c r="U153" s="29">
        <f t="shared" si="74"/>
        <v>0.74017802332719451</v>
      </c>
      <c r="V153" s="28">
        <v>51.7</v>
      </c>
      <c r="W153" s="28">
        <v>241.48</v>
      </c>
      <c r="X153" s="28">
        <v>886.07</v>
      </c>
      <c r="Y153" s="29">
        <f t="shared" si="75"/>
        <v>30.583978636988071</v>
      </c>
      <c r="Z153" s="29">
        <f t="shared" si="76"/>
        <v>114.75570153767838</v>
      </c>
      <c r="AA153" s="29">
        <f t="shared" si="77"/>
        <v>96.121079999999992</v>
      </c>
      <c r="AB153" s="29">
        <f t="shared" si="78"/>
        <v>340.39280370520095</v>
      </c>
      <c r="AC153" s="29">
        <f t="shared" si="79"/>
        <v>8.0986389974396982</v>
      </c>
      <c r="AD153" s="29">
        <f t="shared" si="80"/>
        <v>21.794306797027456</v>
      </c>
      <c r="AF153">
        <f t="shared" si="81"/>
        <v>1.5514184397163122E-2</v>
      </c>
      <c r="AG153">
        <f t="shared" si="82"/>
        <v>-3.4087314833846305E-2</v>
      </c>
      <c r="AH153">
        <f t="shared" si="83"/>
        <v>1.5497869043008539E-3</v>
      </c>
      <c r="AI153">
        <f t="shared" si="84"/>
        <v>-5.1087673038893167E-3</v>
      </c>
      <c r="AJ153">
        <f t="shared" si="85"/>
        <v>9.9850679919299967E-3</v>
      </c>
      <c r="AK153">
        <f t="shared" si="86"/>
        <v>6.8901787367461331E-3</v>
      </c>
      <c r="AL153">
        <f t="shared" si="87"/>
        <v>3.1612359644834775E-2</v>
      </c>
      <c r="AM153">
        <f t="shared" si="88"/>
        <v>0.16304314393891084</v>
      </c>
      <c r="AN153">
        <f t="shared" si="89"/>
        <v>2.5849561550333355E-2</v>
      </c>
      <c r="AO153">
        <f t="shared" si="90"/>
        <v>-1.6928666728526998E-2</v>
      </c>
      <c r="AP153">
        <f t="shared" si="91"/>
        <v>1.2763360875846841E-2</v>
      </c>
    </row>
    <row r="154" spans="3:42" x14ac:dyDescent="0.3">
      <c r="C154" s="1">
        <v>22.72</v>
      </c>
      <c r="D154" s="1">
        <v>4.96</v>
      </c>
      <c r="E154" s="1">
        <v>51.81</v>
      </c>
      <c r="F154" s="1">
        <v>248.07</v>
      </c>
      <c r="G154" s="1">
        <v>890.17</v>
      </c>
      <c r="H154" s="1">
        <v>28.36</v>
      </c>
      <c r="I154" s="1">
        <v>107.75</v>
      </c>
      <c r="J154" s="1">
        <v>130.38999999999999</v>
      </c>
      <c r="K154" s="1">
        <v>316.89999999999998</v>
      </c>
      <c r="L154" s="1">
        <v>163.84</v>
      </c>
      <c r="M154" s="1">
        <v>19.254999999999999</v>
      </c>
      <c r="O154" s="1">
        <v>20.269500000000001</v>
      </c>
      <c r="P154" s="1">
        <v>1.0898986161474136</v>
      </c>
      <c r="Q154" s="1">
        <v>0.14078294975209057</v>
      </c>
      <c r="R154" s="1">
        <v>0.7177</v>
      </c>
      <c r="T154" s="28">
        <v>22.72</v>
      </c>
      <c r="U154" s="29">
        <f t="shared" si="74"/>
        <v>0.69828343077036925</v>
      </c>
      <c r="V154" s="28">
        <v>51.81</v>
      </c>
      <c r="W154" s="28">
        <v>248.07</v>
      </c>
      <c r="X154" s="28">
        <v>890.17</v>
      </c>
      <c r="Y154" s="29">
        <f t="shared" si="75"/>
        <v>30.950753167936838</v>
      </c>
      <c r="Z154" s="29">
        <f t="shared" si="76"/>
        <v>117.43657588988381</v>
      </c>
      <c r="AA154" s="29">
        <f t="shared" si="77"/>
        <v>93.580902999999992</v>
      </c>
      <c r="AB154" s="29">
        <f t="shared" si="78"/>
        <v>345.38887145711533</v>
      </c>
      <c r="AC154" s="29">
        <f t="shared" si="79"/>
        <v>8.0830804903919677</v>
      </c>
      <c r="AD154" s="29">
        <f t="shared" si="80"/>
        <v>20.985997853918448</v>
      </c>
      <c r="AF154">
        <f t="shared" si="81"/>
        <v>-8.2933216935836551E-3</v>
      </c>
      <c r="AG154">
        <f t="shared" si="82"/>
        <v>-5.6600697719318527E-2</v>
      </c>
      <c r="AH154">
        <f t="shared" si="83"/>
        <v>2.1276595744681437E-3</v>
      </c>
      <c r="AI154">
        <f t="shared" si="84"/>
        <v>2.7290044724200824E-2</v>
      </c>
      <c r="AJ154">
        <f t="shared" si="85"/>
        <v>4.6271739253105348E-3</v>
      </c>
      <c r="AK154">
        <f t="shared" si="86"/>
        <v>1.1992374677674889E-2</v>
      </c>
      <c r="AL154">
        <f t="shared" si="87"/>
        <v>2.3361578695287877E-2</v>
      </c>
      <c r="AM154">
        <f t="shared" si="88"/>
        <v>-2.6426846223533862E-2</v>
      </c>
      <c r="AN154">
        <f t="shared" si="89"/>
        <v>1.4677360089672353E-2</v>
      </c>
      <c r="AO154">
        <f t="shared" si="90"/>
        <v>-1.9211261364593391E-3</v>
      </c>
      <c r="AP154">
        <f t="shared" si="91"/>
        <v>-3.7088077663440688E-2</v>
      </c>
    </row>
    <row r="155" spans="3:42" x14ac:dyDescent="0.3">
      <c r="C155" s="1">
        <v>22.57</v>
      </c>
      <c r="D155" s="1">
        <v>4.82</v>
      </c>
      <c r="E155" s="1">
        <v>50.23</v>
      </c>
      <c r="F155" s="1">
        <v>258.75</v>
      </c>
      <c r="G155" s="1">
        <v>899.25</v>
      </c>
      <c r="H155" s="1">
        <v>28.28</v>
      </c>
      <c r="I155" s="1">
        <v>114.6</v>
      </c>
      <c r="J155" s="1">
        <v>127.99</v>
      </c>
      <c r="K155" s="1">
        <v>317.2</v>
      </c>
      <c r="L155" s="1">
        <v>165.87</v>
      </c>
      <c r="M155" s="1">
        <v>19.254999999999999</v>
      </c>
      <c r="O155" s="1">
        <v>20.3093</v>
      </c>
      <c r="P155" s="1">
        <v>1.0711496703480672</v>
      </c>
      <c r="Q155" s="1">
        <v>0.13881325304170994</v>
      </c>
      <c r="R155" s="1">
        <v>0.71650000000000003</v>
      </c>
      <c r="T155" s="28">
        <v>22.57</v>
      </c>
      <c r="U155" s="29">
        <f t="shared" si="74"/>
        <v>0.66907987966104199</v>
      </c>
      <c r="V155" s="28">
        <v>50.23</v>
      </c>
      <c r="W155" s="28">
        <v>258.75</v>
      </c>
      <c r="X155" s="28">
        <v>899.25</v>
      </c>
      <c r="Y155" s="29">
        <f t="shared" si="75"/>
        <v>30.822332864648857</v>
      </c>
      <c r="Z155" s="29">
        <f t="shared" si="76"/>
        <v>122.75375222188849</v>
      </c>
      <c r="AA155" s="29">
        <f t="shared" si="77"/>
        <v>91.704835000000003</v>
      </c>
      <c r="AB155" s="29">
        <f t="shared" si="78"/>
        <v>339.76867543440687</v>
      </c>
      <c r="AC155" s="29">
        <f t="shared" si="79"/>
        <v>8.1671943395390283</v>
      </c>
      <c r="AD155" s="29">
        <f t="shared" si="80"/>
        <v>20.624986902552031</v>
      </c>
      <c r="AF155">
        <f t="shared" si="81"/>
        <v>-6.6021126760562598E-3</v>
      </c>
      <c r="AG155">
        <f t="shared" si="82"/>
        <v>-4.1821916176800755E-2</v>
      </c>
      <c r="AH155">
        <f t="shared" si="83"/>
        <v>-3.0496043234896852E-2</v>
      </c>
      <c r="AI155">
        <f t="shared" si="84"/>
        <v>4.3052364252025743E-2</v>
      </c>
      <c r="AJ155">
        <f t="shared" si="85"/>
        <v>1.0200298819326603E-2</v>
      </c>
      <c r="AK155">
        <f t="shared" si="86"/>
        <v>-4.149181849991912E-3</v>
      </c>
      <c r="AL155">
        <f t="shared" si="87"/>
        <v>4.5277004133621901E-2</v>
      </c>
      <c r="AM155">
        <f t="shared" si="88"/>
        <v>-2.0047551795904228E-2</v>
      </c>
      <c r="AN155">
        <f t="shared" si="89"/>
        <v>-1.6272081955038598E-2</v>
      </c>
      <c r="AO155">
        <f t="shared" si="90"/>
        <v>1.0406162507851313E-2</v>
      </c>
      <c r="AP155">
        <f t="shared" si="91"/>
        <v>-1.7202467753946182E-2</v>
      </c>
    </row>
    <row r="156" spans="3:42" x14ac:dyDescent="0.3">
      <c r="C156" s="1">
        <v>22.91</v>
      </c>
      <c r="D156" s="1">
        <v>4.97</v>
      </c>
      <c r="E156" s="1">
        <v>51.06</v>
      </c>
      <c r="F156" s="1">
        <v>255.27</v>
      </c>
      <c r="G156" s="1">
        <v>913.93</v>
      </c>
      <c r="H156" s="1">
        <v>28.52</v>
      </c>
      <c r="I156" s="1">
        <v>116.25</v>
      </c>
      <c r="J156" s="1">
        <v>128.24</v>
      </c>
      <c r="K156" s="1">
        <v>314.5</v>
      </c>
      <c r="L156" s="1">
        <v>164.91</v>
      </c>
      <c r="M156" s="1">
        <v>19.3</v>
      </c>
      <c r="O156" s="1">
        <v>19.8277</v>
      </c>
      <c r="P156" s="1">
        <v>1.075949303247477</v>
      </c>
      <c r="Q156" s="1">
        <v>0.13938076529299917</v>
      </c>
      <c r="R156" s="1">
        <v>0.71930000000000005</v>
      </c>
      <c r="T156" s="28">
        <v>22.91</v>
      </c>
      <c r="U156" s="29">
        <f t="shared" si="74"/>
        <v>0.69272240350620584</v>
      </c>
      <c r="V156" s="28">
        <v>51.06</v>
      </c>
      <c r="W156" s="28">
        <v>255.27</v>
      </c>
      <c r="X156" s="28">
        <v>913.93</v>
      </c>
      <c r="Y156" s="29">
        <f t="shared" si="75"/>
        <v>30.549188598326875</v>
      </c>
      <c r="Z156" s="29">
        <f t="shared" si="76"/>
        <v>125.0791065025192</v>
      </c>
      <c r="AA156" s="29">
        <f t="shared" si="77"/>
        <v>92.243032000000014</v>
      </c>
      <c r="AB156" s="29">
        <f t="shared" si="78"/>
        <v>338.38605587133151</v>
      </c>
      <c r="AC156" s="29">
        <f t="shared" si="79"/>
        <v>8.3171522667782956</v>
      </c>
      <c r="AD156" s="29">
        <f t="shared" si="80"/>
        <v>20.765821552676307</v>
      </c>
      <c r="AF156">
        <f t="shared" si="81"/>
        <v>1.5064244572441376E-2</v>
      </c>
      <c r="AG156">
        <f t="shared" si="82"/>
        <v>3.5335876274057432E-2</v>
      </c>
      <c r="AH156">
        <f t="shared" si="83"/>
        <v>1.6523989647621029E-2</v>
      </c>
      <c r="AI156">
        <f t="shared" si="84"/>
        <v>-1.3449275362318769E-2</v>
      </c>
      <c r="AJ156">
        <f t="shared" si="85"/>
        <v>1.6324715040311411E-2</v>
      </c>
      <c r="AK156">
        <f t="shared" si="86"/>
        <v>-8.8618946372894802E-3</v>
      </c>
      <c r="AL156">
        <f t="shared" si="87"/>
        <v>1.8943244003062576E-2</v>
      </c>
      <c r="AM156">
        <f t="shared" si="88"/>
        <v>5.8687963399095544E-3</v>
      </c>
      <c r="AN156">
        <f t="shared" si="89"/>
        <v>-4.0692967393407553E-3</v>
      </c>
      <c r="AO156">
        <f t="shared" si="90"/>
        <v>1.8361008812205037E-2</v>
      </c>
      <c r="AP156">
        <f t="shared" si="91"/>
        <v>6.8283510088846811E-3</v>
      </c>
    </row>
    <row r="157" spans="3:42" x14ac:dyDescent="0.3">
      <c r="C157" s="1">
        <v>22.52</v>
      </c>
      <c r="D157" s="1">
        <v>5.47</v>
      </c>
      <c r="E157" s="1">
        <v>50.7</v>
      </c>
      <c r="F157" s="1">
        <v>261.52</v>
      </c>
      <c r="G157" s="1">
        <v>943.8</v>
      </c>
      <c r="H157" s="1">
        <v>28.7</v>
      </c>
      <c r="I157" s="1">
        <v>121.1</v>
      </c>
      <c r="J157" s="1">
        <v>128.81</v>
      </c>
      <c r="K157" s="1">
        <v>318</v>
      </c>
      <c r="L157" s="1">
        <v>166.68</v>
      </c>
      <c r="M157" s="1">
        <v>19.399999999999999</v>
      </c>
      <c r="O157" s="1">
        <v>20.133199999999999</v>
      </c>
      <c r="P157" s="1">
        <v>1.0782985317783562</v>
      </c>
      <c r="Q157" s="1">
        <v>0.13930224703474858</v>
      </c>
      <c r="R157" s="1">
        <v>0.72319999999999995</v>
      </c>
      <c r="T157" s="28">
        <v>22.52</v>
      </c>
      <c r="U157" s="29">
        <f t="shared" si="74"/>
        <v>0.76198329128007469</v>
      </c>
      <c r="V157" s="28">
        <v>50.7</v>
      </c>
      <c r="W157" s="28">
        <v>261.52</v>
      </c>
      <c r="X157" s="28">
        <v>943.8</v>
      </c>
      <c r="Y157" s="29">
        <f t="shared" si="75"/>
        <v>30.879745003202586</v>
      </c>
      <c r="Z157" s="29">
        <f t="shared" si="76"/>
        <v>130.58195219835892</v>
      </c>
      <c r="AA157" s="29">
        <f t="shared" si="77"/>
        <v>93.155391999999992</v>
      </c>
      <c r="AB157" s="29">
        <f t="shared" si="78"/>
        <v>342.8989331055173</v>
      </c>
      <c r="AC157" s="29">
        <f t="shared" si="79"/>
        <v>8.2788627739256562</v>
      </c>
      <c r="AD157" s="29">
        <f t="shared" si="80"/>
        <v>20.91899151650011</v>
      </c>
      <c r="AF157">
        <f t="shared" si="81"/>
        <v>-1.7023134002619011E-2</v>
      </c>
      <c r="AG157">
        <f t="shared" si="82"/>
        <v>9.9983611650649173E-2</v>
      </c>
      <c r="AH157">
        <f t="shared" si="83"/>
        <v>-7.0505287896591717E-3</v>
      </c>
      <c r="AI157">
        <f t="shared" si="84"/>
        <v>2.4483879813530729E-2</v>
      </c>
      <c r="AJ157">
        <f t="shared" si="85"/>
        <v>3.2683028240674927E-2</v>
      </c>
      <c r="AK157">
        <f t="shared" si="86"/>
        <v>1.0820464308299638E-2</v>
      </c>
      <c r="AL157">
        <f t="shared" si="87"/>
        <v>4.3994923290636923E-2</v>
      </c>
      <c r="AM157">
        <f t="shared" si="88"/>
        <v>9.8908283934115993E-3</v>
      </c>
      <c r="AN157">
        <f t="shared" si="89"/>
        <v>1.3336475176452867E-2</v>
      </c>
      <c r="AO157">
        <f t="shared" si="90"/>
        <v>-4.603678233183417E-3</v>
      </c>
      <c r="AP157">
        <f t="shared" si="91"/>
        <v>7.376060871719492E-3</v>
      </c>
    </row>
    <row r="158" spans="3:42" x14ac:dyDescent="0.3">
      <c r="C158" s="1">
        <v>22.64</v>
      </c>
      <c r="D158" s="1">
        <v>5.85</v>
      </c>
      <c r="E158" s="1">
        <v>49.51</v>
      </c>
      <c r="F158" s="1">
        <v>259.89</v>
      </c>
      <c r="G158" s="1">
        <v>932.88</v>
      </c>
      <c r="H158" s="1">
        <v>28.03</v>
      </c>
      <c r="I158" s="1">
        <v>118.65</v>
      </c>
      <c r="J158" s="1">
        <v>129.88999999999999</v>
      </c>
      <c r="K158" s="1">
        <v>313.3</v>
      </c>
      <c r="L158" s="1">
        <v>166.58</v>
      </c>
      <c r="M158" s="1">
        <v>19.434999999999999</v>
      </c>
      <c r="O158" s="1">
        <v>20.450199999999999</v>
      </c>
      <c r="P158" s="1">
        <v>1.0662487408436103</v>
      </c>
      <c r="Q158" s="1">
        <v>0.1385023129358148</v>
      </c>
      <c r="R158" s="1">
        <v>0.71740000000000004</v>
      </c>
      <c r="T158" s="28">
        <v>22.64</v>
      </c>
      <c r="U158" s="29">
        <f t="shared" si="74"/>
        <v>0.81023853067451657</v>
      </c>
      <c r="V158" s="28">
        <v>49.51</v>
      </c>
      <c r="W158" s="28">
        <v>259.89</v>
      </c>
      <c r="X158" s="28">
        <v>932.88</v>
      </c>
      <c r="Y158" s="29">
        <f t="shared" si="75"/>
        <v>30.224707845747325</v>
      </c>
      <c r="Z158" s="29">
        <f t="shared" si="76"/>
        <v>126.51041310109437</v>
      </c>
      <c r="AA158" s="29">
        <f t="shared" si="77"/>
        <v>93.183085999999989</v>
      </c>
      <c r="AB158" s="29">
        <f t="shared" si="78"/>
        <v>334.05573050630312</v>
      </c>
      <c r="AC158" s="29">
        <f t="shared" si="79"/>
        <v>8.1456416074170441</v>
      </c>
      <c r="AD158" s="29">
        <f t="shared" si="80"/>
        <v>20.722544278295565</v>
      </c>
      <c r="AF158">
        <f t="shared" si="81"/>
        <v>5.3285968028420339E-3</v>
      </c>
      <c r="AG158">
        <f t="shared" si="82"/>
        <v>6.332847445168599E-2</v>
      </c>
      <c r="AH158">
        <f t="shared" si="83"/>
        <v>-2.3471400394477371E-2</v>
      </c>
      <c r="AI158">
        <f t="shared" si="84"/>
        <v>-6.2327929030284723E-3</v>
      </c>
      <c r="AJ158">
        <f t="shared" si="85"/>
        <v>-1.1570247933884281E-2</v>
      </c>
      <c r="AK158">
        <f t="shared" si="86"/>
        <v>-2.1212518347781928E-2</v>
      </c>
      <c r="AL158">
        <f t="shared" si="87"/>
        <v>-3.1179952732516392E-2</v>
      </c>
      <c r="AM158">
        <f t="shared" si="88"/>
        <v>2.9728821279606521E-4</v>
      </c>
      <c r="AN158">
        <f t="shared" si="89"/>
        <v>-2.5789530807589167E-2</v>
      </c>
      <c r="AO158">
        <f t="shared" si="90"/>
        <v>-1.6091722999467151E-2</v>
      </c>
      <c r="AP158">
        <f t="shared" si="91"/>
        <v>-9.390856057740371E-3</v>
      </c>
    </row>
    <row r="159" spans="3:42" x14ac:dyDescent="0.3">
      <c r="C159" s="1">
        <v>23.09</v>
      </c>
      <c r="D159" s="1">
        <v>5.4</v>
      </c>
      <c r="E159" s="1">
        <v>49.08</v>
      </c>
      <c r="F159" s="1">
        <v>262.33999999999997</v>
      </c>
      <c r="G159" s="1">
        <v>932.38</v>
      </c>
      <c r="H159" s="1">
        <v>27.85</v>
      </c>
      <c r="I159" s="1">
        <v>118.55</v>
      </c>
      <c r="J159" s="1">
        <v>131.94999999999999</v>
      </c>
      <c r="K159" s="1">
        <v>310.2</v>
      </c>
      <c r="L159" s="1">
        <v>165.58</v>
      </c>
      <c r="M159" s="1">
        <v>19.414999999999999</v>
      </c>
      <c r="O159" s="1">
        <v>20.569299999999998</v>
      </c>
      <c r="P159" s="1">
        <v>1.0620001652948812</v>
      </c>
      <c r="Q159" s="1">
        <v>0.13806011872061763</v>
      </c>
      <c r="R159" s="1">
        <v>0.72140000000000004</v>
      </c>
      <c r="T159" s="28">
        <v>23.09</v>
      </c>
      <c r="U159" s="29">
        <f t="shared" si="74"/>
        <v>0.74552464109133521</v>
      </c>
      <c r="V159" s="28">
        <v>49.08</v>
      </c>
      <c r="W159" s="28">
        <v>262.33999999999997</v>
      </c>
      <c r="X159" s="28">
        <v>932.38</v>
      </c>
      <c r="Y159" s="29">
        <f t="shared" si="75"/>
        <v>29.695027432494548</v>
      </c>
      <c r="Z159" s="29">
        <f t="shared" si="76"/>
        <v>125.90011959570816</v>
      </c>
      <c r="AA159" s="29">
        <f t="shared" si="77"/>
        <v>95.188729999999993</v>
      </c>
      <c r="AB159" s="29">
        <f t="shared" si="78"/>
        <v>329.4324512744721</v>
      </c>
      <c r="AC159" s="29">
        <f t="shared" si="79"/>
        <v>8.049860714754514</v>
      </c>
      <c r="AD159" s="29">
        <f t="shared" si="80"/>
        <v>20.618733209200116</v>
      </c>
      <c r="AF159">
        <f t="shared" si="81"/>
        <v>1.9876325088339142E-2</v>
      </c>
      <c r="AG159">
        <f t="shared" si="82"/>
        <v>-7.9870170490790704E-2</v>
      </c>
      <c r="AH159">
        <f t="shared" si="83"/>
        <v>-8.6851141183599267E-3</v>
      </c>
      <c r="AI159">
        <f t="shared" si="84"/>
        <v>9.4270652968562185E-3</v>
      </c>
      <c r="AJ159">
        <f t="shared" si="85"/>
        <v>-5.3597461624221854E-4</v>
      </c>
      <c r="AK159">
        <f t="shared" si="86"/>
        <v>-1.752474882324806E-2</v>
      </c>
      <c r="AL159">
        <f t="shared" si="87"/>
        <v>-4.8240574860705099E-3</v>
      </c>
      <c r="AM159">
        <f t="shared" si="88"/>
        <v>2.1523691542046697E-2</v>
      </c>
      <c r="AN159">
        <f t="shared" si="89"/>
        <v>-1.3839844102730647E-2</v>
      </c>
      <c r="AO159">
        <f t="shared" si="90"/>
        <v>-1.1758544910116853E-2</v>
      </c>
      <c r="AP159">
        <f t="shared" si="91"/>
        <v>-5.0095715903080151E-3</v>
      </c>
    </row>
    <row r="160" spans="3:42" x14ac:dyDescent="0.3">
      <c r="C160" s="1">
        <v>23.06</v>
      </c>
      <c r="D160" s="1">
        <v>5.26</v>
      </c>
      <c r="E160" s="1">
        <v>48.59</v>
      </c>
      <c r="F160" s="1">
        <v>261.37</v>
      </c>
      <c r="G160" s="1">
        <v>933.73</v>
      </c>
      <c r="H160" s="1">
        <v>28.77</v>
      </c>
      <c r="I160" s="1">
        <v>118.8</v>
      </c>
      <c r="J160" s="1">
        <v>131.15</v>
      </c>
      <c r="K160" s="1">
        <v>312.89999999999998</v>
      </c>
      <c r="L160" s="1">
        <v>160.88999999999999</v>
      </c>
      <c r="M160" s="1">
        <v>19.684999999999999</v>
      </c>
      <c r="O160" s="1">
        <v>20.602499999999999</v>
      </c>
      <c r="P160" s="1">
        <v>1.0636476155806334</v>
      </c>
      <c r="Q160" s="1">
        <v>0.13859968450430774</v>
      </c>
      <c r="R160" s="1">
        <v>0.71889999999999998</v>
      </c>
      <c r="T160" s="28">
        <v>23.06</v>
      </c>
      <c r="U160" s="29">
        <f t="shared" si="74"/>
        <v>0.72903434049265869</v>
      </c>
      <c r="V160" s="28">
        <v>48.59</v>
      </c>
      <c r="W160" s="28">
        <v>261.37</v>
      </c>
      <c r="X160" s="28">
        <v>933.73</v>
      </c>
      <c r="Y160" s="29">
        <f t="shared" si="75"/>
        <v>30.553744755533732</v>
      </c>
      <c r="Z160" s="29">
        <f t="shared" si="76"/>
        <v>126.36133673097925</v>
      </c>
      <c r="AA160" s="29">
        <f t="shared" si="77"/>
        <v>94.283735000000007</v>
      </c>
      <c r="AB160" s="29">
        <f t="shared" si="78"/>
        <v>332.81533891518018</v>
      </c>
      <c r="AC160" s="29">
        <f t="shared" si="79"/>
        <v>7.809246450673462</v>
      </c>
      <c r="AD160" s="29">
        <f t="shared" si="80"/>
        <v>20.937903312704766</v>
      </c>
      <c r="AF160">
        <f t="shared" si="81"/>
        <v>-1.2992637505414573E-3</v>
      </c>
      <c r="AG160">
        <f t="shared" si="82"/>
        <v>-2.2119055078497762E-2</v>
      </c>
      <c r="AH160">
        <f t="shared" si="83"/>
        <v>-9.9837000814995136E-3</v>
      </c>
      <c r="AI160">
        <f t="shared" si="84"/>
        <v>-3.6974918045283856E-3</v>
      </c>
      <c r="AJ160">
        <f t="shared" si="85"/>
        <v>1.4479075055235935E-3</v>
      </c>
      <c r="AK160">
        <f t="shared" si="86"/>
        <v>2.8917882800118644E-2</v>
      </c>
      <c r="AL160">
        <f t="shared" si="87"/>
        <v>3.6633574038860139E-3</v>
      </c>
      <c r="AM160">
        <f t="shared" si="88"/>
        <v>-9.5073755054825293E-3</v>
      </c>
      <c r="AN160">
        <f t="shared" si="89"/>
        <v>1.0268835470278459E-2</v>
      </c>
      <c r="AO160">
        <f t="shared" si="90"/>
        <v>-2.9890487873912241E-2</v>
      </c>
      <c r="AP160">
        <f t="shared" si="91"/>
        <v>1.5479617504446708E-2</v>
      </c>
    </row>
    <row r="161" spans="3:42" x14ac:dyDescent="0.3">
      <c r="C161" s="1">
        <v>23.02</v>
      </c>
      <c r="D161" s="1">
        <v>5.15</v>
      </c>
      <c r="E161" s="1">
        <v>48.46</v>
      </c>
      <c r="F161" s="1">
        <v>257.5</v>
      </c>
      <c r="G161" s="1">
        <v>923.89</v>
      </c>
      <c r="H161" s="1">
        <v>28.68</v>
      </c>
      <c r="I161" s="1">
        <v>118</v>
      </c>
      <c r="J161" s="1">
        <v>131.58000000000001</v>
      </c>
      <c r="K161" s="1">
        <v>307.3</v>
      </c>
      <c r="L161" s="1">
        <v>158.11000000000001</v>
      </c>
      <c r="M161" s="1">
        <v>19.79</v>
      </c>
      <c r="O161" s="1">
        <v>20.494</v>
      </c>
      <c r="P161" s="1">
        <v>1.0528496145213233</v>
      </c>
      <c r="Q161" s="1">
        <v>0.13783058456133501</v>
      </c>
      <c r="R161" s="1">
        <v>0.71809999999999996</v>
      </c>
      <c r="T161" s="28">
        <v>23.02</v>
      </c>
      <c r="U161" s="29">
        <f t="shared" si="74"/>
        <v>0.70982751049087534</v>
      </c>
      <c r="V161" s="28">
        <v>48.46</v>
      </c>
      <c r="W161" s="28">
        <v>257.5</v>
      </c>
      <c r="X161" s="28">
        <v>923.89</v>
      </c>
      <c r="Y161" s="29">
        <f t="shared" si="75"/>
        <v>30.505413614852564</v>
      </c>
      <c r="Z161" s="29">
        <f t="shared" si="76"/>
        <v>124.23625451351614</v>
      </c>
      <c r="AA161" s="29">
        <f t="shared" si="77"/>
        <v>94.487598000000006</v>
      </c>
      <c r="AB161" s="29">
        <f t="shared" si="78"/>
        <v>323.54068654240268</v>
      </c>
      <c r="AC161" s="29">
        <f t="shared" si="79"/>
        <v>7.7149409583292679</v>
      </c>
      <c r="AD161" s="29">
        <f t="shared" si="80"/>
        <v>20.835893871376989</v>
      </c>
      <c r="AF161">
        <f t="shared" si="81"/>
        <v>-1.7346053772766545E-3</v>
      </c>
      <c r="AG161">
        <f t="shared" si="82"/>
        <v>-2.6345576518115754E-2</v>
      </c>
      <c r="AH161">
        <f t="shared" si="83"/>
        <v>-2.6754476229677859E-3</v>
      </c>
      <c r="AI161">
        <f t="shared" si="84"/>
        <v>-1.4806596013314466E-2</v>
      </c>
      <c r="AJ161">
        <f t="shared" si="85"/>
        <v>-1.0538378332066056E-2</v>
      </c>
      <c r="AK161">
        <f t="shared" si="86"/>
        <v>-1.5818401661685799E-3</v>
      </c>
      <c r="AL161">
        <f t="shared" si="87"/>
        <v>-1.6817503458256056E-2</v>
      </c>
      <c r="AM161">
        <f t="shared" si="88"/>
        <v>2.1622287237559323E-3</v>
      </c>
      <c r="AN161">
        <f t="shared" si="89"/>
        <v>-2.7867262377414659E-2</v>
      </c>
      <c r="AO161">
        <f t="shared" si="90"/>
        <v>-1.2076132177396115E-2</v>
      </c>
      <c r="AP161">
        <f t="shared" si="91"/>
        <v>-4.8719988722977225E-3</v>
      </c>
    </row>
    <row r="162" spans="3:42" x14ac:dyDescent="0.3">
      <c r="C162" s="1">
        <v>22.87</v>
      </c>
      <c r="D162" s="1">
        <v>5.21</v>
      </c>
      <c r="E162" s="1">
        <v>48.37</v>
      </c>
      <c r="F162" s="1">
        <v>255.78</v>
      </c>
      <c r="G162" s="1">
        <v>907.07</v>
      </c>
      <c r="H162" s="1">
        <v>28.76</v>
      </c>
      <c r="I162" s="1">
        <v>118.4</v>
      </c>
      <c r="J162" s="1">
        <v>133.09</v>
      </c>
      <c r="K162" s="1">
        <v>311</v>
      </c>
      <c r="L162" s="1">
        <v>158.41</v>
      </c>
      <c r="M162" s="1">
        <v>19.785</v>
      </c>
      <c r="O162" s="1">
        <v>20.3887</v>
      </c>
      <c r="P162" s="1">
        <v>1.0577476739566525</v>
      </c>
      <c r="Q162" s="1">
        <v>0.13820890983731185</v>
      </c>
      <c r="R162" s="1">
        <v>0.71709999999999996</v>
      </c>
      <c r="T162" s="28">
        <v>22.87</v>
      </c>
      <c r="U162" s="29">
        <f t="shared" si="74"/>
        <v>0.7200684202523947</v>
      </c>
      <c r="V162" s="28">
        <v>48.37</v>
      </c>
      <c r="W162" s="28">
        <v>255.78</v>
      </c>
      <c r="X162" s="28">
        <v>907.07</v>
      </c>
      <c r="Y162" s="29">
        <f t="shared" si="75"/>
        <v>30.279954913633262</v>
      </c>
      <c r="Z162" s="29">
        <f t="shared" si="76"/>
        <v>125.23732459646766</v>
      </c>
      <c r="AA162" s="29">
        <f t="shared" si="77"/>
        <v>95.438839000000002</v>
      </c>
      <c r="AB162" s="29">
        <f t="shared" si="78"/>
        <v>328.95952660051893</v>
      </c>
      <c r="AC162" s="29">
        <f t="shared" si="79"/>
        <v>7.7694997719324919</v>
      </c>
      <c r="AD162" s="29">
        <f t="shared" si="80"/>
        <v>20.92753772923237</v>
      </c>
      <c r="AF162">
        <f t="shared" si="81"/>
        <v>-6.5160729800173289E-3</v>
      </c>
      <c r="AG162">
        <f t="shared" si="82"/>
        <v>1.442732158188309E-2</v>
      </c>
      <c r="AH162">
        <f t="shared" si="83"/>
        <v>-1.8572018159307424E-3</v>
      </c>
      <c r="AI162">
        <f t="shared" si="84"/>
        <v>-6.679611650485473E-3</v>
      </c>
      <c r="AJ162">
        <f t="shared" si="85"/>
        <v>-1.8205630540432227E-2</v>
      </c>
      <c r="AK162">
        <f t="shared" si="86"/>
        <v>-7.3907767344459918E-3</v>
      </c>
      <c r="AL162">
        <f t="shared" si="87"/>
        <v>8.057793490889642E-3</v>
      </c>
      <c r="AM162">
        <f t="shared" si="88"/>
        <v>1.0067363549658648E-2</v>
      </c>
      <c r="AN162">
        <f t="shared" si="89"/>
        <v>1.6748558322064566E-2</v>
      </c>
      <c r="AO162">
        <f t="shared" si="90"/>
        <v>7.071838125257468E-3</v>
      </c>
      <c r="AP162">
        <f t="shared" si="91"/>
        <v>4.3983645924245973E-3</v>
      </c>
    </row>
    <row r="163" spans="3:42" x14ac:dyDescent="0.3">
      <c r="C163" s="1">
        <v>22.3</v>
      </c>
      <c r="D163" s="1">
        <v>5.09</v>
      </c>
      <c r="E163" s="1">
        <v>49.29</v>
      </c>
      <c r="F163" s="1">
        <v>256.52</v>
      </c>
      <c r="G163" s="1">
        <v>919.51</v>
      </c>
      <c r="H163" s="1">
        <v>28.72</v>
      </c>
      <c r="I163" s="1">
        <v>118.3</v>
      </c>
      <c r="J163" s="1">
        <v>133.32</v>
      </c>
      <c r="K163" s="1">
        <v>308.39999999999998</v>
      </c>
      <c r="L163" s="1">
        <v>157.88999999999999</v>
      </c>
      <c r="M163" s="1">
        <v>19.95</v>
      </c>
      <c r="O163" s="1">
        <v>20.184799999999999</v>
      </c>
      <c r="P163" s="1">
        <v>1.0562502477111491</v>
      </c>
      <c r="Q163" s="1">
        <v>0.13813364511909951</v>
      </c>
      <c r="R163" s="1">
        <v>0.71440000000000003</v>
      </c>
      <c r="T163" s="28">
        <v>22.3</v>
      </c>
      <c r="U163" s="29">
        <f t="shared" si="74"/>
        <v>0.70310025365621642</v>
      </c>
      <c r="V163" s="28">
        <v>49.29</v>
      </c>
      <c r="W163" s="28">
        <v>256.52</v>
      </c>
      <c r="X163" s="28">
        <v>919.51</v>
      </c>
      <c r="Y163" s="29">
        <f t="shared" si="75"/>
        <v>30.378513196035058</v>
      </c>
      <c r="Z163" s="29">
        <f t="shared" si="76"/>
        <v>124.95440430422893</v>
      </c>
      <c r="AA163" s="29">
        <f t="shared" si="77"/>
        <v>95.243808000000001</v>
      </c>
      <c r="AB163" s="29">
        <f t="shared" si="78"/>
        <v>325.74757639411837</v>
      </c>
      <c r="AC163" s="29">
        <f t="shared" si="79"/>
        <v>7.8222226625975981</v>
      </c>
      <c r="AD163" s="29">
        <f t="shared" si="80"/>
        <v>21.072192441837423</v>
      </c>
      <c r="AF163">
        <f t="shared" si="81"/>
        <v>-2.4923480542195064E-2</v>
      </c>
      <c r="AG163">
        <f t="shared" si="82"/>
        <v>-2.356465874483249E-2</v>
      </c>
      <c r="AH163">
        <f t="shared" si="83"/>
        <v>1.9020053752325961E-2</v>
      </c>
      <c r="AI163">
        <f t="shared" si="84"/>
        <v>2.893111267495474E-3</v>
      </c>
      <c r="AJ163">
        <f t="shared" si="85"/>
        <v>1.3714487305279466E-2</v>
      </c>
      <c r="AK163">
        <f t="shared" si="86"/>
        <v>3.2549018874998836E-3</v>
      </c>
      <c r="AL163">
        <f t="shared" si="87"/>
        <v>-2.259073268694789E-3</v>
      </c>
      <c r="AM163">
        <f t="shared" si="88"/>
        <v>-2.0435181530236157E-3</v>
      </c>
      <c r="AN163">
        <f t="shared" si="89"/>
        <v>-9.7639677427584504E-3</v>
      </c>
      <c r="AO163">
        <f t="shared" si="90"/>
        <v>6.7858796850177594E-3</v>
      </c>
      <c r="AP163">
        <f t="shared" si="91"/>
        <v>6.9121706756258838E-3</v>
      </c>
    </row>
    <row r="164" spans="3:42" x14ac:dyDescent="0.3">
      <c r="C164" s="1">
        <v>22.67</v>
      </c>
      <c r="D164" s="1">
        <v>4.7699999999999996</v>
      </c>
      <c r="E164" s="1">
        <v>49.74</v>
      </c>
      <c r="F164" s="1">
        <v>254.51</v>
      </c>
      <c r="G164" s="1">
        <v>930.15</v>
      </c>
      <c r="H164" s="1">
        <v>28.8</v>
      </c>
      <c r="I164" s="1">
        <v>118.15</v>
      </c>
      <c r="J164" s="1">
        <v>135.22999999999999</v>
      </c>
      <c r="K164" s="1">
        <v>308.2</v>
      </c>
      <c r="L164" s="1">
        <v>158.76</v>
      </c>
      <c r="M164" s="1">
        <v>20.100000000000001</v>
      </c>
      <c r="O164" s="1">
        <v>20.290299999999998</v>
      </c>
      <c r="P164" s="1">
        <v>1.055652208198006</v>
      </c>
      <c r="Q164" s="1">
        <v>0.13792797543653865</v>
      </c>
      <c r="R164" s="1">
        <v>0.71120000000000005</v>
      </c>
      <c r="T164" s="28">
        <v>22.67</v>
      </c>
      <c r="U164" s="29">
        <f t="shared" si="74"/>
        <v>0.65791644283228934</v>
      </c>
      <c r="V164" s="28">
        <v>49.74</v>
      </c>
      <c r="W164" s="28">
        <v>254.51</v>
      </c>
      <c r="X164" s="28">
        <v>930.15</v>
      </c>
      <c r="Y164" s="29">
        <f t="shared" si="75"/>
        <v>30.420007134081093</v>
      </c>
      <c r="Z164" s="29">
        <f t="shared" si="76"/>
        <v>124.72530839859441</v>
      </c>
      <c r="AA164" s="29">
        <f t="shared" si="77"/>
        <v>96.175576000000007</v>
      </c>
      <c r="AB164" s="29">
        <f t="shared" si="78"/>
        <v>325.35201056662544</v>
      </c>
      <c r="AC164" s="29">
        <f t="shared" si="79"/>
        <v>7.8244284214624722</v>
      </c>
      <c r="AD164" s="29">
        <f t="shared" si="80"/>
        <v>21.218609384779921</v>
      </c>
      <c r="AF164">
        <f t="shared" si="81"/>
        <v>1.6591928251121102E-2</v>
      </c>
      <c r="AG164">
        <f t="shared" si="82"/>
        <v>-6.4263681585897792E-2</v>
      </c>
      <c r="AH164">
        <f t="shared" si="83"/>
        <v>9.1296409007912693E-3</v>
      </c>
      <c r="AI164">
        <f t="shared" si="84"/>
        <v>-7.835646343364977E-3</v>
      </c>
      <c r="AJ164">
        <f t="shared" si="85"/>
        <v>1.157138040913086E-2</v>
      </c>
      <c r="AK164">
        <f t="shared" si="86"/>
        <v>1.3658975927581807E-3</v>
      </c>
      <c r="AL164">
        <f t="shared" si="87"/>
        <v>-1.833436019403889E-3</v>
      </c>
      <c r="AM164">
        <f t="shared" si="88"/>
        <v>9.7829771778970009E-3</v>
      </c>
      <c r="AN164">
        <f t="shared" si="89"/>
        <v>-1.2143323731573785E-3</v>
      </c>
      <c r="AO164">
        <f t="shared" si="90"/>
        <v>2.8198620264552332E-4</v>
      </c>
      <c r="AP164">
        <f t="shared" si="91"/>
        <v>6.9483487941102151E-3</v>
      </c>
    </row>
    <row r="165" spans="3:42" x14ac:dyDescent="0.3">
      <c r="C165" s="1">
        <v>22.25</v>
      </c>
      <c r="D165" s="1">
        <v>4.57</v>
      </c>
      <c r="E165" s="1">
        <v>50.03</v>
      </c>
      <c r="F165" s="1">
        <v>257.02</v>
      </c>
      <c r="G165" s="1">
        <v>928.08</v>
      </c>
      <c r="H165" s="1">
        <v>28.96</v>
      </c>
      <c r="I165" s="1">
        <v>118.3</v>
      </c>
      <c r="J165" s="1">
        <v>131.94999999999999</v>
      </c>
      <c r="K165" s="1">
        <v>313.5</v>
      </c>
      <c r="L165" s="1">
        <v>158.69</v>
      </c>
      <c r="M165" s="1">
        <v>19.82</v>
      </c>
      <c r="O165" s="1">
        <v>20.377500000000001</v>
      </c>
      <c r="P165" s="1">
        <v>1.0519494540547172</v>
      </c>
      <c r="Q165" s="1">
        <v>0.13800515274199482</v>
      </c>
      <c r="R165" s="1">
        <v>0.70960000000000001</v>
      </c>
      <c r="T165" s="28">
        <v>22.25</v>
      </c>
      <c r="U165" s="29">
        <f t="shared" si="74"/>
        <v>0.63068354803091631</v>
      </c>
      <c r="V165" s="28">
        <v>50.03</v>
      </c>
      <c r="W165" s="28">
        <v>257.02</v>
      </c>
      <c r="X165" s="28">
        <v>928.08</v>
      </c>
      <c r="Y165" s="29">
        <f t="shared" si="75"/>
        <v>30.571687949414255</v>
      </c>
      <c r="Z165" s="29">
        <f t="shared" si="76"/>
        <v>124.44562041467304</v>
      </c>
      <c r="AA165" s="29">
        <f t="shared" si="77"/>
        <v>93.631719999999987</v>
      </c>
      <c r="AB165" s="29">
        <f t="shared" si="78"/>
        <v>329.78615384615381</v>
      </c>
      <c r="AC165" s="29">
        <f t="shared" si="79"/>
        <v>7.787510734879155</v>
      </c>
      <c r="AD165" s="29">
        <f t="shared" si="80"/>
        <v>20.849638179364494</v>
      </c>
      <c r="AF165">
        <f t="shared" si="81"/>
        <v>-1.8526687251874785E-2</v>
      </c>
      <c r="AG165">
        <f t="shared" si="82"/>
        <v>-4.1392634426549835E-2</v>
      </c>
      <c r="AH165">
        <f t="shared" si="83"/>
        <v>5.8303176517893185E-3</v>
      </c>
      <c r="AI165">
        <f t="shared" si="84"/>
        <v>9.8620879336763778E-3</v>
      </c>
      <c r="AJ165">
        <f t="shared" si="85"/>
        <v>-2.2254475084663161E-3</v>
      </c>
      <c r="AK165">
        <f t="shared" si="86"/>
        <v>4.9862189270568624E-3</v>
      </c>
      <c r="AL165">
        <f t="shared" si="87"/>
        <v>-2.2424316885835127E-3</v>
      </c>
      <c r="AM165">
        <f t="shared" si="88"/>
        <v>-2.6450124925688212E-2</v>
      </c>
      <c r="AN165">
        <f t="shared" si="89"/>
        <v>1.3628756348565307E-2</v>
      </c>
      <c r="AO165">
        <f t="shared" si="90"/>
        <v>-4.7182598644588403E-3</v>
      </c>
      <c r="AP165">
        <f t="shared" si="91"/>
        <v>-1.7389038024333892E-2</v>
      </c>
    </row>
    <row r="166" spans="3:42" x14ac:dyDescent="0.3">
      <c r="C166" s="1">
        <v>22.37</v>
      </c>
      <c r="D166" s="1">
        <v>4.6399999999999997</v>
      </c>
      <c r="E166" s="1">
        <v>50.44</v>
      </c>
      <c r="F166" s="1">
        <v>263.44</v>
      </c>
      <c r="G166" s="1">
        <v>955.65</v>
      </c>
      <c r="H166" s="1">
        <v>29.4</v>
      </c>
      <c r="I166" s="1">
        <v>118.8</v>
      </c>
      <c r="J166" s="1">
        <v>131.41</v>
      </c>
      <c r="K166" s="1">
        <v>318.39999999999998</v>
      </c>
      <c r="L166" s="1">
        <v>162.18</v>
      </c>
      <c r="M166" s="1">
        <v>20.27</v>
      </c>
      <c r="O166" s="1">
        <v>20.487200000000001</v>
      </c>
      <c r="P166" s="1">
        <v>1.0849506033035259</v>
      </c>
      <c r="Q166" s="1">
        <v>0.13820336600413916</v>
      </c>
      <c r="R166" s="1">
        <v>0.71350000000000002</v>
      </c>
      <c r="T166" s="28">
        <v>22.37</v>
      </c>
      <c r="U166" s="29">
        <f t="shared" si="74"/>
        <v>0.64126361825920564</v>
      </c>
      <c r="V166" s="28">
        <v>50.44</v>
      </c>
      <c r="W166" s="28">
        <v>263.44</v>
      </c>
      <c r="X166" s="28">
        <v>955.65</v>
      </c>
      <c r="Y166" s="29">
        <f t="shared" si="75"/>
        <v>30.927313949208685</v>
      </c>
      <c r="Z166" s="29">
        <f t="shared" si="76"/>
        <v>128.89213167245887</v>
      </c>
      <c r="AA166" s="29">
        <f t="shared" si="77"/>
        <v>93.761035000000007</v>
      </c>
      <c r="AB166" s="29">
        <f t="shared" si="78"/>
        <v>345.44827209184263</v>
      </c>
      <c r="AC166" s="29">
        <f t="shared" si="79"/>
        <v>7.9161622866960828</v>
      </c>
      <c r="AD166" s="29">
        <f t="shared" si="80"/>
        <v>21.99194872896247</v>
      </c>
      <c r="AF166">
        <f t="shared" si="81"/>
        <v>5.393258426966252E-3</v>
      </c>
      <c r="AG166">
        <f t="shared" si="82"/>
        <v>1.6775560836051362E-2</v>
      </c>
      <c r="AH166">
        <f t="shared" si="83"/>
        <v>8.1950829502297484E-3</v>
      </c>
      <c r="AI166">
        <f t="shared" si="84"/>
        <v>2.4978600887090474E-2</v>
      </c>
      <c r="AJ166">
        <f t="shared" si="85"/>
        <v>2.9706490819756848E-2</v>
      </c>
      <c r="AK166">
        <f t="shared" si="86"/>
        <v>1.163252746733745E-2</v>
      </c>
      <c r="AL166">
        <f t="shared" si="87"/>
        <v>3.573055639056899E-2</v>
      </c>
      <c r="AM166">
        <f t="shared" si="88"/>
        <v>1.3811024725383092E-3</v>
      </c>
      <c r="AN166">
        <f t="shared" si="89"/>
        <v>4.7491739913966269E-2</v>
      </c>
      <c r="AO166">
        <f t="shared" si="90"/>
        <v>1.6520240702939448E-2</v>
      </c>
      <c r="AP166">
        <f t="shared" si="91"/>
        <v>5.4788027483784196E-2</v>
      </c>
    </row>
    <row r="167" spans="3:42" x14ac:dyDescent="0.3">
      <c r="C167" s="1">
        <v>23.24</v>
      </c>
      <c r="D167" s="1">
        <v>4.67</v>
      </c>
      <c r="E167" s="1">
        <v>51.08</v>
      </c>
      <c r="F167" s="1">
        <v>266.06</v>
      </c>
      <c r="G167" s="1">
        <v>964.01</v>
      </c>
      <c r="H167" s="1">
        <v>29.58</v>
      </c>
      <c r="I167" s="1">
        <v>119.6</v>
      </c>
      <c r="J167" s="1">
        <v>132.28</v>
      </c>
      <c r="K167" s="1">
        <v>310.8</v>
      </c>
      <c r="L167" s="1">
        <v>162.62</v>
      </c>
      <c r="M167" s="1">
        <v>20.71</v>
      </c>
      <c r="O167" s="1">
        <v>20.299299999999999</v>
      </c>
      <c r="P167" s="1">
        <v>1.0480509180119513</v>
      </c>
      <c r="Q167" s="1">
        <v>0.1379456434458331</v>
      </c>
      <c r="R167" s="1">
        <v>0.71630000000000005</v>
      </c>
      <c r="T167" s="28">
        <v>23.24</v>
      </c>
      <c r="U167" s="29">
        <f t="shared" si="74"/>
        <v>0.64420615489204058</v>
      </c>
      <c r="V167" s="28">
        <v>51.08</v>
      </c>
      <c r="W167" s="28">
        <v>266.06</v>
      </c>
      <c r="X167" s="28">
        <v>964.01</v>
      </c>
      <c r="Y167" s="29">
        <f t="shared" si="75"/>
        <v>32.09283884571829</v>
      </c>
      <c r="Z167" s="29">
        <f t="shared" si="76"/>
        <v>125.34688979422937</v>
      </c>
      <c r="AA167" s="29">
        <f t="shared" si="77"/>
        <v>94.752164000000008</v>
      </c>
      <c r="AB167" s="29">
        <f t="shared" si="78"/>
        <v>325.73422531811445</v>
      </c>
      <c r="AC167" s="29">
        <f t="shared" si="79"/>
        <v>8.0111136837230852</v>
      </c>
      <c r="AD167" s="29">
        <f t="shared" si="80"/>
        <v>21.705134512027513</v>
      </c>
      <c r="AF167">
        <f t="shared" si="81"/>
        <v>3.8891372373714761E-2</v>
      </c>
      <c r="AG167">
        <f t="shared" si="82"/>
        <v>4.5886536348698215E-3</v>
      </c>
      <c r="AH167">
        <f t="shared" si="83"/>
        <v>1.2688342585249757E-2</v>
      </c>
      <c r="AI167">
        <f t="shared" si="84"/>
        <v>9.9453385970240671E-3</v>
      </c>
      <c r="AJ167">
        <f t="shared" si="85"/>
        <v>8.7479725841050904E-3</v>
      </c>
      <c r="AK167">
        <f t="shared" si="86"/>
        <v>3.768593995662628E-2</v>
      </c>
      <c r="AL167">
        <f t="shared" si="87"/>
        <v>-2.7505494961001076E-2</v>
      </c>
      <c r="AM167">
        <f t="shared" si="88"/>
        <v>1.0570798413221505E-2</v>
      </c>
      <c r="AN167">
        <f t="shared" si="89"/>
        <v>-5.7068013842856646E-2</v>
      </c>
      <c r="AO167">
        <f t="shared" si="90"/>
        <v>1.1994624868489456E-2</v>
      </c>
      <c r="AP167">
        <f t="shared" si="91"/>
        <v>-1.3041782721020745E-2</v>
      </c>
    </row>
    <row r="168" spans="3:42" x14ac:dyDescent="0.3">
      <c r="C168" s="1">
        <v>24.9</v>
      </c>
      <c r="D168" s="1">
        <v>4.6500000000000004</v>
      </c>
      <c r="E168" s="1">
        <v>49.59</v>
      </c>
      <c r="F168" s="1">
        <v>265.88</v>
      </c>
      <c r="G168" s="1">
        <v>960.89</v>
      </c>
      <c r="H168" s="1">
        <v>29.78</v>
      </c>
      <c r="I168" s="1">
        <v>118.45</v>
      </c>
      <c r="J168" s="1">
        <v>133.65</v>
      </c>
      <c r="K168" s="1">
        <v>316.8</v>
      </c>
      <c r="L168" s="1">
        <v>163.49</v>
      </c>
      <c r="M168" s="1">
        <v>20.53</v>
      </c>
      <c r="O168" s="1">
        <v>20.718499999999999</v>
      </c>
      <c r="P168" s="1">
        <v>1.0512488838477689</v>
      </c>
      <c r="Q168" s="1">
        <v>0.137746458479137</v>
      </c>
      <c r="R168" s="1">
        <v>0.71540000000000004</v>
      </c>
      <c r="T168" s="28">
        <v>24.9</v>
      </c>
      <c r="U168" s="29">
        <f t="shared" si="74"/>
        <v>0.64052103192798704</v>
      </c>
      <c r="V168" s="28">
        <v>49.59</v>
      </c>
      <c r="W168" s="28">
        <v>265.88</v>
      </c>
      <c r="X168" s="28">
        <v>960.89</v>
      </c>
      <c r="Y168" s="29">
        <f t="shared" si="75"/>
        <v>31.21095633839591</v>
      </c>
      <c r="Z168" s="29">
        <f t="shared" si="76"/>
        <v>124.52043029176824</v>
      </c>
      <c r="AA168" s="29">
        <f t="shared" si="77"/>
        <v>95.613210000000009</v>
      </c>
      <c r="AB168" s="29">
        <f t="shared" si="78"/>
        <v>333.03564640297321</v>
      </c>
      <c r="AC168" s="29">
        <f t="shared" si="79"/>
        <v>7.8910152762024284</v>
      </c>
      <c r="AD168" s="29">
        <f t="shared" si="80"/>
        <v>21.582139585394696</v>
      </c>
      <c r="AF168">
        <f t="shared" si="81"/>
        <v>7.1428571428571397E-2</v>
      </c>
      <c r="AG168">
        <f t="shared" si="82"/>
        <v>-5.7204094311565923E-3</v>
      </c>
      <c r="AH168">
        <f t="shared" si="83"/>
        <v>-2.9169929522317783E-2</v>
      </c>
      <c r="AI168">
        <f t="shared" si="84"/>
        <v>-6.7653912651288728E-4</v>
      </c>
      <c r="AJ168">
        <f t="shared" si="85"/>
        <v>-3.2364809493677926E-3</v>
      </c>
      <c r="AK168">
        <f t="shared" si="86"/>
        <v>-2.7479105589938713E-2</v>
      </c>
      <c r="AL168">
        <f t="shared" si="87"/>
        <v>-6.5933786136844752E-3</v>
      </c>
      <c r="AM168">
        <f t="shared" si="88"/>
        <v>9.087349181808646E-3</v>
      </c>
      <c r="AN168">
        <f t="shared" si="89"/>
        <v>2.2415271461659003E-2</v>
      </c>
      <c r="AO168">
        <f t="shared" si="90"/>
        <v>-1.499147462663919E-2</v>
      </c>
      <c r="AP168">
        <f t="shared" si="91"/>
        <v>-5.6666281687709485E-3</v>
      </c>
    </row>
    <row r="169" spans="3:42" x14ac:dyDescent="0.3">
      <c r="C169" s="1">
        <v>24.62</v>
      </c>
      <c r="D169" s="1">
        <v>4.83</v>
      </c>
      <c r="E169" s="1">
        <v>49.69</v>
      </c>
      <c r="F169" s="1">
        <v>268.02</v>
      </c>
      <c r="G169" s="1">
        <v>971.5</v>
      </c>
      <c r="H169" s="1">
        <v>29.91</v>
      </c>
      <c r="I169" s="1">
        <v>117.8</v>
      </c>
      <c r="J169" s="1">
        <v>133.13</v>
      </c>
      <c r="K169" s="1">
        <v>311.8</v>
      </c>
      <c r="L169" s="1">
        <v>163.63999999999999</v>
      </c>
      <c r="M169" s="1">
        <v>20.51</v>
      </c>
      <c r="O169" s="1">
        <v>20.6418</v>
      </c>
      <c r="P169" s="1">
        <v>1.0527521824647075</v>
      </c>
      <c r="Q169" s="1">
        <v>0.13777868209167804</v>
      </c>
      <c r="R169" s="1">
        <v>0.71550000000000002</v>
      </c>
      <c r="T169" s="28">
        <v>24.62</v>
      </c>
      <c r="U169" s="29">
        <f t="shared" si="74"/>
        <v>0.66547103450280498</v>
      </c>
      <c r="V169" s="28">
        <v>49.69</v>
      </c>
      <c r="W169" s="28">
        <v>268.02</v>
      </c>
      <c r="X169" s="28">
        <v>971.5</v>
      </c>
      <c r="Y169" s="29">
        <f t="shared" si="75"/>
        <v>31.442854115886767</v>
      </c>
      <c r="Z169" s="29">
        <f t="shared" si="76"/>
        <v>124.01420709434254</v>
      </c>
      <c r="AA169" s="29">
        <f t="shared" si="77"/>
        <v>95.254514999999998</v>
      </c>
      <c r="AB169" s="29">
        <f t="shared" si="78"/>
        <v>328.24813049249582</v>
      </c>
      <c r="AC169" s="29">
        <f t="shared" si="79"/>
        <v>7.9276032128980995</v>
      </c>
      <c r="AD169" s="29">
        <f t="shared" si="80"/>
        <v>21.591947262351152</v>
      </c>
      <c r="AF169">
        <f t="shared" si="81"/>
        <v>-1.1244979919678655E-2</v>
      </c>
      <c r="AG169">
        <f t="shared" si="82"/>
        <v>3.895266717428103E-2</v>
      </c>
      <c r="AH169">
        <f t="shared" si="83"/>
        <v>2.016535591853108E-3</v>
      </c>
      <c r="AI169">
        <f t="shared" si="84"/>
        <v>8.0487437941927364E-3</v>
      </c>
      <c r="AJ169">
        <f t="shared" si="85"/>
        <v>1.104184662136154E-2</v>
      </c>
      <c r="AK169">
        <f t="shared" si="86"/>
        <v>7.4300119155776834E-3</v>
      </c>
      <c r="AL169">
        <f t="shared" si="87"/>
        <v>-4.065382654392935E-3</v>
      </c>
      <c r="AM169">
        <f t="shared" si="88"/>
        <v>-3.7515213640459955E-3</v>
      </c>
      <c r="AN169">
        <f t="shared" si="89"/>
        <v>-1.437538582486908E-2</v>
      </c>
      <c r="AO169">
        <f t="shared" si="90"/>
        <v>4.6366576942276083E-3</v>
      </c>
      <c r="AP169">
        <f t="shared" si="91"/>
        <v>4.5443487739715849E-4</v>
      </c>
    </row>
    <row r="170" spans="3:42" x14ac:dyDescent="0.3">
      <c r="C170" s="1">
        <v>22.62</v>
      </c>
      <c r="D170" s="1">
        <v>4.6399999999999997</v>
      </c>
      <c r="E170" s="1">
        <v>49.78</v>
      </c>
      <c r="F170" s="1">
        <v>266.86</v>
      </c>
      <c r="G170" s="1">
        <v>961.55</v>
      </c>
      <c r="H170" s="1">
        <v>30.13</v>
      </c>
      <c r="I170" s="1">
        <v>119.15</v>
      </c>
      <c r="J170" s="1">
        <v>133.83000000000001</v>
      </c>
      <c r="K170" s="1">
        <v>313</v>
      </c>
      <c r="L170" s="1">
        <v>161</v>
      </c>
      <c r="M170" s="1">
        <v>20.65</v>
      </c>
      <c r="O170" s="1">
        <v>20.417300000000001</v>
      </c>
      <c r="P170" s="1">
        <v>1.0553501197513873</v>
      </c>
      <c r="Q170" s="1">
        <v>0.13795163905119678</v>
      </c>
      <c r="R170" s="1">
        <v>0.71530000000000005</v>
      </c>
      <c r="T170" s="28">
        <v>22.62</v>
      </c>
      <c r="U170" s="29">
        <f t="shared" si="74"/>
        <v>0.64009560519755304</v>
      </c>
      <c r="V170" s="28">
        <v>49.78</v>
      </c>
      <c r="W170" s="28">
        <v>266.86</v>
      </c>
      <c r="X170" s="28">
        <v>961.55</v>
      </c>
      <c r="Y170" s="29">
        <f t="shared" si="75"/>
        <v>31.719423257661635</v>
      </c>
      <c r="Z170" s="29">
        <f t="shared" si="76"/>
        <v>125.74496676837779</v>
      </c>
      <c r="AA170" s="29">
        <f t="shared" si="77"/>
        <v>95.728599000000017</v>
      </c>
      <c r="AB170" s="29">
        <f t="shared" si="78"/>
        <v>330.3245874821842</v>
      </c>
      <c r="AC170" s="29">
        <f t="shared" si="79"/>
        <v>7.8854696752264006</v>
      </c>
      <c r="AD170" s="29">
        <f t="shared" si="80"/>
        <v>21.792979972866146</v>
      </c>
      <c r="AF170">
        <f t="shared" si="81"/>
        <v>-8.1234768480909825E-2</v>
      </c>
      <c r="AG170">
        <f t="shared" si="82"/>
        <v>-3.8131530885053055E-2</v>
      </c>
      <c r="AH170">
        <f t="shared" si="83"/>
        <v>1.8112296236667547E-3</v>
      </c>
      <c r="AI170">
        <f t="shared" si="84"/>
        <v>-4.3280352212520246E-3</v>
      </c>
      <c r="AJ170">
        <f t="shared" si="85"/>
        <v>-1.0241893978384042E-2</v>
      </c>
      <c r="AK170">
        <f t="shared" si="86"/>
        <v>8.7959299354802845E-3</v>
      </c>
      <c r="AL170">
        <f t="shared" si="87"/>
        <v>1.3956140305107168E-2</v>
      </c>
      <c r="AM170">
        <f t="shared" si="88"/>
        <v>4.9770239237481029E-3</v>
      </c>
      <c r="AN170">
        <f t="shared" si="89"/>
        <v>6.3258760577642459E-3</v>
      </c>
      <c r="AO170">
        <f t="shared" si="90"/>
        <v>-5.3147889141510474E-3</v>
      </c>
      <c r="AP170">
        <f t="shared" si="91"/>
        <v>9.310541011996909E-3</v>
      </c>
    </row>
    <row r="171" spans="3:42" x14ac:dyDescent="0.3">
      <c r="C171" s="1">
        <v>22.71</v>
      </c>
      <c r="D171" s="1">
        <v>4.68</v>
      </c>
      <c r="E171" s="1">
        <v>50.25</v>
      </c>
      <c r="F171" s="1">
        <v>268.88</v>
      </c>
      <c r="G171" s="1">
        <v>971.88</v>
      </c>
      <c r="H171" s="1">
        <v>30.28</v>
      </c>
      <c r="I171" s="1">
        <v>119.4</v>
      </c>
      <c r="J171" s="1">
        <v>133.71</v>
      </c>
      <c r="K171" s="1">
        <v>322.2</v>
      </c>
      <c r="L171" s="1">
        <v>161.06</v>
      </c>
      <c r="M171" s="1">
        <v>20.74</v>
      </c>
      <c r="O171" s="1">
        <v>20.321200000000001</v>
      </c>
      <c r="P171" s="1">
        <v>1.05620238962266</v>
      </c>
      <c r="Q171" s="1">
        <v>0.13792000472413046</v>
      </c>
      <c r="R171" s="1">
        <v>0.71489999999999998</v>
      </c>
      <c r="T171" s="28">
        <v>22.71</v>
      </c>
      <c r="U171" s="29">
        <f t="shared" si="74"/>
        <v>0.64546562210893055</v>
      </c>
      <c r="V171" s="28">
        <v>50.25</v>
      </c>
      <c r="W171" s="28">
        <v>268.88</v>
      </c>
      <c r="X171" s="28">
        <v>971.88</v>
      </c>
      <c r="Y171" s="29">
        <f t="shared" si="75"/>
        <v>31.956001626072009</v>
      </c>
      <c r="Z171" s="29">
        <f t="shared" si="76"/>
        <v>126.11056532094561</v>
      </c>
      <c r="AA171" s="29">
        <f t="shared" si="77"/>
        <v>95.589279000000005</v>
      </c>
      <c r="AB171" s="29">
        <f t="shared" si="78"/>
        <v>340.30840993642101</v>
      </c>
      <c r="AC171" s="29">
        <f t="shared" si="79"/>
        <v>7.9257130484420211</v>
      </c>
      <c r="AD171" s="29">
        <f t="shared" si="80"/>
        <v>21.905637560773968</v>
      </c>
      <c r="AF171">
        <f t="shared" si="81"/>
        <v>3.9787798408488229E-3</v>
      </c>
      <c r="AG171">
        <f t="shared" si="82"/>
        <v>8.3893981895410974E-3</v>
      </c>
      <c r="AH171">
        <f t="shared" si="83"/>
        <v>9.4415427882683645E-3</v>
      </c>
      <c r="AI171">
        <f t="shared" si="84"/>
        <v>7.569512103724696E-3</v>
      </c>
      <c r="AJ171">
        <f t="shared" si="85"/>
        <v>1.0743071083147093E-2</v>
      </c>
      <c r="AK171">
        <f t="shared" si="86"/>
        <v>7.4584700512556612E-3</v>
      </c>
      <c r="AL171">
        <f t="shared" si="87"/>
        <v>2.9074607275634268E-3</v>
      </c>
      <c r="AM171">
        <f t="shared" si="88"/>
        <v>-1.4553644517456554E-3</v>
      </c>
      <c r="AN171">
        <f t="shared" si="89"/>
        <v>3.0224278883797195E-2</v>
      </c>
      <c r="AO171">
        <f t="shared" si="90"/>
        <v>5.103484620840204E-3</v>
      </c>
      <c r="AP171">
        <f t="shared" si="91"/>
        <v>5.1694439240566048E-3</v>
      </c>
    </row>
    <row r="172" spans="3:42" x14ac:dyDescent="0.3">
      <c r="C172" s="1">
        <v>23.06</v>
      </c>
      <c r="D172" s="1">
        <v>4.66</v>
      </c>
      <c r="E172" s="1">
        <v>49.79</v>
      </c>
      <c r="F172" s="1">
        <v>264.04000000000002</v>
      </c>
      <c r="G172" s="1">
        <v>975</v>
      </c>
      <c r="H172" s="1">
        <v>30.49</v>
      </c>
      <c r="I172" s="1">
        <v>120</v>
      </c>
      <c r="J172" s="1">
        <v>134.83000000000001</v>
      </c>
      <c r="K172" s="1">
        <v>320.7</v>
      </c>
      <c r="L172" s="1">
        <v>164.71</v>
      </c>
      <c r="M172" s="1">
        <v>21.24</v>
      </c>
      <c r="O172" s="1">
        <v>20.435700000000001</v>
      </c>
      <c r="P172" s="1">
        <v>1.0523495647323067</v>
      </c>
      <c r="Q172" s="1">
        <v>0.13723532837142843</v>
      </c>
      <c r="R172" s="1">
        <v>0.71140000000000003</v>
      </c>
      <c r="T172" s="28">
        <v>23.06</v>
      </c>
      <c r="U172" s="29">
        <f t="shared" si="74"/>
        <v>0.63951663021085647</v>
      </c>
      <c r="V172" s="28">
        <v>49.79</v>
      </c>
      <c r="W172" s="28">
        <v>264.04000000000002</v>
      </c>
      <c r="X172" s="28">
        <v>975</v>
      </c>
      <c r="Y172" s="29">
        <f t="shared" si="75"/>
        <v>32.203610859594903</v>
      </c>
      <c r="Z172" s="29">
        <f t="shared" si="76"/>
        <v>126.2819477678768</v>
      </c>
      <c r="AA172" s="29">
        <f t="shared" si="77"/>
        <v>95.91806200000002</v>
      </c>
      <c r="AB172" s="29">
        <f t="shared" si="78"/>
        <v>337.48850540965071</v>
      </c>
      <c r="AC172" s="29">
        <f t="shared" si="79"/>
        <v>8.0599147570183547</v>
      </c>
      <c r="AD172" s="29">
        <f t="shared" si="80"/>
        <v>22.351904754914191</v>
      </c>
      <c r="AF172">
        <f t="shared" si="81"/>
        <v>1.5411712901805208E-2</v>
      </c>
      <c r="AG172">
        <f t="shared" si="82"/>
        <v>-9.2165898450747852E-3</v>
      </c>
      <c r="AH172">
        <f t="shared" si="83"/>
        <v>-9.1542288557213691E-3</v>
      </c>
      <c r="AI172">
        <f t="shared" si="84"/>
        <v>-1.8000595060993607E-2</v>
      </c>
      <c r="AJ172">
        <f t="shared" si="85"/>
        <v>3.2102728731941976E-3</v>
      </c>
      <c r="AK172">
        <f t="shared" si="86"/>
        <v>7.7484422619655824E-3</v>
      </c>
      <c r="AL172">
        <f t="shared" si="87"/>
        <v>1.3589856368896314E-3</v>
      </c>
      <c r="AM172">
        <f t="shared" si="88"/>
        <v>3.4395384444736443E-3</v>
      </c>
      <c r="AN172">
        <f t="shared" si="89"/>
        <v>-8.2863204212235697E-3</v>
      </c>
      <c r="AO172">
        <f t="shared" si="90"/>
        <v>1.6932446046947769E-2</v>
      </c>
      <c r="AP172">
        <f t="shared" si="91"/>
        <v>2.0372253165520604E-2</v>
      </c>
    </row>
    <row r="173" spans="3:42" x14ac:dyDescent="0.3">
      <c r="C173" s="1">
        <v>23.18</v>
      </c>
      <c r="D173" s="1">
        <v>4.72</v>
      </c>
      <c r="E173" s="1">
        <v>49.89</v>
      </c>
      <c r="F173" s="1">
        <v>262.61</v>
      </c>
      <c r="G173" s="1">
        <v>982.15</v>
      </c>
      <c r="H173" s="1">
        <v>30.56</v>
      </c>
      <c r="I173" s="1">
        <v>123.85</v>
      </c>
      <c r="J173" s="1">
        <v>133.29</v>
      </c>
      <c r="K173" s="1">
        <v>324.10000000000002</v>
      </c>
      <c r="L173" s="1">
        <v>165.85</v>
      </c>
      <c r="M173" s="1">
        <v>21.4</v>
      </c>
      <c r="O173" s="1">
        <v>20.3233</v>
      </c>
      <c r="P173" s="1">
        <v>1.0523487819399409</v>
      </c>
      <c r="Q173" s="1">
        <v>0.13705451378467082</v>
      </c>
      <c r="R173" s="1">
        <v>0.7127</v>
      </c>
      <c r="T173" s="28">
        <v>23.18</v>
      </c>
      <c r="U173" s="29">
        <f t="shared" si="74"/>
        <v>0.64689730506364618</v>
      </c>
      <c r="V173" s="28">
        <v>49.89</v>
      </c>
      <c r="W173" s="28">
        <v>262.61</v>
      </c>
      <c r="X173" s="28">
        <v>982.15</v>
      </c>
      <c r="Y173" s="29">
        <f t="shared" si="75"/>
        <v>32.159802698219288</v>
      </c>
      <c r="Z173" s="29">
        <f t="shared" si="76"/>
        <v>130.33339664326166</v>
      </c>
      <c r="AA173" s="29">
        <f t="shared" si="77"/>
        <v>94.995782999999989</v>
      </c>
      <c r="AB173" s="29">
        <f t="shared" si="78"/>
        <v>341.06624022673486</v>
      </c>
      <c r="AC173" s="29">
        <f t="shared" si="79"/>
        <v>8.1605841571004714</v>
      </c>
      <c r="AD173" s="29">
        <f t="shared" si="80"/>
        <v>22.520263933514734</v>
      </c>
      <c r="AF173">
        <f t="shared" si="81"/>
        <v>5.2038161318299636E-3</v>
      </c>
      <c r="AG173">
        <f t="shared" si="82"/>
        <v>1.1541020990112782E-2</v>
      </c>
      <c r="AH173">
        <f t="shared" si="83"/>
        <v>2.0084354288010253E-3</v>
      </c>
      <c r="AI173">
        <f t="shared" si="84"/>
        <v>-5.4158460839267564E-3</v>
      </c>
      <c r="AJ173">
        <f t="shared" si="85"/>
        <v>7.3333333333334139E-3</v>
      </c>
      <c r="AK173">
        <f t="shared" si="86"/>
        <v>-1.3603493585429005E-3</v>
      </c>
      <c r="AL173">
        <f t="shared" si="87"/>
        <v>3.2082565616044834E-2</v>
      </c>
      <c r="AM173">
        <f t="shared" si="88"/>
        <v>-9.6152797582590432E-3</v>
      </c>
      <c r="AN173">
        <f t="shared" si="89"/>
        <v>1.0601056805598308E-2</v>
      </c>
      <c r="AO173">
        <f t="shared" si="90"/>
        <v>1.2490132106478757E-2</v>
      </c>
      <c r="AP173">
        <f t="shared" si="91"/>
        <v>7.5322072300585408E-3</v>
      </c>
    </row>
    <row r="174" spans="3:42" x14ac:dyDescent="0.3">
      <c r="C174" s="1">
        <v>23.99</v>
      </c>
      <c r="D174" s="1">
        <v>4.97</v>
      </c>
      <c r="E174" s="1">
        <v>50.04</v>
      </c>
      <c r="F174" s="1">
        <v>260.35000000000002</v>
      </c>
      <c r="G174" s="1">
        <v>990.92</v>
      </c>
      <c r="H174" s="1">
        <v>30.33</v>
      </c>
      <c r="I174" s="1">
        <v>120.8</v>
      </c>
      <c r="J174" s="1">
        <v>136.16999999999999</v>
      </c>
      <c r="K174" s="1">
        <v>327.60000000000002</v>
      </c>
      <c r="L174" s="1">
        <v>167.12</v>
      </c>
      <c r="M174" s="1">
        <v>21.23</v>
      </c>
      <c r="O174" s="1">
        <v>20.283000000000001</v>
      </c>
      <c r="P174" s="1">
        <v>1.0505497214416013</v>
      </c>
      <c r="Q174" s="1">
        <v>0.13742543016319084</v>
      </c>
      <c r="R174" s="1">
        <v>0.71360000000000001</v>
      </c>
      <c r="T174" s="28">
        <v>23.99</v>
      </c>
      <c r="U174" s="29">
        <f t="shared" si="74"/>
        <v>0.68300438791105844</v>
      </c>
      <c r="V174" s="28">
        <v>50.04</v>
      </c>
      <c r="W174" s="28">
        <v>260.35000000000002</v>
      </c>
      <c r="X174" s="28">
        <v>990.92</v>
      </c>
      <c r="Y174" s="29">
        <f t="shared" si="75"/>
        <v>31.917738556238405</v>
      </c>
      <c r="Z174" s="29">
        <f t="shared" si="76"/>
        <v>126.90640635014543</v>
      </c>
      <c r="AA174" s="29">
        <f t="shared" si="77"/>
        <v>97.170911999999987</v>
      </c>
      <c r="AB174" s="29">
        <f t="shared" si="78"/>
        <v>344.16008874426859</v>
      </c>
      <c r="AC174" s="29">
        <f t="shared" si="79"/>
        <v>8.2394123157323857</v>
      </c>
      <c r="AD174" s="29">
        <f t="shared" si="80"/>
        <v>22.303170586205198</v>
      </c>
      <c r="AF174">
        <f t="shared" si="81"/>
        <v>3.4943917169974137E-2</v>
      </c>
      <c r="AG174">
        <f t="shared" si="82"/>
        <v>5.5815788015780576E-2</v>
      </c>
      <c r="AH174">
        <f t="shared" si="83"/>
        <v>3.0066145520144527E-3</v>
      </c>
      <c r="AI174">
        <f t="shared" si="84"/>
        <v>-8.6059175202771732E-3</v>
      </c>
      <c r="AJ174">
        <f t="shared" si="85"/>
        <v>8.9293896044391197E-3</v>
      </c>
      <c r="AK174">
        <f t="shared" si="86"/>
        <v>-7.5269162641438125E-3</v>
      </c>
      <c r="AL174">
        <f t="shared" si="87"/>
        <v>-2.6294030397261303E-2</v>
      </c>
      <c r="AM174">
        <f t="shared" si="88"/>
        <v>2.2897111127553993E-2</v>
      </c>
      <c r="AN174">
        <f t="shared" si="89"/>
        <v>9.071107464277306E-3</v>
      </c>
      <c r="AO174">
        <f t="shared" si="90"/>
        <v>9.6596220459692628E-3</v>
      </c>
      <c r="AP174">
        <f t="shared" si="91"/>
        <v>-9.6399113238836431E-3</v>
      </c>
    </row>
    <row r="175" spans="3:42" x14ac:dyDescent="0.3">
      <c r="C175" s="1">
        <v>23.46</v>
      </c>
      <c r="D175" s="1">
        <v>5.08</v>
      </c>
      <c r="E175" s="1">
        <v>49.67</v>
      </c>
      <c r="F175" s="1">
        <v>261.29000000000002</v>
      </c>
      <c r="G175" s="1">
        <v>982.26</v>
      </c>
      <c r="H175" s="1">
        <v>30.58</v>
      </c>
      <c r="I175" s="1">
        <v>123.55</v>
      </c>
      <c r="J175" s="1">
        <v>136.13999999999999</v>
      </c>
      <c r="K175" s="1">
        <v>325.2</v>
      </c>
      <c r="L175" s="1">
        <v>168.24</v>
      </c>
      <c r="M175" s="1">
        <v>21.47</v>
      </c>
      <c r="O175" s="1">
        <v>20.196300000000001</v>
      </c>
      <c r="P175" s="1">
        <v>1.053697954575838</v>
      </c>
      <c r="Q175" s="1">
        <v>0.13752023885563197</v>
      </c>
      <c r="R175" s="1">
        <v>0.71409999999999996</v>
      </c>
      <c r="T175" s="28">
        <v>23.46</v>
      </c>
      <c r="U175" s="29">
        <f t="shared" si="74"/>
        <v>0.69860281338661046</v>
      </c>
      <c r="V175" s="28">
        <v>49.67</v>
      </c>
      <c r="W175" s="28">
        <v>261.29000000000002</v>
      </c>
      <c r="X175" s="28">
        <v>982.26</v>
      </c>
      <c r="Y175" s="29">
        <f t="shared" si="75"/>
        <v>32.125810481684169</v>
      </c>
      <c r="Z175" s="29">
        <f t="shared" si="76"/>
        <v>130.18438228784478</v>
      </c>
      <c r="AA175" s="29">
        <f t="shared" si="77"/>
        <v>97.217573999999985</v>
      </c>
      <c r="AB175" s="29">
        <f t="shared" si="78"/>
        <v>342.66257482806253</v>
      </c>
      <c r="AC175" s="29">
        <f t="shared" si="79"/>
        <v>8.3302387070899133</v>
      </c>
      <c r="AD175" s="29">
        <f t="shared" si="80"/>
        <v>22.622895084743242</v>
      </c>
      <c r="AF175">
        <f t="shared" si="81"/>
        <v>-2.20925385577323E-2</v>
      </c>
      <c r="AG175">
        <f t="shared" si="82"/>
        <v>2.2837957927706931E-2</v>
      </c>
      <c r="AH175">
        <f t="shared" si="83"/>
        <v>-7.3940847322141456E-3</v>
      </c>
      <c r="AI175">
        <f t="shared" si="84"/>
        <v>3.6105242942192639E-3</v>
      </c>
      <c r="AJ175">
        <f t="shared" si="85"/>
        <v>-8.7393533282201785E-3</v>
      </c>
      <c r="AK175">
        <f t="shared" si="86"/>
        <v>6.5190058838018317E-3</v>
      </c>
      <c r="AL175">
        <f t="shared" si="87"/>
        <v>2.5829869680929596E-2</v>
      </c>
      <c r="AM175">
        <f t="shared" si="88"/>
        <v>4.8020543431759322E-4</v>
      </c>
      <c r="AN175">
        <f t="shared" si="89"/>
        <v>-4.3512131859043679E-3</v>
      </c>
      <c r="AO175">
        <f t="shared" si="90"/>
        <v>1.1023406509721889E-2</v>
      </c>
      <c r="AP175">
        <f t="shared" si="91"/>
        <v>1.4335383272179092E-2</v>
      </c>
    </row>
    <row r="176" spans="3:42" x14ac:dyDescent="0.3">
      <c r="C176" s="1">
        <v>23.19</v>
      </c>
      <c r="D176" s="1">
        <v>5.09</v>
      </c>
      <c r="E176" s="1">
        <v>49.68</v>
      </c>
      <c r="F176" s="1">
        <v>254.56</v>
      </c>
      <c r="G176" s="1">
        <v>992.61</v>
      </c>
      <c r="H176" s="1">
        <v>30.6</v>
      </c>
      <c r="I176" s="1">
        <v>122.55</v>
      </c>
      <c r="J176" s="1">
        <v>136.65</v>
      </c>
      <c r="K176" s="1">
        <v>323.2</v>
      </c>
      <c r="L176" s="1">
        <v>165.71</v>
      </c>
      <c r="M176" s="1">
        <v>21.36</v>
      </c>
      <c r="O176" s="1">
        <v>20.227499999999999</v>
      </c>
      <c r="P176" s="1">
        <v>1.0588011370658756</v>
      </c>
      <c r="Q176" s="1">
        <v>0.13755530836732172</v>
      </c>
      <c r="R176" s="1">
        <v>0.7117</v>
      </c>
      <c r="T176" s="28">
        <v>23.19</v>
      </c>
      <c r="U176" s="29">
        <f t="shared" si="74"/>
        <v>0.70015651958966751</v>
      </c>
      <c r="V176" s="28">
        <v>49.68</v>
      </c>
      <c r="W176" s="28">
        <v>254.56</v>
      </c>
      <c r="X176" s="28">
        <v>992.61</v>
      </c>
      <c r="Y176" s="29">
        <f t="shared" si="75"/>
        <v>32.243157410020643</v>
      </c>
      <c r="Z176" s="29">
        <f t="shared" si="76"/>
        <v>129.75607934742305</v>
      </c>
      <c r="AA176" s="29">
        <f t="shared" si="77"/>
        <v>97.253805</v>
      </c>
      <c r="AB176" s="29">
        <f t="shared" si="78"/>
        <v>342.20452749969098</v>
      </c>
      <c r="AC176" s="29">
        <f t="shared" si="79"/>
        <v>8.1923124459275751</v>
      </c>
      <c r="AD176" s="29">
        <f t="shared" si="80"/>
        <v>22.615992287727103</v>
      </c>
      <c r="AF176">
        <f t="shared" si="81"/>
        <v>-1.1508951406649648E-2</v>
      </c>
      <c r="AG176">
        <f t="shared" si="82"/>
        <v>2.2240193902529626E-3</v>
      </c>
      <c r="AH176">
        <f t="shared" si="83"/>
        <v>2.0132876988121495E-4</v>
      </c>
      <c r="AI176">
        <f t="shared" si="84"/>
        <v>-2.575682192200246E-2</v>
      </c>
      <c r="AJ176">
        <f t="shared" si="85"/>
        <v>1.0536925050393942E-2</v>
      </c>
      <c r="AK176">
        <f t="shared" si="86"/>
        <v>3.652730517207603E-3</v>
      </c>
      <c r="AL176">
        <f t="shared" si="87"/>
        <v>-3.2899717530996408E-3</v>
      </c>
      <c r="AM176">
        <f t="shared" si="88"/>
        <v>3.7267953220077032E-4</v>
      </c>
      <c r="AN176">
        <f t="shared" si="89"/>
        <v>-1.3367299554127854E-3</v>
      </c>
      <c r="AO176">
        <f t="shared" si="90"/>
        <v>-1.6557299978084417E-2</v>
      </c>
      <c r="AP176">
        <f t="shared" si="91"/>
        <v>-3.0512438793894869E-4</v>
      </c>
    </row>
    <row r="177" spans="3:42" x14ac:dyDescent="0.3">
      <c r="C177" s="1">
        <v>22.93</v>
      </c>
      <c r="D177" s="1">
        <v>5.12</v>
      </c>
      <c r="E177" s="1">
        <v>50.17</v>
      </c>
      <c r="F177" s="1">
        <v>247.86</v>
      </c>
      <c r="G177" s="1">
        <v>987.86</v>
      </c>
      <c r="H177" s="1">
        <v>29.95</v>
      </c>
      <c r="I177" s="1">
        <v>122.2</v>
      </c>
      <c r="J177" s="1">
        <v>135.61000000000001</v>
      </c>
      <c r="K177" s="1">
        <v>318.7</v>
      </c>
      <c r="L177" s="1">
        <v>167</v>
      </c>
      <c r="M177" s="1">
        <v>21.14</v>
      </c>
      <c r="O177" s="1">
        <v>20.154699999999998</v>
      </c>
      <c r="P177" s="1">
        <v>1.0568502632140395</v>
      </c>
      <c r="Q177" s="1">
        <v>0.13748157997886351</v>
      </c>
      <c r="R177" s="1">
        <v>0.7107</v>
      </c>
      <c r="T177" s="28">
        <v>22.93</v>
      </c>
      <c r="U177" s="29">
        <f t="shared" si="74"/>
        <v>0.70390568949178123</v>
      </c>
      <c r="V177" s="28">
        <v>50.17</v>
      </c>
      <c r="W177" s="28">
        <v>247.86</v>
      </c>
      <c r="X177" s="28">
        <v>987.86</v>
      </c>
      <c r="Y177" s="29">
        <f t="shared" si="75"/>
        <v>31.711094055122974</v>
      </c>
      <c r="Z177" s="29">
        <f t="shared" si="76"/>
        <v>129.14710216475564</v>
      </c>
      <c r="AA177" s="29">
        <f t="shared" si="77"/>
        <v>96.378027000000003</v>
      </c>
      <c r="AB177" s="29">
        <f t="shared" si="78"/>
        <v>336.8181788863144</v>
      </c>
      <c r="AC177" s="29">
        <f t="shared" si="79"/>
        <v>8.2859084977697517</v>
      </c>
      <c r="AD177" s="29">
        <f t="shared" si="80"/>
        <v>22.341814564344794</v>
      </c>
      <c r="AF177">
        <f t="shared" si="81"/>
        <v>-1.1211729193618014E-2</v>
      </c>
      <c r="AG177">
        <f t="shared" si="82"/>
        <v>5.3547596818936949E-3</v>
      </c>
      <c r="AH177">
        <f t="shared" si="83"/>
        <v>9.8631239935587089E-3</v>
      </c>
      <c r="AI177">
        <f t="shared" si="84"/>
        <v>-2.6319924575738507E-2</v>
      </c>
      <c r="AJ177">
        <f t="shared" si="85"/>
        <v>-4.785363838768486E-3</v>
      </c>
      <c r="AK177">
        <f t="shared" si="86"/>
        <v>-1.6501589721244603E-2</v>
      </c>
      <c r="AL177">
        <f t="shared" si="87"/>
        <v>-4.6932458635473573E-3</v>
      </c>
      <c r="AM177">
        <f t="shared" si="88"/>
        <v>-9.0050769735949832E-3</v>
      </c>
      <c r="AN177">
        <f t="shared" si="89"/>
        <v>-1.5740144213554963E-2</v>
      </c>
      <c r="AO177">
        <f t="shared" si="90"/>
        <v>1.1424863548594733E-2</v>
      </c>
      <c r="AP177">
        <f t="shared" si="91"/>
        <v>-1.2123179027218489E-2</v>
      </c>
    </row>
    <row r="178" spans="3:42" x14ac:dyDescent="0.3">
      <c r="C178" s="1">
        <v>22.96</v>
      </c>
      <c r="D178" s="1">
        <v>5.07</v>
      </c>
      <c r="E178" s="1">
        <v>50.83</v>
      </c>
      <c r="F178" s="1">
        <v>247.27</v>
      </c>
      <c r="G178" s="1">
        <v>993.4</v>
      </c>
      <c r="H178" s="1">
        <v>29.69</v>
      </c>
      <c r="I178" s="1">
        <v>123.6</v>
      </c>
      <c r="J178" s="1">
        <v>136.06</v>
      </c>
      <c r="K178" s="1">
        <v>319.5</v>
      </c>
      <c r="L178" s="1">
        <v>164.29</v>
      </c>
      <c r="M178" s="1">
        <v>21.19</v>
      </c>
      <c r="O178" s="1">
        <v>20.2485</v>
      </c>
      <c r="P178" s="1">
        <v>1.0531496160209399</v>
      </c>
      <c r="Q178" s="1">
        <v>0.13774847519569353</v>
      </c>
      <c r="R178" s="1">
        <v>0.71050000000000002</v>
      </c>
      <c r="T178" s="28">
        <v>22.96</v>
      </c>
      <c r="U178" s="29">
        <f t="shared" si="74"/>
        <v>0.69838476924216619</v>
      </c>
      <c r="V178" s="28">
        <v>50.83</v>
      </c>
      <c r="W178" s="28">
        <v>247.27</v>
      </c>
      <c r="X178" s="28">
        <v>993.4</v>
      </c>
      <c r="Y178" s="29">
        <f t="shared" si="75"/>
        <v>31.377884314824836</v>
      </c>
      <c r="Z178" s="29">
        <f t="shared" si="76"/>
        <v>130.16929254018817</v>
      </c>
      <c r="AA178" s="29">
        <f t="shared" si="77"/>
        <v>96.670630000000003</v>
      </c>
      <c r="AB178" s="29">
        <f t="shared" si="78"/>
        <v>336.48130231869033</v>
      </c>
      <c r="AC178" s="29">
        <f t="shared" si="79"/>
        <v>8.1136874336370592</v>
      </c>
      <c r="AD178" s="29">
        <f t="shared" si="80"/>
        <v>22.316240363483718</v>
      </c>
      <c r="AF178">
        <f t="shared" si="81"/>
        <v>1.3083296990841209E-3</v>
      </c>
      <c r="AG178">
        <f t="shared" si="82"/>
        <v>-7.8432669774286534E-3</v>
      </c>
      <c r="AH178">
        <f t="shared" si="83"/>
        <v>1.3155272074945046E-2</v>
      </c>
      <c r="AI178">
        <f t="shared" si="84"/>
        <v>-2.3803760187202094E-3</v>
      </c>
      <c r="AJ178">
        <f t="shared" si="85"/>
        <v>5.6080821168991157E-3</v>
      </c>
      <c r="AK178">
        <f t="shared" si="86"/>
        <v>-1.0507670902773714E-2</v>
      </c>
      <c r="AL178">
        <f t="shared" si="87"/>
        <v>7.914930790537511E-3</v>
      </c>
      <c r="AM178">
        <f t="shared" si="88"/>
        <v>3.0359928409822157E-3</v>
      </c>
      <c r="AN178">
        <f t="shared" si="89"/>
        <v>-1.0001733538788082E-3</v>
      </c>
      <c r="AO178">
        <f t="shared" si="90"/>
        <v>-2.0784813660330359E-2</v>
      </c>
      <c r="AP178">
        <f t="shared" si="91"/>
        <v>-1.1446787720585938E-3</v>
      </c>
    </row>
    <row r="179" spans="3:42" x14ac:dyDescent="0.3">
      <c r="C179" s="1">
        <v>22.96</v>
      </c>
      <c r="D179" s="1">
        <v>5.1100000000000003</v>
      </c>
      <c r="E179" s="1">
        <v>51.3</v>
      </c>
      <c r="F179" s="1">
        <v>243.73</v>
      </c>
      <c r="G179" s="1">
        <v>994.69</v>
      </c>
      <c r="H179" s="1">
        <v>29.79</v>
      </c>
      <c r="I179" s="1">
        <v>126.9</v>
      </c>
      <c r="J179" s="1">
        <v>134.62</v>
      </c>
      <c r="K179" s="1">
        <v>322.89999999999998</v>
      </c>
      <c r="L179" s="1">
        <v>163.63999999999999</v>
      </c>
      <c r="M179" s="1">
        <v>20.95</v>
      </c>
      <c r="O179" s="1">
        <v>20.1647</v>
      </c>
      <c r="P179" s="1">
        <v>1.050598322811646</v>
      </c>
      <c r="Q179" s="1">
        <v>0.1377357461306144</v>
      </c>
      <c r="R179" s="1">
        <v>0.71279999999999999</v>
      </c>
      <c r="T179" s="28">
        <v>22.96</v>
      </c>
      <c r="U179" s="29">
        <f t="shared" si="74"/>
        <v>0.70382966272743963</v>
      </c>
      <c r="V179" s="28">
        <v>51.3</v>
      </c>
      <c r="W179" s="28">
        <v>243.73</v>
      </c>
      <c r="X179" s="28">
        <v>994.69</v>
      </c>
      <c r="Y179" s="29">
        <f t="shared" si="75"/>
        <v>31.373327061263801</v>
      </c>
      <c r="Z179" s="29">
        <f t="shared" si="76"/>
        <v>133.32092716479789</v>
      </c>
      <c r="AA179" s="29">
        <f t="shared" si="77"/>
        <v>95.957136000000006</v>
      </c>
      <c r="AB179" s="29">
        <f t="shared" si="78"/>
        <v>339.23819843588046</v>
      </c>
      <c r="AC179" s="29">
        <f t="shared" si="79"/>
        <v>8.1151715621854024</v>
      </c>
      <c r="AD179" s="29">
        <f t="shared" si="80"/>
        <v>22.010034862903982</v>
      </c>
      <c r="AF179">
        <f t="shared" si="81"/>
        <v>0</v>
      </c>
      <c r="AG179">
        <f t="shared" si="82"/>
        <v>7.796409264740678E-3</v>
      </c>
      <c r="AH179">
        <f t="shared" si="83"/>
        <v>9.2465079677355178E-3</v>
      </c>
      <c r="AI179">
        <f t="shared" si="84"/>
        <v>-1.431633437133506E-2</v>
      </c>
      <c r="AJ179">
        <f t="shared" si="85"/>
        <v>1.2985705657340141E-3</v>
      </c>
      <c r="AK179">
        <f t="shared" si="86"/>
        <v>-1.4523775775676651E-4</v>
      </c>
      <c r="AL179">
        <f t="shared" si="87"/>
        <v>2.421181342471157E-2</v>
      </c>
      <c r="AM179">
        <f t="shared" si="88"/>
        <v>-7.3806698063310083E-3</v>
      </c>
      <c r="AN179">
        <f t="shared" si="89"/>
        <v>8.1933114802885676E-3</v>
      </c>
      <c r="AO179">
        <f t="shared" si="90"/>
        <v>1.8291665293768133E-4</v>
      </c>
      <c r="AP179">
        <f t="shared" si="91"/>
        <v>-1.3721195667025676E-2</v>
      </c>
    </row>
    <row r="180" spans="3:42" x14ac:dyDescent="0.3">
      <c r="C180" s="1">
        <v>22.51</v>
      </c>
      <c r="D180" s="1">
        <v>5.19</v>
      </c>
      <c r="E180" s="1">
        <v>50.57</v>
      </c>
      <c r="F180" s="1">
        <v>242.76</v>
      </c>
      <c r="G180" s="1">
        <v>988.39</v>
      </c>
      <c r="H180" s="1">
        <v>29.94</v>
      </c>
      <c r="I180" s="1">
        <v>125.6</v>
      </c>
      <c r="J180" s="1">
        <v>133.58000000000001</v>
      </c>
      <c r="K180" s="1">
        <v>325.39999999999998</v>
      </c>
      <c r="L180" s="1">
        <v>163.38999999999999</v>
      </c>
      <c r="M180" s="1">
        <v>20.61</v>
      </c>
      <c r="O180" s="1">
        <v>20.141999999999999</v>
      </c>
      <c r="P180" s="1">
        <v>1.0490020851951147</v>
      </c>
      <c r="Q180" s="1">
        <v>0.13730513355178237</v>
      </c>
      <c r="R180" s="1">
        <v>0.70609999999999995</v>
      </c>
      <c r="T180" s="28">
        <v>22.51</v>
      </c>
      <c r="U180" s="29">
        <f t="shared" si="74"/>
        <v>0.71261364313375053</v>
      </c>
      <c r="V180" s="28">
        <v>50.57</v>
      </c>
      <c r="W180" s="28">
        <v>242.76</v>
      </c>
      <c r="X180" s="28">
        <v>988.39</v>
      </c>
      <c r="Y180" s="29">
        <f t="shared" si="75"/>
        <v>31.454913784980683</v>
      </c>
      <c r="Z180" s="29">
        <f t="shared" si="76"/>
        <v>131.75466190050639</v>
      </c>
      <c r="AA180" s="29">
        <f t="shared" si="77"/>
        <v>94.320838000000009</v>
      </c>
      <c r="AB180" s="29">
        <f t="shared" si="78"/>
        <v>341.34527852249033</v>
      </c>
      <c r="AC180" s="29">
        <f t="shared" si="79"/>
        <v>8.1119054711548007</v>
      </c>
      <c r="AD180" s="29">
        <f t="shared" si="80"/>
        <v>21.619932975871315</v>
      </c>
      <c r="AF180">
        <f t="shared" si="81"/>
        <v>-1.9599303135888424E-2</v>
      </c>
      <c r="AG180">
        <f t="shared" si="82"/>
        <v>1.2480264574629807E-2</v>
      </c>
      <c r="AH180">
        <f t="shared" si="83"/>
        <v>-1.423001949317737E-2</v>
      </c>
      <c r="AI180">
        <f t="shared" si="84"/>
        <v>-3.9798137283059143E-3</v>
      </c>
      <c r="AJ180">
        <f t="shared" si="85"/>
        <v>-6.3336315837095869E-3</v>
      </c>
      <c r="AK180">
        <f t="shared" si="86"/>
        <v>2.6005123255676832E-3</v>
      </c>
      <c r="AL180">
        <f t="shared" si="87"/>
        <v>-1.1748082597381249E-2</v>
      </c>
      <c r="AM180">
        <f t="shared" si="88"/>
        <v>-1.7052384723112213E-2</v>
      </c>
      <c r="AN180">
        <f t="shared" si="89"/>
        <v>6.2112111676249082E-3</v>
      </c>
      <c r="AO180">
        <f t="shared" si="90"/>
        <v>-4.0246728064519122E-4</v>
      </c>
      <c r="AP180">
        <f t="shared" si="91"/>
        <v>-1.7723819587862177E-2</v>
      </c>
    </row>
    <row r="181" spans="3:42" x14ac:dyDescent="0.3">
      <c r="C181" s="1">
        <v>23.18</v>
      </c>
      <c r="D181" s="1">
        <v>5.16</v>
      </c>
      <c r="E181" s="1">
        <v>49.98</v>
      </c>
      <c r="F181" s="1">
        <v>251.8</v>
      </c>
      <c r="G181" s="1">
        <v>989.35</v>
      </c>
      <c r="H181" s="1">
        <v>29.8</v>
      </c>
      <c r="I181" s="1">
        <v>125.1</v>
      </c>
      <c r="J181" s="1">
        <v>133.74</v>
      </c>
      <c r="K181" s="1">
        <v>322.89999999999998</v>
      </c>
      <c r="L181" s="1">
        <v>163.11000000000001</v>
      </c>
      <c r="M181" s="1">
        <v>20.64</v>
      </c>
      <c r="O181" s="1">
        <v>20.1448</v>
      </c>
      <c r="P181" s="1">
        <v>1.04900023827489</v>
      </c>
      <c r="Q181" s="1">
        <v>0.13715201937969104</v>
      </c>
      <c r="R181" s="1">
        <v>0.7056</v>
      </c>
      <c r="T181" s="28">
        <v>23.18</v>
      </c>
      <c r="U181" s="29">
        <f t="shared" si="74"/>
        <v>0.70770441999920575</v>
      </c>
      <c r="V181" s="28">
        <v>49.98</v>
      </c>
      <c r="W181" s="28">
        <v>251.8</v>
      </c>
      <c r="X181" s="28">
        <v>989.35</v>
      </c>
      <c r="Y181" s="29">
        <f t="shared" si="75"/>
        <v>31.260262138814419</v>
      </c>
      <c r="Z181" s="29">
        <f t="shared" si="76"/>
        <v>131.22992980818873</v>
      </c>
      <c r="AA181" s="29">
        <f t="shared" si="77"/>
        <v>94.366944000000004</v>
      </c>
      <c r="AB181" s="29">
        <f t="shared" si="78"/>
        <v>338.72217693896192</v>
      </c>
      <c r="AC181" s="29">
        <f t="shared" si="79"/>
        <v>8.0968785989436487</v>
      </c>
      <c r="AD181" s="29">
        <f t="shared" si="80"/>
        <v>21.651364917993728</v>
      </c>
      <c r="AF181">
        <f t="shared" si="81"/>
        <v>2.9764549089293491E-2</v>
      </c>
      <c r="AG181">
        <f t="shared" si="82"/>
        <v>-6.889038936942371E-3</v>
      </c>
      <c r="AH181">
        <f t="shared" si="83"/>
        <v>-1.166699624283174E-2</v>
      </c>
      <c r="AI181">
        <f t="shared" si="84"/>
        <v>3.7238424781677493E-2</v>
      </c>
      <c r="AJ181">
        <f t="shared" si="85"/>
        <v>9.7127652040196466E-4</v>
      </c>
      <c r="AK181">
        <f t="shared" si="86"/>
        <v>-6.1882746682080381E-3</v>
      </c>
      <c r="AL181">
        <f t="shared" si="87"/>
        <v>-3.9826453557590957E-3</v>
      </c>
      <c r="AM181">
        <f t="shared" si="88"/>
        <v>4.8882093265545379E-4</v>
      </c>
      <c r="AN181">
        <f t="shared" si="89"/>
        <v>-7.6845989927925018E-3</v>
      </c>
      <c r="AO181">
        <f t="shared" si="90"/>
        <v>-1.8524466618338176E-3</v>
      </c>
      <c r="AP181">
        <f t="shared" si="91"/>
        <v>1.4538408679385384E-3</v>
      </c>
    </row>
    <row r="182" spans="3:42" x14ac:dyDescent="0.3">
      <c r="C182" s="1">
        <v>23.35</v>
      </c>
      <c r="D182" s="1">
        <v>5.25</v>
      </c>
      <c r="E182" s="1">
        <v>50.06</v>
      </c>
      <c r="F182" s="1">
        <v>250.25</v>
      </c>
      <c r="G182" s="1">
        <v>992.87</v>
      </c>
      <c r="H182" s="1">
        <v>30</v>
      </c>
      <c r="I182" s="1">
        <v>123.55</v>
      </c>
      <c r="J182" s="1">
        <v>132.44999999999999</v>
      </c>
      <c r="K182" s="1">
        <v>326.5</v>
      </c>
      <c r="L182" s="1">
        <v>165.5</v>
      </c>
      <c r="M182" s="1">
        <v>20.59</v>
      </c>
      <c r="O182" s="1">
        <v>20.2363</v>
      </c>
      <c r="P182" s="1">
        <v>1.0492481333050014</v>
      </c>
      <c r="Q182" s="1">
        <v>0.1371693441982971</v>
      </c>
      <c r="R182" s="1">
        <v>0.70499999999999996</v>
      </c>
      <c r="T182" s="28">
        <v>23.35</v>
      </c>
      <c r="U182" s="29">
        <f t="shared" si="74"/>
        <v>0.72013905704105974</v>
      </c>
      <c r="V182" s="28">
        <v>50.06</v>
      </c>
      <c r="W182" s="28">
        <v>250.25</v>
      </c>
      <c r="X182" s="28">
        <v>992.87</v>
      </c>
      <c r="Y182" s="29">
        <f t="shared" si="75"/>
        <v>31.470007148246701</v>
      </c>
      <c r="Z182" s="29">
        <f t="shared" si="76"/>
        <v>129.63460686983294</v>
      </c>
      <c r="AA182" s="29">
        <f t="shared" si="77"/>
        <v>93.377249999999989</v>
      </c>
      <c r="AB182" s="29">
        <f t="shared" si="78"/>
        <v>342.57951552408298</v>
      </c>
      <c r="AC182" s="29">
        <f t="shared" si="79"/>
        <v>8.1783725285748883</v>
      </c>
      <c r="AD182" s="29">
        <f t="shared" si="80"/>
        <v>21.604019064749981</v>
      </c>
      <c r="AF182">
        <f t="shared" si="81"/>
        <v>7.3339085418464567E-3</v>
      </c>
      <c r="AG182">
        <f t="shared" si="82"/>
        <v>1.7570382055644096E-2</v>
      </c>
      <c r="AH182">
        <f t="shared" si="83"/>
        <v>1.6006402561026256E-3</v>
      </c>
      <c r="AI182">
        <f t="shared" si="84"/>
        <v>-6.1556791104051545E-3</v>
      </c>
      <c r="AJ182">
        <f t="shared" si="85"/>
        <v>3.557891544953673E-3</v>
      </c>
      <c r="AK182">
        <f t="shared" si="86"/>
        <v>6.70963693461335E-3</v>
      </c>
      <c r="AL182">
        <f t="shared" si="87"/>
        <v>-1.2156700386013908E-2</v>
      </c>
      <c r="AM182">
        <f t="shared" si="88"/>
        <v>-1.0487719089430469E-2</v>
      </c>
      <c r="AN182">
        <f t="shared" si="89"/>
        <v>1.1387912713539672E-2</v>
      </c>
      <c r="AO182">
        <f t="shared" si="90"/>
        <v>1.0064857541753458E-2</v>
      </c>
      <c r="AP182">
        <f t="shared" si="91"/>
        <v>-2.1867375762717467E-3</v>
      </c>
    </row>
    <row r="183" spans="3:42" x14ac:dyDescent="0.3">
      <c r="C183" s="1">
        <v>23.16</v>
      </c>
      <c r="D183" s="1">
        <v>5.51</v>
      </c>
      <c r="E183" s="1">
        <v>49.91</v>
      </c>
      <c r="F183" s="1">
        <v>247.53</v>
      </c>
      <c r="G183" s="1">
        <v>982.08</v>
      </c>
      <c r="H183" s="1">
        <v>29.8</v>
      </c>
      <c r="I183" s="1">
        <v>123.2</v>
      </c>
      <c r="J183" s="1">
        <v>130.80000000000001</v>
      </c>
      <c r="K183" s="1">
        <v>324.39999999999998</v>
      </c>
      <c r="L183" s="1">
        <v>160.80000000000001</v>
      </c>
      <c r="M183" s="1">
        <v>20.58</v>
      </c>
      <c r="O183" s="1">
        <v>20.139500000000002</v>
      </c>
      <c r="P183" s="1">
        <v>1.0498522803445964</v>
      </c>
      <c r="Q183" s="1">
        <v>0.13712356314704932</v>
      </c>
      <c r="R183" s="1">
        <v>0.70620000000000005</v>
      </c>
      <c r="T183" s="28">
        <v>23.16</v>
      </c>
      <c r="U183" s="29">
        <f t="shared" si="74"/>
        <v>0.75555083294024172</v>
      </c>
      <c r="V183" s="28">
        <v>49.91</v>
      </c>
      <c r="W183" s="28">
        <v>247.53</v>
      </c>
      <c r="X183" s="28">
        <v>982.08</v>
      </c>
      <c r="Y183" s="29">
        <f t="shared" si="75"/>
        <v>31.267594372489043</v>
      </c>
      <c r="Z183" s="29">
        <f t="shared" si="76"/>
        <v>129.34180093845427</v>
      </c>
      <c r="AA183" s="29">
        <f t="shared" si="77"/>
        <v>92.370960000000011</v>
      </c>
      <c r="AB183" s="29">
        <f t="shared" si="78"/>
        <v>340.57207974378707</v>
      </c>
      <c r="AC183" s="29">
        <f t="shared" si="79"/>
        <v>7.9843094416445295</v>
      </c>
      <c r="AD183" s="29">
        <f t="shared" si="80"/>
        <v>21.605959929491792</v>
      </c>
      <c r="AF183">
        <f t="shared" si="81"/>
        <v>-8.1370449678801471E-3</v>
      </c>
      <c r="AG183">
        <f t="shared" si="82"/>
        <v>4.9173524964308379E-2</v>
      </c>
      <c r="AH183">
        <f t="shared" si="83"/>
        <v>-2.9964043148222874E-3</v>
      </c>
      <c r="AI183">
        <f t="shared" si="84"/>
        <v>-1.0869130869130883E-2</v>
      </c>
      <c r="AJ183">
        <f t="shared" si="85"/>
        <v>-1.086748516925673E-2</v>
      </c>
      <c r="AK183">
        <f t="shared" si="86"/>
        <v>-6.4319265897889721E-3</v>
      </c>
      <c r="AL183">
        <f t="shared" si="87"/>
        <v>-2.2587018887069155E-3</v>
      </c>
      <c r="AM183">
        <f t="shared" si="88"/>
        <v>-1.0776607792583048E-2</v>
      </c>
      <c r="AN183">
        <f t="shared" si="89"/>
        <v>-5.8597659501762323E-3</v>
      </c>
      <c r="AO183">
        <f t="shared" si="90"/>
        <v>-2.3728814779751195E-2</v>
      </c>
      <c r="AP183">
        <f t="shared" si="91"/>
        <v>8.9838133173092416E-5</v>
      </c>
    </row>
    <row r="184" spans="3:42" x14ac:dyDescent="0.3">
      <c r="C184" s="1">
        <v>22.89</v>
      </c>
      <c r="D184" s="1">
        <v>5.32</v>
      </c>
      <c r="E184" s="1">
        <v>48.93</v>
      </c>
      <c r="F184" s="1">
        <v>240.28</v>
      </c>
      <c r="G184" s="1">
        <v>964.74</v>
      </c>
      <c r="H184" s="1">
        <v>29.5</v>
      </c>
      <c r="I184" s="1">
        <v>123.5</v>
      </c>
      <c r="J184" s="1">
        <v>130.66</v>
      </c>
      <c r="K184" s="1">
        <v>323.10000000000002</v>
      </c>
      <c r="L184" s="1">
        <v>159.9</v>
      </c>
      <c r="M184" s="1">
        <v>20.440000000000001</v>
      </c>
      <c r="O184" s="1">
        <v>20.440200000000001</v>
      </c>
      <c r="P184" s="1">
        <v>1.0402491169362333</v>
      </c>
      <c r="Q184" s="1">
        <v>0.13676969892662497</v>
      </c>
      <c r="R184" s="1">
        <v>0.70320000000000005</v>
      </c>
      <c r="T184" s="28">
        <v>22.89</v>
      </c>
      <c r="U184" s="29">
        <f t="shared" si="74"/>
        <v>0.72761479828964482</v>
      </c>
      <c r="V184" s="28">
        <v>48.93</v>
      </c>
      <c r="W184" s="28">
        <v>240.28</v>
      </c>
      <c r="X184" s="28">
        <v>964.74</v>
      </c>
      <c r="Y184" s="29">
        <f t="shared" si="75"/>
        <v>30.970642270165595</v>
      </c>
      <c r="Z184" s="29">
        <f t="shared" si="76"/>
        <v>128.47076594162482</v>
      </c>
      <c r="AA184" s="29">
        <f t="shared" si="77"/>
        <v>91.880111999999997</v>
      </c>
      <c r="AB184" s="29">
        <f t="shared" si="78"/>
        <v>336.10448968209704</v>
      </c>
      <c r="AC184" s="29">
        <f t="shared" si="79"/>
        <v>7.8228197375759532</v>
      </c>
      <c r="AD184" s="29">
        <f t="shared" si="80"/>
        <v>21.26269195017661</v>
      </c>
      <c r="AF184">
        <f t="shared" si="81"/>
        <v>-1.1658031088082832E-2</v>
      </c>
      <c r="AG184">
        <f t="shared" si="82"/>
        <v>-3.6974394617345974E-2</v>
      </c>
      <c r="AH184">
        <f t="shared" si="83"/>
        <v>-1.9635343618513268E-2</v>
      </c>
      <c r="AI184">
        <f t="shared" si="84"/>
        <v>-2.9289379065163823E-2</v>
      </c>
      <c r="AJ184">
        <f t="shared" si="85"/>
        <v>-1.7656402737047938E-2</v>
      </c>
      <c r="AK184">
        <f t="shared" si="86"/>
        <v>-9.4971202064947358E-3</v>
      </c>
      <c r="AL184">
        <f t="shared" si="87"/>
        <v>-6.7343657696858905E-3</v>
      </c>
      <c r="AM184">
        <f t="shared" si="88"/>
        <v>-5.3138778681093291E-3</v>
      </c>
      <c r="AN184">
        <f t="shared" si="89"/>
        <v>-1.3117898757440738E-2</v>
      </c>
      <c r="AO184">
        <f t="shared" si="90"/>
        <v>-2.022588243214607E-2</v>
      </c>
      <c r="AP184">
        <f t="shared" si="91"/>
        <v>-1.5887652316092016E-2</v>
      </c>
    </row>
    <row r="185" spans="3:42" x14ac:dyDescent="0.3">
      <c r="C185" s="1">
        <v>24.06</v>
      </c>
      <c r="D185" s="1">
        <v>5.36</v>
      </c>
      <c r="E185" s="1">
        <v>49</v>
      </c>
      <c r="F185" s="1">
        <v>239.71</v>
      </c>
      <c r="G185" s="1">
        <v>954.8</v>
      </c>
      <c r="H185" s="1">
        <v>29.24</v>
      </c>
      <c r="I185" s="1">
        <v>120.3</v>
      </c>
      <c r="J185" s="1">
        <v>132.33000000000001</v>
      </c>
      <c r="K185" s="1">
        <v>323.3</v>
      </c>
      <c r="L185" s="1">
        <v>159.41</v>
      </c>
      <c r="M185" s="1">
        <v>20.36</v>
      </c>
      <c r="O185" s="1">
        <v>20.1035</v>
      </c>
      <c r="P185" s="1">
        <v>1.0390976695600269</v>
      </c>
      <c r="Q185" s="1">
        <v>0.13691148307508644</v>
      </c>
      <c r="R185" s="1">
        <v>0.70250000000000001</v>
      </c>
      <c r="T185" s="28">
        <v>24.06</v>
      </c>
      <c r="U185" s="29">
        <f t="shared" si="74"/>
        <v>0.73384554928246337</v>
      </c>
      <c r="V185" s="28">
        <v>49</v>
      </c>
      <c r="W185" s="28">
        <v>239.71</v>
      </c>
      <c r="X185" s="28">
        <v>954.8</v>
      </c>
      <c r="Y185" s="29">
        <f t="shared" si="75"/>
        <v>30.416884179215462</v>
      </c>
      <c r="Z185" s="29">
        <f t="shared" si="76"/>
        <v>125.00344964807124</v>
      </c>
      <c r="AA185" s="29">
        <f t="shared" si="77"/>
        <v>92.961825000000005</v>
      </c>
      <c r="AB185" s="29">
        <f t="shared" si="78"/>
        <v>335.9402765687567</v>
      </c>
      <c r="AC185" s="29">
        <f t="shared" si="79"/>
        <v>7.9294650185291111</v>
      </c>
      <c r="AD185" s="29">
        <f t="shared" si="80"/>
        <v>21.156028552242148</v>
      </c>
      <c r="AF185">
        <f t="shared" si="81"/>
        <v>5.1114023591087632E-2</v>
      </c>
      <c r="AG185">
        <f t="shared" si="82"/>
        <v>8.5632549083178855E-3</v>
      </c>
      <c r="AH185">
        <f t="shared" si="83"/>
        <v>1.4306151645206988E-3</v>
      </c>
      <c r="AI185">
        <f t="shared" si="84"/>
        <v>-2.3722323955385205E-3</v>
      </c>
      <c r="AJ185">
        <f t="shared" si="85"/>
        <v>-1.0303294151792208E-2</v>
      </c>
      <c r="AK185">
        <f t="shared" si="86"/>
        <v>-1.78800970971007E-2</v>
      </c>
      <c r="AL185">
        <f t="shared" si="87"/>
        <v>-2.6989146271059639E-2</v>
      </c>
      <c r="AM185">
        <f t="shared" si="88"/>
        <v>1.1773091874333064E-2</v>
      </c>
      <c r="AN185">
        <f t="shared" si="89"/>
        <v>-4.885775655530944E-4</v>
      </c>
      <c r="AO185">
        <f t="shared" si="90"/>
        <v>1.363258831606462E-2</v>
      </c>
      <c r="AP185">
        <f t="shared" si="91"/>
        <v>-5.0164578494763523E-3</v>
      </c>
    </row>
    <row r="186" spans="3:42" x14ac:dyDescent="0.3">
      <c r="C186" s="1">
        <v>24.53</v>
      </c>
      <c r="D186" s="1">
        <v>5.04</v>
      </c>
      <c r="E186" s="1">
        <v>49.5</v>
      </c>
      <c r="F186" s="1">
        <v>239.97</v>
      </c>
      <c r="G186" s="1">
        <v>954.07</v>
      </c>
      <c r="H186" s="1">
        <v>28.92</v>
      </c>
      <c r="I186" s="1">
        <v>119.2</v>
      </c>
      <c r="J186" s="1">
        <v>133.38999999999999</v>
      </c>
      <c r="K186" s="1">
        <v>322.60000000000002</v>
      </c>
      <c r="L186" s="1">
        <v>159.22</v>
      </c>
      <c r="M186" s="1">
        <v>20.41</v>
      </c>
      <c r="O186" s="1">
        <v>20.194800000000001</v>
      </c>
      <c r="P186" s="1">
        <v>1.0390496563471785</v>
      </c>
      <c r="Q186" s="1">
        <v>0.13679759145918752</v>
      </c>
      <c r="R186" s="1">
        <v>0.70209999999999995</v>
      </c>
      <c r="T186" s="28">
        <v>24.53</v>
      </c>
      <c r="U186" s="29">
        <f t="shared" si="74"/>
        <v>0.68945986095430511</v>
      </c>
      <c r="V186" s="28">
        <v>49.5</v>
      </c>
      <c r="W186" s="28">
        <v>239.97</v>
      </c>
      <c r="X186" s="28">
        <v>954.07</v>
      </c>
      <c r="Y186" s="29">
        <f t="shared" si="75"/>
        <v>30.050704603675982</v>
      </c>
      <c r="Z186" s="29">
        <f t="shared" si="76"/>
        <v>123.85471903658367</v>
      </c>
      <c r="AA186" s="29">
        <f t="shared" si="77"/>
        <v>93.65311899999999</v>
      </c>
      <c r="AB186" s="29">
        <f t="shared" si="78"/>
        <v>335.19741913759981</v>
      </c>
      <c r="AC186" s="29">
        <f t="shared" si="79"/>
        <v>7.8842078158733928</v>
      </c>
      <c r="AD186" s="29">
        <f t="shared" si="80"/>
        <v>21.207003486045913</v>
      </c>
      <c r="AF186">
        <f t="shared" si="81"/>
        <v>1.9534497090606839E-2</v>
      </c>
      <c r="AG186">
        <f t="shared" si="82"/>
        <v>-6.0483692204112316E-2</v>
      </c>
      <c r="AH186">
        <f t="shared" si="83"/>
        <v>1.0204081632652962E-2</v>
      </c>
      <c r="AI186">
        <f t="shared" si="84"/>
        <v>1.0846439447664835E-3</v>
      </c>
      <c r="AJ186">
        <f t="shared" si="85"/>
        <v>-7.6455802262243022E-4</v>
      </c>
      <c r="AK186">
        <f t="shared" si="86"/>
        <v>-1.2038694475803635E-2</v>
      </c>
      <c r="AL186">
        <f t="shared" si="87"/>
        <v>-9.1895912850536998E-3</v>
      </c>
      <c r="AM186">
        <f t="shared" si="88"/>
        <v>7.4363213071599876E-3</v>
      </c>
      <c r="AN186">
        <f t="shared" si="89"/>
        <v>-2.2112782627445871E-3</v>
      </c>
      <c r="AO186">
        <f t="shared" si="90"/>
        <v>-5.7074723893685286E-3</v>
      </c>
      <c r="AP186">
        <f t="shared" si="91"/>
        <v>2.4094755628585318E-3</v>
      </c>
    </row>
    <row r="187" spans="3:42" x14ac:dyDescent="0.3">
      <c r="C187" s="1">
        <v>24.17</v>
      </c>
      <c r="D187" s="1">
        <v>4.97</v>
      </c>
      <c r="E187" s="1">
        <v>49.27</v>
      </c>
      <c r="F187" s="1">
        <v>241.01</v>
      </c>
      <c r="G187" s="1">
        <v>949.91</v>
      </c>
      <c r="H187" s="1">
        <v>28.83</v>
      </c>
      <c r="I187" s="1">
        <v>120.35</v>
      </c>
      <c r="J187" s="1">
        <v>132.63999999999999</v>
      </c>
      <c r="K187" s="1">
        <v>317.8</v>
      </c>
      <c r="L187" s="1">
        <v>158.41</v>
      </c>
      <c r="M187" s="1">
        <v>20.39</v>
      </c>
      <c r="O187" s="1">
        <v>20.155799999999999</v>
      </c>
      <c r="P187" s="1">
        <v>1.0392492483553122</v>
      </c>
      <c r="Q187" s="1">
        <v>0.13686879210946726</v>
      </c>
      <c r="R187" s="1">
        <v>0.69879999999999998</v>
      </c>
      <c r="T187" s="28">
        <v>24.17</v>
      </c>
      <c r="U187" s="29">
        <f t="shared" si="74"/>
        <v>0.68023789678405222</v>
      </c>
      <c r="V187" s="28">
        <v>49.27</v>
      </c>
      <c r="W187" s="28">
        <v>241.01</v>
      </c>
      <c r="X187" s="28">
        <v>949.91</v>
      </c>
      <c r="Y187" s="29">
        <f t="shared" si="75"/>
        <v>29.955801592489156</v>
      </c>
      <c r="Z187" s="29">
        <f t="shared" si="76"/>
        <v>125.07364703956182</v>
      </c>
      <c r="AA187" s="29">
        <f t="shared" si="77"/>
        <v>92.688831999999991</v>
      </c>
      <c r="AB187" s="29">
        <f t="shared" si="78"/>
        <v>330.27341112731824</v>
      </c>
      <c r="AC187" s="29">
        <f t="shared" si="79"/>
        <v>7.8592762381051609</v>
      </c>
      <c r="AD187" s="29">
        <f t="shared" si="80"/>
        <v>21.190292173964817</v>
      </c>
      <c r="AF187">
        <f t="shared" si="81"/>
        <v>-1.4675907052588588E-2</v>
      </c>
      <c r="AG187">
        <f t="shared" si="82"/>
        <v>-1.3375636048614137E-2</v>
      </c>
      <c r="AH187">
        <f t="shared" si="83"/>
        <v>-4.6464646464645654E-3</v>
      </c>
      <c r="AI187">
        <f t="shared" si="84"/>
        <v>4.3338750677168747E-3</v>
      </c>
      <c r="AJ187">
        <f t="shared" si="85"/>
        <v>-4.3602670663579479E-3</v>
      </c>
      <c r="AK187">
        <f t="shared" si="86"/>
        <v>-3.1580960392927349E-3</v>
      </c>
      <c r="AL187">
        <f t="shared" si="87"/>
        <v>9.8415951564840842E-3</v>
      </c>
      <c r="AM187">
        <f t="shared" si="88"/>
        <v>-1.0296368239481657E-2</v>
      </c>
      <c r="AN187">
        <f t="shared" si="89"/>
        <v>-1.4689874471438658E-2</v>
      </c>
      <c r="AO187">
        <f t="shared" si="90"/>
        <v>-3.1622172259382353E-3</v>
      </c>
      <c r="AP187">
        <f t="shared" si="91"/>
        <v>-7.8800911652099348E-4</v>
      </c>
    </row>
    <row r="188" spans="3:42" x14ac:dyDescent="0.3">
      <c r="C188" s="1">
        <v>24.21</v>
      </c>
      <c r="D188" s="1">
        <v>4.87</v>
      </c>
      <c r="E188" s="1">
        <v>49.39</v>
      </c>
      <c r="F188" s="1">
        <v>243.24</v>
      </c>
      <c r="G188" s="1">
        <v>958.82</v>
      </c>
      <c r="H188" s="1">
        <v>28.99</v>
      </c>
      <c r="I188" s="1">
        <v>120</v>
      </c>
      <c r="J188" s="1">
        <v>133.68</v>
      </c>
      <c r="K188" s="1">
        <v>321.5</v>
      </c>
      <c r="L188" s="1">
        <v>158.93</v>
      </c>
      <c r="M188" s="1">
        <v>20.5</v>
      </c>
      <c r="O188" s="1">
        <v>20.165700000000001</v>
      </c>
      <c r="P188" s="1">
        <v>1.0410003124116693</v>
      </c>
      <c r="Q188" s="1">
        <v>0.13682639333125057</v>
      </c>
      <c r="R188" s="1">
        <v>0.69210000000000005</v>
      </c>
      <c r="T188" s="28">
        <v>24.21</v>
      </c>
      <c r="U188" s="29">
        <f t="shared" si="74"/>
        <v>0.66634453552319028</v>
      </c>
      <c r="V188" s="28">
        <v>49.39</v>
      </c>
      <c r="W188" s="28">
        <v>243.24</v>
      </c>
      <c r="X188" s="28">
        <v>958.82</v>
      </c>
      <c r="Y188" s="29">
        <f t="shared" si="75"/>
        <v>30.127835709820499</v>
      </c>
      <c r="Z188" s="29">
        <f t="shared" si="76"/>
        <v>124.92003748940033</v>
      </c>
      <c r="AA188" s="29">
        <f t="shared" si="77"/>
        <v>92.519928000000007</v>
      </c>
      <c r="AB188" s="29">
        <f t="shared" si="78"/>
        <v>334.6816004403517</v>
      </c>
      <c r="AC188" s="29">
        <f t="shared" si="79"/>
        <v>7.8812042230123422</v>
      </c>
      <c r="AD188" s="29">
        <f t="shared" si="80"/>
        <v>21.340506404439221</v>
      </c>
      <c r="AF188">
        <f t="shared" si="81"/>
        <v>1.6549441456350511E-3</v>
      </c>
      <c r="AG188">
        <f t="shared" si="82"/>
        <v>-2.0424268225197828E-2</v>
      </c>
      <c r="AH188">
        <f t="shared" si="83"/>
        <v>2.4355591637912344E-3</v>
      </c>
      <c r="AI188">
        <f t="shared" si="84"/>
        <v>9.2527281025684971E-3</v>
      </c>
      <c r="AJ188">
        <f t="shared" si="85"/>
        <v>9.3798359844616819E-3</v>
      </c>
      <c r="AK188">
        <f t="shared" si="86"/>
        <v>5.7429315253068047E-3</v>
      </c>
      <c r="AL188">
        <f t="shared" si="87"/>
        <v>-1.228152802747462E-3</v>
      </c>
      <c r="AM188">
        <f t="shared" si="88"/>
        <v>-1.8222691596759821E-3</v>
      </c>
      <c r="AN188">
        <f t="shared" si="89"/>
        <v>1.3347091120617494E-2</v>
      </c>
      <c r="AO188">
        <f t="shared" si="90"/>
        <v>2.7900768776729645E-3</v>
      </c>
      <c r="AP188">
        <f t="shared" si="91"/>
        <v>7.0888229969270355E-3</v>
      </c>
    </row>
    <row r="189" spans="3:42" x14ac:dyDescent="0.3">
      <c r="C189" s="1">
        <v>24.22</v>
      </c>
      <c r="D189" s="1">
        <v>4.91</v>
      </c>
      <c r="E189" s="1">
        <v>49.72</v>
      </c>
      <c r="F189" s="1">
        <v>243.19</v>
      </c>
      <c r="G189" s="1">
        <v>956.14</v>
      </c>
      <c r="H189" s="1">
        <v>28.89</v>
      </c>
      <c r="I189" s="1">
        <v>119.3</v>
      </c>
      <c r="J189" s="1">
        <v>133.43</v>
      </c>
      <c r="K189" s="1">
        <v>322</v>
      </c>
      <c r="L189" s="1">
        <v>159.55000000000001</v>
      </c>
      <c r="M189" s="1">
        <v>20.49</v>
      </c>
      <c r="O189" s="1">
        <v>20.2683</v>
      </c>
      <c r="P189" s="1">
        <v>1.0422482398622479</v>
      </c>
      <c r="Q189" s="1">
        <v>0.13706625617343338</v>
      </c>
      <c r="R189" s="1">
        <v>0.69450000000000001</v>
      </c>
      <c r="T189" s="28">
        <v>24.22</v>
      </c>
      <c r="U189" s="29">
        <f t="shared" si="74"/>
        <v>0.67299531781155786</v>
      </c>
      <c r="V189" s="28">
        <v>49.72</v>
      </c>
      <c r="W189" s="28">
        <v>243.19</v>
      </c>
      <c r="X189" s="28">
        <v>956.14</v>
      </c>
      <c r="Y189" s="29">
        <f t="shared" si="75"/>
        <v>30.074499025573129</v>
      </c>
      <c r="Z189" s="29">
        <f t="shared" si="76"/>
        <v>124.34021501556617</v>
      </c>
      <c r="AA189" s="29">
        <f t="shared" si="77"/>
        <v>92.667135000000002</v>
      </c>
      <c r="AB189" s="29">
        <f t="shared" si="78"/>
        <v>335.60393323564381</v>
      </c>
      <c r="AC189" s="29">
        <f t="shared" si="79"/>
        <v>7.8718984818657711</v>
      </c>
      <c r="AD189" s="29">
        <f t="shared" si="80"/>
        <v>21.355666434777458</v>
      </c>
      <c r="AF189">
        <f t="shared" si="81"/>
        <v>4.1305245766198873E-4</v>
      </c>
      <c r="AG189">
        <f t="shared" si="82"/>
        <v>9.980996217137994E-3</v>
      </c>
      <c r="AH189">
        <f t="shared" si="83"/>
        <v>6.6815144766145806E-3</v>
      </c>
      <c r="AI189">
        <f t="shared" si="84"/>
        <v>-2.0555829633284173E-4</v>
      </c>
      <c r="AJ189">
        <f t="shared" si="85"/>
        <v>-2.7951023132600783E-3</v>
      </c>
      <c r="AK189">
        <f t="shared" si="86"/>
        <v>-1.7703456949609286E-3</v>
      </c>
      <c r="AL189">
        <f t="shared" si="87"/>
        <v>-4.6415489899557238E-3</v>
      </c>
      <c r="AM189">
        <f t="shared" si="88"/>
        <v>1.5910842472768305E-3</v>
      </c>
      <c r="AN189">
        <f t="shared" si="89"/>
        <v>2.755851514031793E-3</v>
      </c>
      <c r="AO189">
        <f t="shared" si="90"/>
        <v>-1.1807511749789557E-3</v>
      </c>
      <c r="AP189">
        <f t="shared" si="91"/>
        <v>7.1038756301877726E-4</v>
      </c>
    </row>
    <row r="190" spans="3:42" x14ac:dyDescent="0.3">
      <c r="C190" s="1">
        <v>24.21</v>
      </c>
      <c r="D190" s="1">
        <v>4.54</v>
      </c>
      <c r="E190" s="1">
        <v>49.37</v>
      </c>
      <c r="F190" s="1">
        <v>241.02</v>
      </c>
      <c r="G190" s="1">
        <v>939.7</v>
      </c>
      <c r="H190" s="1">
        <v>29.17</v>
      </c>
      <c r="I190" s="1">
        <v>120.6</v>
      </c>
      <c r="J190" s="1">
        <v>133.32</v>
      </c>
      <c r="K190" s="1">
        <v>321.7</v>
      </c>
      <c r="L190" s="1">
        <v>160.18</v>
      </c>
      <c r="M190" s="1">
        <v>20.64</v>
      </c>
      <c r="O190" s="1">
        <v>20.510300000000001</v>
      </c>
      <c r="P190" s="1">
        <v>1.0380491752924141</v>
      </c>
      <c r="Q190" s="1">
        <v>0.13664841567407596</v>
      </c>
      <c r="R190" s="1">
        <v>0.69569999999999999</v>
      </c>
      <c r="T190" s="28">
        <v>24.21</v>
      </c>
      <c r="U190" s="29">
        <f t="shared" si="74"/>
        <v>0.62038380716030483</v>
      </c>
      <c r="V190" s="28">
        <v>49.37</v>
      </c>
      <c r="W190" s="28">
        <v>241.02</v>
      </c>
      <c r="X190" s="28">
        <v>939.7</v>
      </c>
      <c r="Y190" s="29">
        <f t="shared" si="75"/>
        <v>30.402381156781772</v>
      </c>
      <c r="Z190" s="29">
        <f t="shared" si="76"/>
        <v>125.18873054026514</v>
      </c>
      <c r="AA190" s="29">
        <f t="shared" si="77"/>
        <v>92.750723999999991</v>
      </c>
      <c r="AB190" s="29">
        <f t="shared" si="78"/>
        <v>333.94041969156962</v>
      </c>
      <c r="AC190" s="29">
        <f t="shared" si="79"/>
        <v>7.8097346211415726</v>
      </c>
      <c r="AD190" s="29">
        <f t="shared" si="80"/>
        <v>21.42533497803543</v>
      </c>
      <c r="AF190">
        <f t="shared" si="81"/>
        <v>-4.1288191577204536E-4</v>
      </c>
      <c r="AG190">
        <f t="shared" si="82"/>
        <v>-7.8175151087729433E-2</v>
      </c>
      <c r="AH190">
        <f t="shared" si="83"/>
        <v>-7.039420756234982E-3</v>
      </c>
      <c r="AI190">
        <f t="shared" si="84"/>
        <v>-8.9230642707347485E-3</v>
      </c>
      <c r="AJ190">
        <f t="shared" si="85"/>
        <v>-1.7194134750141088E-2</v>
      </c>
      <c r="AK190">
        <f t="shared" si="86"/>
        <v>1.090233060673218E-2</v>
      </c>
      <c r="AL190">
        <f t="shared" si="87"/>
        <v>6.8241439392133785E-3</v>
      </c>
      <c r="AM190">
        <f t="shared" si="88"/>
        <v>9.0203500949925797E-4</v>
      </c>
      <c r="AN190">
        <f t="shared" si="89"/>
        <v>-4.9567760664657179E-3</v>
      </c>
      <c r="AO190">
        <f t="shared" si="90"/>
        <v>-7.8969337406221696E-3</v>
      </c>
      <c r="AP190">
        <f t="shared" si="91"/>
        <v>3.2622977826868294E-3</v>
      </c>
    </row>
    <row r="191" spans="3:42" x14ac:dyDescent="0.3">
      <c r="C191" s="1">
        <v>24.11</v>
      </c>
      <c r="D191" s="1">
        <v>4.45</v>
      </c>
      <c r="E191" s="1">
        <v>49.22</v>
      </c>
      <c r="F191" s="1">
        <v>239.6</v>
      </c>
      <c r="G191" s="1">
        <v>922.21</v>
      </c>
      <c r="H191" s="1">
        <v>29.31</v>
      </c>
      <c r="I191" s="1">
        <v>120.1</v>
      </c>
      <c r="J191" s="1">
        <v>131.56</v>
      </c>
      <c r="K191" s="1">
        <v>317.60000000000002</v>
      </c>
      <c r="L191" s="1">
        <v>161.99</v>
      </c>
      <c r="M191" s="1">
        <v>20.77</v>
      </c>
      <c r="O191" s="1">
        <v>20.786200000000001</v>
      </c>
      <c r="P191" s="1">
        <v>1.0354995141007015</v>
      </c>
      <c r="Q191" s="1">
        <v>0.13621056277722721</v>
      </c>
      <c r="R191" s="1">
        <v>0.69569999999999999</v>
      </c>
      <c r="T191" s="28">
        <v>24.11</v>
      </c>
      <c r="U191" s="29">
        <f t="shared" si="74"/>
        <v>0.60613700435866114</v>
      </c>
      <c r="V191" s="28">
        <v>49.22</v>
      </c>
      <c r="W191" s="28">
        <v>239.6</v>
      </c>
      <c r="X191" s="28">
        <v>922.21</v>
      </c>
      <c r="Y191" s="29">
        <f t="shared" si="75"/>
        <v>30.425221327820658</v>
      </c>
      <c r="Z191" s="29">
        <f t="shared" si="76"/>
        <v>124.36349164349424</v>
      </c>
      <c r="AA191" s="29">
        <f t="shared" si="77"/>
        <v>91.526291999999998</v>
      </c>
      <c r="AB191" s="29">
        <f t="shared" si="78"/>
        <v>328.87464567838282</v>
      </c>
      <c r="AC191" s="29">
        <f t="shared" si="79"/>
        <v>7.793151225332192</v>
      </c>
      <c r="AD191" s="29">
        <f t="shared" si="80"/>
        <v>21.50732490787157</v>
      </c>
      <c r="AF191">
        <f t="shared" si="81"/>
        <v>-4.1305245766213305E-3</v>
      </c>
      <c r="AG191">
        <f t="shared" si="82"/>
        <v>-2.2964498165830349E-2</v>
      </c>
      <c r="AH191">
        <f t="shared" si="83"/>
        <v>-3.0382823577070894E-3</v>
      </c>
      <c r="AI191">
        <f t="shared" si="84"/>
        <v>-5.8916272508505729E-3</v>
      </c>
      <c r="AJ191">
        <f t="shared" si="85"/>
        <v>-1.8612323081834692E-2</v>
      </c>
      <c r="AK191">
        <f t="shared" si="86"/>
        <v>7.5126257121449491E-4</v>
      </c>
      <c r="AL191">
        <f t="shared" si="87"/>
        <v>-6.5919583432909601E-3</v>
      </c>
      <c r="AM191">
        <f t="shared" si="88"/>
        <v>-1.3201320132013139E-2</v>
      </c>
      <c r="AN191">
        <f t="shared" si="89"/>
        <v>-1.5169694096526576E-2</v>
      </c>
      <c r="AO191">
        <f t="shared" si="90"/>
        <v>-2.1234262896062672E-3</v>
      </c>
      <c r="AP191">
        <f t="shared" si="91"/>
        <v>3.8267747001479169E-3</v>
      </c>
    </row>
    <row r="192" spans="3:42" x14ac:dyDescent="0.3">
      <c r="C192" s="1">
        <v>24.15</v>
      </c>
      <c r="D192" s="1">
        <v>4.34</v>
      </c>
      <c r="E192" s="1">
        <v>49.51</v>
      </c>
      <c r="F192" s="1">
        <v>239.61</v>
      </c>
      <c r="G192" s="1">
        <v>916.27</v>
      </c>
      <c r="H192" s="1">
        <v>28.84</v>
      </c>
      <c r="I192" s="1">
        <v>122.65</v>
      </c>
      <c r="J192" s="1">
        <v>132.55000000000001</v>
      </c>
      <c r="K192" s="1">
        <v>317.8</v>
      </c>
      <c r="L192" s="1">
        <v>159.93</v>
      </c>
      <c r="M192" s="1">
        <v>21.15</v>
      </c>
      <c r="O192" s="1">
        <v>20.691700000000001</v>
      </c>
      <c r="P192" s="1">
        <v>1.031650371888245</v>
      </c>
      <c r="Q192" s="1">
        <v>0.13633969176046434</v>
      </c>
      <c r="R192" s="1">
        <v>0.69610000000000005</v>
      </c>
      <c r="T192" s="28">
        <v>24.15</v>
      </c>
      <c r="U192" s="29">
        <f t="shared" si="74"/>
        <v>0.59171426224041523</v>
      </c>
      <c r="V192" s="28">
        <v>49.51</v>
      </c>
      <c r="W192" s="28">
        <v>239.61</v>
      </c>
      <c r="X192" s="28">
        <v>916.27</v>
      </c>
      <c r="Y192" s="29">
        <f t="shared" si="75"/>
        <v>29.863805986664232</v>
      </c>
      <c r="Z192" s="29">
        <f t="shared" si="76"/>
        <v>126.53191811209327</v>
      </c>
      <c r="AA192" s="29">
        <f t="shared" si="77"/>
        <v>92.268055000000018</v>
      </c>
      <c r="AB192" s="29">
        <f t="shared" si="78"/>
        <v>327.85848818608429</v>
      </c>
      <c r="AC192" s="29">
        <f t="shared" si="79"/>
        <v>7.7291860987739049</v>
      </c>
      <c r="AD192" s="29">
        <f t="shared" si="80"/>
        <v>21.819405365436381</v>
      </c>
      <c r="AF192">
        <f t="shared" si="81"/>
        <v>1.6590626296142386E-3</v>
      </c>
      <c r="AG192">
        <f t="shared" si="82"/>
        <v>-2.3794525024101176E-2</v>
      </c>
      <c r="AH192">
        <f t="shared" si="83"/>
        <v>5.8919138561559503E-3</v>
      </c>
      <c r="AI192">
        <f t="shared" si="84"/>
        <v>4.1736227045063856E-5</v>
      </c>
      <c r="AJ192">
        <f t="shared" si="85"/>
        <v>-6.4410492187246815E-3</v>
      </c>
      <c r="AK192">
        <f t="shared" si="86"/>
        <v>-1.8452300974490243E-2</v>
      </c>
      <c r="AL192">
        <f t="shared" si="87"/>
        <v>1.7436198034830985E-2</v>
      </c>
      <c r="AM192">
        <f t="shared" si="88"/>
        <v>8.1043707091292827E-3</v>
      </c>
      <c r="AN192">
        <f t="shared" si="89"/>
        <v>-3.0898018611391631E-3</v>
      </c>
      <c r="AO192">
        <f t="shared" si="90"/>
        <v>-8.2078641500454852E-3</v>
      </c>
      <c r="AP192">
        <f t="shared" si="91"/>
        <v>1.4510426512903463E-2</v>
      </c>
    </row>
    <row r="193" spans="3:42" x14ac:dyDescent="0.3">
      <c r="C193" s="1">
        <v>24.15</v>
      </c>
      <c r="D193" s="1">
        <v>4.3600000000000003</v>
      </c>
      <c r="E193" s="1">
        <v>50.19</v>
      </c>
      <c r="F193" s="1">
        <v>240.65</v>
      </c>
      <c r="G193" s="1">
        <v>909.81</v>
      </c>
      <c r="H193" s="1">
        <v>29.01</v>
      </c>
      <c r="I193" s="1">
        <v>121.7</v>
      </c>
      <c r="J193" s="1">
        <v>132.5</v>
      </c>
      <c r="K193" s="1">
        <v>318.89999999999998</v>
      </c>
      <c r="L193" s="1">
        <v>157.13999999999999</v>
      </c>
      <c r="M193" s="1">
        <v>21.1</v>
      </c>
      <c r="O193" s="1">
        <v>20.6708</v>
      </c>
      <c r="P193" s="1">
        <v>1.0298488689358902</v>
      </c>
      <c r="Q193" s="1">
        <v>0.13602279544091184</v>
      </c>
      <c r="R193" s="1">
        <v>0.69610000000000005</v>
      </c>
      <c r="T193" s="28">
        <v>24.15</v>
      </c>
      <c r="U193" s="29">
        <f t="shared" si="74"/>
        <v>0.59305938812237569</v>
      </c>
      <c r="V193" s="28">
        <v>50.19</v>
      </c>
      <c r="W193" s="28">
        <v>240.65</v>
      </c>
      <c r="X193" s="28">
        <v>909.81</v>
      </c>
      <c r="Y193" s="29">
        <f t="shared" si="75"/>
        <v>29.92817728847799</v>
      </c>
      <c r="Z193" s="29">
        <f t="shared" si="76"/>
        <v>125.33260734949785</v>
      </c>
      <c r="AA193" s="29">
        <f t="shared" si="77"/>
        <v>92.233250000000012</v>
      </c>
      <c r="AB193" s="29">
        <f t="shared" si="78"/>
        <v>328.41880430365535</v>
      </c>
      <c r="AC193" s="29">
        <f t="shared" si="79"/>
        <v>7.6020279815004734</v>
      </c>
      <c r="AD193" s="29">
        <f t="shared" si="80"/>
        <v>21.729811134547287</v>
      </c>
      <c r="AF193">
        <f t="shared" si="81"/>
        <v>0</v>
      </c>
      <c r="AG193">
        <f t="shared" si="82"/>
        <v>2.2732693257507819E-3</v>
      </c>
      <c r="AH193">
        <f t="shared" si="83"/>
        <v>1.3734599070894804E-2</v>
      </c>
      <c r="AI193">
        <f t="shared" si="84"/>
        <v>4.3403864613329457E-3</v>
      </c>
      <c r="AJ193">
        <f t="shared" si="85"/>
        <v>-7.0503235945736931E-3</v>
      </c>
      <c r="AK193">
        <f t="shared" si="86"/>
        <v>2.1554955802520759E-3</v>
      </c>
      <c r="AL193">
        <f t="shared" si="87"/>
        <v>-9.478325947236188E-3</v>
      </c>
      <c r="AM193">
        <f t="shared" si="88"/>
        <v>-3.7721614485108912E-4</v>
      </c>
      <c r="AN193">
        <f t="shared" si="89"/>
        <v>1.7090181824208628E-3</v>
      </c>
      <c r="AO193">
        <f t="shared" si="90"/>
        <v>-1.6451682706100534E-2</v>
      </c>
      <c r="AP193">
        <f t="shared" si="91"/>
        <v>-4.1061719780419725E-3</v>
      </c>
    </row>
    <row r="194" spans="3:42" x14ac:dyDescent="0.3">
      <c r="C194" s="1">
        <v>24.17</v>
      </c>
      <c r="D194" s="1">
        <v>4.5599999999999996</v>
      </c>
      <c r="E194" s="1">
        <v>49.79</v>
      </c>
      <c r="F194" s="1">
        <v>242.22</v>
      </c>
      <c r="G194" s="1">
        <v>916.58</v>
      </c>
      <c r="H194" s="1">
        <v>29.09</v>
      </c>
      <c r="I194" s="1">
        <v>125.1</v>
      </c>
      <c r="J194" s="1">
        <v>131.19</v>
      </c>
      <c r="K194" s="1">
        <v>324.3</v>
      </c>
      <c r="L194" s="1">
        <v>154.81</v>
      </c>
      <c r="M194" s="1">
        <v>20.73</v>
      </c>
      <c r="O194" s="1">
        <v>20.319500000000001</v>
      </c>
      <c r="P194" s="1">
        <v>1.0422992691749304</v>
      </c>
      <c r="Q194" s="1">
        <v>0.13642067964270774</v>
      </c>
      <c r="R194" s="1">
        <v>0.69410000000000005</v>
      </c>
      <c r="T194" s="28">
        <v>24.17</v>
      </c>
      <c r="U194" s="29">
        <f t="shared" si="74"/>
        <v>0.6220782991707472</v>
      </c>
      <c r="V194" s="28">
        <v>49.79</v>
      </c>
      <c r="W194" s="28">
        <v>242.22</v>
      </c>
      <c r="X194" s="28">
        <v>916.58</v>
      </c>
      <c r="Y194" s="29">
        <f t="shared" si="75"/>
        <v>29.958303597345047</v>
      </c>
      <c r="Z194" s="29">
        <f t="shared" si="76"/>
        <v>130.39163857378378</v>
      </c>
      <c r="AA194" s="29">
        <f t="shared" si="77"/>
        <v>91.058979000000008</v>
      </c>
      <c r="AB194" s="29">
        <f t="shared" si="78"/>
        <v>338.01765299342998</v>
      </c>
      <c r="AC194" s="29">
        <f t="shared" si="79"/>
        <v>7.6187898324269785</v>
      </c>
      <c r="AD194" s="29">
        <f t="shared" si="80"/>
        <v>21.606863849996309</v>
      </c>
      <c r="AF194">
        <f t="shared" si="81"/>
        <v>8.2815734989671874E-4</v>
      </c>
      <c r="AG194">
        <f t="shared" si="82"/>
        <v>4.8930868694693874E-2</v>
      </c>
      <c r="AH194">
        <f t="shared" si="83"/>
        <v>-7.9697150826857355E-3</v>
      </c>
      <c r="AI194">
        <f t="shared" si="84"/>
        <v>6.5239975067525879E-3</v>
      </c>
      <c r="AJ194">
        <f t="shared" si="85"/>
        <v>7.4411140787637997E-3</v>
      </c>
      <c r="AK194">
        <f t="shared" si="86"/>
        <v>1.0066202353944398E-3</v>
      </c>
      <c r="AL194">
        <f t="shared" si="87"/>
        <v>4.0364844642372333E-2</v>
      </c>
      <c r="AM194">
        <f t="shared" si="88"/>
        <v>-1.2731536620470441E-2</v>
      </c>
      <c r="AN194">
        <f t="shared" si="89"/>
        <v>2.9227463726162028E-2</v>
      </c>
      <c r="AO194">
        <f t="shared" si="90"/>
        <v>2.2049183411709805E-3</v>
      </c>
      <c r="AP194">
        <f t="shared" si="91"/>
        <v>-5.6580006052381338E-3</v>
      </c>
    </row>
    <row r="195" spans="3:42" x14ac:dyDescent="0.3">
      <c r="C195" s="1">
        <v>24.16</v>
      </c>
      <c r="D195" s="1">
        <v>4.3099999999999996</v>
      </c>
      <c r="E195" s="1">
        <v>49.74</v>
      </c>
      <c r="F195" s="1">
        <v>239.59</v>
      </c>
      <c r="G195" s="1">
        <v>922.71</v>
      </c>
      <c r="H195" s="1">
        <v>29.26</v>
      </c>
      <c r="I195" s="1">
        <v>127.8</v>
      </c>
      <c r="J195" s="1">
        <v>130.79</v>
      </c>
      <c r="K195" s="1">
        <v>321.89999999999998</v>
      </c>
      <c r="L195" s="1">
        <v>154.91999999999999</v>
      </c>
      <c r="M195" s="1">
        <v>20.81</v>
      </c>
      <c r="O195" s="1">
        <v>20.344000000000001</v>
      </c>
      <c r="P195" s="1">
        <v>1.0413979551710577</v>
      </c>
      <c r="Q195" s="1">
        <v>0.13628588281557216</v>
      </c>
      <c r="R195" s="1">
        <v>0.69389999999999996</v>
      </c>
      <c r="T195" s="28">
        <v>24.16</v>
      </c>
      <c r="U195" s="29">
        <f t="shared" si="74"/>
        <v>0.58739215493511598</v>
      </c>
      <c r="V195" s="28">
        <v>49.74</v>
      </c>
      <c r="W195" s="28">
        <v>239.59</v>
      </c>
      <c r="X195" s="28">
        <v>922.71</v>
      </c>
      <c r="Y195" s="29">
        <f t="shared" si="75"/>
        <v>30.497676616058467</v>
      </c>
      <c r="Z195" s="29">
        <f t="shared" si="76"/>
        <v>133.09065867086116</v>
      </c>
      <c r="AA195" s="29">
        <f t="shared" si="77"/>
        <v>90.755180999999993</v>
      </c>
      <c r="AB195" s="29">
        <f t="shared" si="78"/>
        <v>335.22600176956348</v>
      </c>
      <c r="AC195" s="29">
        <f t="shared" si="79"/>
        <v>7.6150216279984262</v>
      </c>
      <c r="AD195" s="29">
        <f t="shared" si="80"/>
        <v>21.671491447109709</v>
      </c>
      <c r="AF195">
        <f t="shared" si="81"/>
        <v>-4.1373603640881829E-4</v>
      </c>
      <c r="AG195">
        <f t="shared" si="82"/>
        <v>-5.5758486161419096E-2</v>
      </c>
      <c r="AH195">
        <f t="shared" si="83"/>
        <v>-1.0042177144004016E-3</v>
      </c>
      <c r="AI195">
        <f t="shared" si="84"/>
        <v>-1.0857897778878689E-2</v>
      </c>
      <c r="AJ195">
        <f t="shared" si="85"/>
        <v>6.6879050382944172E-3</v>
      </c>
      <c r="AK195">
        <f t="shared" si="86"/>
        <v>1.8004124197513738E-2</v>
      </c>
      <c r="AL195">
        <f t="shared" si="87"/>
        <v>2.0699334149022919E-2</v>
      </c>
      <c r="AM195">
        <f t="shared" si="88"/>
        <v>-3.3362772494958115E-3</v>
      </c>
      <c r="AN195">
        <f t="shared" si="89"/>
        <v>-8.2588918038571935E-3</v>
      </c>
      <c r="AO195">
        <f t="shared" si="90"/>
        <v>-4.9459356557046696E-4</v>
      </c>
      <c r="AP195">
        <f t="shared" si="91"/>
        <v>2.9910679107376659E-3</v>
      </c>
    </row>
    <row r="196" spans="3:42" x14ac:dyDescent="0.3">
      <c r="C196" s="1">
        <v>24.12</v>
      </c>
      <c r="D196" s="1">
        <v>4.2699999999999996</v>
      </c>
      <c r="E196" s="1">
        <v>50.01</v>
      </c>
      <c r="F196" s="1">
        <v>242.28</v>
      </c>
      <c r="G196" s="1">
        <v>921.37</v>
      </c>
      <c r="H196" s="1">
        <v>29.44</v>
      </c>
      <c r="I196" s="1">
        <v>125.85</v>
      </c>
      <c r="J196" s="1">
        <v>130.47</v>
      </c>
      <c r="K196" s="1">
        <v>324</v>
      </c>
      <c r="L196" s="1">
        <v>154.72999999999999</v>
      </c>
      <c r="M196" s="1">
        <v>20.97</v>
      </c>
      <c r="O196" s="1">
        <v>20.382300000000001</v>
      </c>
      <c r="P196" s="1">
        <v>1.0297513038273405</v>
      </c>
      <c r="Q196" s="1">
        <v>0.13595619728882413</v>
      </c>
      <c r="R196" s="1">
        <v>0.69650000000000001</v>
      </c>
      <c r="T196" s="28">
        <v>24.12</v>
      </c>
      <c r="U196" s="29">
        <f t="shared" si="74"/>
        <v>0.58053296242327901</v>
      </c>
      <c r="V196" s="28">
        <v>50.01</v>
      </c>
      <c r="W196" s="28">
        <v>242.28</v>
      </c>
      <c r="X196" s="28">
        <v>921.37</v>
      </c>
      <c r="Y196" s="29">
        <f t="shared" si="75"/>
        <v>30.658755800235941</v>
      </c>
      <c r="Z196" s="29">
        <f t="shared" si="76"/>
        <v>129.59420158667081</v>
      </c>
      <c r="AA196" s="29">
        <f t="shared" si="77"/>
        <v>90.872354999999999</v>
      </c>
      <c r="AB196" s="29">
        <f t="shared" si="78"/>
        <v>333.6394224400583</v>
      </c>
      <c r="AC196" s="29">
        <f t="shared" si="79"/>
        <v>7.5913905692684329</v>
      </c>
      <c r="AD196" s="29">
        <f t="shared" si="80"/>
        <v>21.593884841259328</v>
      </c>
      <c r="AF196">
        <f t="shared" si="81"/>
        <v>-1.6556291390728006E-3</v>
      </c>
      <c r="AG196">
        <f t="shared" si="82"/>
        <v>-1.1677364864695283E-2</v>
      </c>
      <c r="AH196">
        <f t="shared" si="83"/>
        <v>5.4282267792520322E-3</v>
      </c>
      <c r="AI196">
        <f t="shared" si="84"/>
        <v>1.1227513669184841E-2</v>
      </c>
      <c r="AJ196">
        <f t="shared" si="85"/>
        <v>-1.4522439336303039E-3</v>
      </c>
      <c r="AK196">
        <f t="shared" si="86"/>
        <v>5.2816870676850591E-3</v>
      </c>
      <c r="AL196">
        <f t="shared" si="87"/>
        <v>-2.6271243369808794E-2</v>
      </c>
      <c r="AM196">
        <f t="shared" si="88"/>
        <v>1.2910998436552745E-3</v>
      </c>
      <c r="AN196">
        <f t="shared" si="89"/>
        <v>-4.7328647572982829E-3</v>
      </c>
      <c r="AO196">
        <f t="shared" si="90"/>
        <v>-3.1032162329136526E-3</v>
      </c>
      <c r="AP196">
        <f t="shared" si="91"/>
        <v>-3.581045911850711E-3</v>
      </c>
    </row>
    <row r="197" spans="3:42" x14ac:dyDescent="0.3">
      <c r="C197" s="1">
        <v>24.09</v>
      </c>
      <c r="D197" s="1">
        <v>4.3</v>
      </c>
      <c r="E197" s="1">
        <v>50.29</v>
      </c>
      <c r="F197" s="1">
        <v>243.59</v>
      </c>
      <c r="G197" s="1">
        <v>927.37</v>
      </c>
      <c r="H197" s="1">
        <v>29.85</v>
      </c>
      <c r="I197" s="1">
        <v>123.15</v>
      </c>
      <c r="J197" s="1">
        <v>130.44999999999999</v>
      </c>
      <c r="K197" s="1">
        <v>324.10000000000002</v>
      </c>
      <c r="L197" s="1">
        <v>150.5</v>
      </c>
      <c r="M197" s="1">
        <v>21.13</v>
      </c>
      <c r="O197" s="1">
        <v>20.4742</v>
      </c>
      <c r="P197" s="1">
        <v>1.029949888151918</v>
      </c>
      <c r="Q197" s="1">
        <v>0.13591251428627249</v>
      </c>
      <c r="R197" s="1">
        <v>0.69520000000000004</v>
      </c>
      <c r="T197" s="28">
        <v>24.09</v>
      </c>
      <c r="U197" s="29">
        <f t="shared" ref="U197:U256" si="92">Q197*D197</f>
        <v>0.58442381143097166</v>
      </c>
      <c r="V197" s="28">
        <v>50.29</v>
      </c>
      <c r="W197" s="28">
        <v>243.59</v>
      </c>
      <c r="X197" s="28">
        <v>927.37</v>
      </c>
      <c r="Y197" s="29">
        <f t="shared" si="75"/>
        <v>30.738076419246116</v>
      </c>
      <c r="Z197" s="29">
        <f t="shared" si="76"/>
        <v>126.83832872590871</v>
      </c>
      <c r="AA197" s="29">
        <f t="shared" si="77"/>
        <v>90.688839999999999</v>
      </c>
      <c r="AB197" s="29">
        <f t="shared" si="78"/>
        <v>333.80675875003664</v>
      </c>
      <c r="AC197" s="29">
        <f t="shared" si="79"/>
        <v>7.3507145578337614</v>
      </c>
      <c r="AD197" s="29">
        <f t="shared" si="80"/>
        <v>21.762841136650028</v>
      </c>
      <c r="AF197">
        <f t="shared" si="81"/>
        <v>-1.2437810945273853E-3</v>
      </c>
      <c r="AG197">
        <f t="shared" si="82"/>
        <v>6.7022017000573086E-3</v>
      </c>
      <c r="AH197">
        <f t="shared" si="83"/>
        <v>5.5988802239552715E-3</v>
      </c>
      <c r="AI197">
        <f t="shared" si="84"/>
        <v>5.4069671454515245E-3</v>
      </c>
      <c r="AJ197">
        <f t="shared" si="85"/>
        <v>6.5120418507222944E-3</v>
      </c>
      <c r="AK197">
        <f t="shared" si="86"/>
        <v>2.5872093286174458E-3</v>
      </c>
      <c r="AL197">
        <f t="shared" si="87"/>
        <v>-2.1265402518175214E-2</v>
      </c>
      <c r="AM197">
        <f t="shared" si="88"/>
        <v>-2.019481062199846E-3</v>
      </c>
      <c r="AN197">
        <f t="shared" si="89"/>
        <v>5.015483744532645E-4</v>
      </c>
      <c r="AO197">
        <f t="shared" si="90"/>
        <v>-3.1703810947230071E-2</v>
      </c>
      <c r="AP197">
        <f t="shared" si="91"/>
        <v>7.8242658341807214E-3</v>
      </c>
    </row>
    <row r="198" spans="3:42" x14ac:dyDescent="0.3">
      <c r="C198" s="1">
        <v>24.01</v>
      </c>
      <c r="D198" s="1">
        <v>4.04</v>
      </c>
      <c r="E198" s="1">
        <v>50.78</v>
      </c>
      <c r="F198" s="1">
        <v>235.61</v>
      </c>
      <c r="G198" s="1">
        <v>936.94</v>
      </c>
      <c r="H198" s="1">
        <v>30.2</v>
      </c>
      <c r="I198" s="1">
        <v>124.35</v>
      </c>
      <c r="J198" s="1">
        <v>128.9</v>
      </c>
      <c r="K198" s="1">
        <v>324.2</v>
      </c>
      <c r="L198" s="1">
        <v>154.37</v>
      </c>
      <c r="M198" s="1">
        <v>20.63</v>
      </c>
      <c r="O198" s="1">
        <v>20.704499999999999</v>
      </c>
      <c r="P198" s="1">
        <v>1.0302494626771959</v>
      </c>
      <c r="Q198" s="1">
        <v>0.13608152817020455</v>
      </c>
      <c r="R198" s="1">
        <v>0.69510000000000005</v>
      </c>
      <c r="T198" s="28">
        <v>24.01</v>
      </c>
      <c r="U198" s="29">
        <f t="shared" si="92"/>
        <v>0.54976937380762636</v>
      </c>
      <c r="V198" s="28">
        <v>50.78</v>
      </c>
      <c r="W198" s="28">
        <v>235.61</v>
      </c>
      <c r="X198" s="28">
        <v>936.94</v>
      </c>
      <c r="Y198" s="29">
        <f t="shared" ref="Y198:Y256" si="93">P197*H198</f>
        <v>31.104486622187924</v>
      </c>
      <c r="Z198" s="29">
        <f t="shared" ref="Z198:Z256" si="94">P198*I198</f>
        <v>128.1115206839093</v>
      </c>
      <c r="AA198" s="29">
        <f t="shared" ref="AA198:AA256" si="95">R198*J198</f>
        <v>89.598390000000009</v>
      </c>
      <c r="AB198" s="29">
        <f t="shared" ref="AB198:AB256" si="96">P198*K198</f>
        <v>334.0068757999469</v>
      </c>
      <c r="AC198" s="29">
        <f t="shared" ref="AC198:AC256" si="97">L198/O198</f>
        <v>7.455867082035307</v>
      </c>
      <c r="AD198" s="29">
        <f t="shared" ref="AD198:AD256" si="98">P198*M198</f>
        <v>21.254046415030551</v>
      </c>
      <c r="AF198">
        <f t="shared" si="81"/>
        <v>-3.3208800332087396E-3</v>
      </c>
      <c r="AG198">
        <f t="shared" si="82"/>
        <v>-5.9296758526134141E-2</v>
      </c>
      <c r="AH198">
        <f t="shared" si="83"/>
        <v>9.7434877709285939E-3</v>
      </c>
      <c r="AI198">
        <f t="shared" si="84"/>
        <v>-3.2759965515825717E-2</v>
      </c>
      <c r="AJ198">
        <f t="shared" si="85"/>
        <v>1.0319505698912046E-2</v>
      </c>
      <c r="AK198">
        <f t="shared" si="86"/>
        <v>1.1920401197011321E-2</v>
      </c>
      <c r="AL198">
        <f t="shared" si="87"/>
        <v>1.0037911810962807E-2</v>
      </c>
      <c r="AM198">
        <f t="shared" si="88"/>
        <v>-1.2024081463606673E-2</v>
      </c>
      <c r="AN198">
        <f t="shared" si="89"/>
        <v>5.9949969455264096E-4</v>
      </c>
      <c r="AO198">
        <f t="shared" si="90"/>
        <v>1.4305075156194613E-2</v>
      </c>
      <c r="AP198">
        <f t="shared" si="91"/>
        <v>-2.3379057836462103E-2</v>
      </c>
    </row>
    <row r="199" spans="3:42" x14ac:dyDescent="0.3">
      <c r="C199" s="1">
        <v>24.15</v>
      </c>
      <c r="D199" s="1">
        <v>4</v>
      </c>
      <c r="E199" s="1">
        <v>50.25</v>
      </c>
      <c r="F199" s="1">
        <v>235.78</v>
      </c>
      <c r="G199" s="1">
        <v>924.7</v>
      </c>
      <c r="H199" s="1">
        <v>30.02</v>
      </c>
      <c r="I199" s="1">
        <v>127.55</v>
      </c>
      <c r="J199" s="1">
        <v>128.31</v>
      </c>
      <c r="K199" s="1">
        <v>323</v>
      </c>
      <c r="L199" s="1">
        <v>156.97</v>
      </c>
      <c r="M199" s="1">
        <v>20.65</v>
      </c>
      <c r="O199" s="1">
        <v>20.801200000000001</v>
      </c>
      <c r="P199" s="1">
        <v>1.0196479049285618</v>
      </c>
      <c r="Q199" s="1">
        <v>0.13590081341461069</v>
      </c>
      <c r="R199" s="1">
        <v>0.69430000000000003</v>
      </c>
      <c r="T199" s="28">
        <v>24.15</v>
      </c>
      <c r="U199" s="29">
        <f t="shared" si="92"/>
        <v>0.54360325365844275</v>
      </c>
      <c r="V199" s="28">
        <v>50.25</v>
      </c>
      <c r="W199" s="28">
        <v>235.78</v>
      </c>
      <c r="X199" s="28">
        <v>924.7</v>
      </c>
      <c r="Y199" s="29">
        <f t="shared" si="93"/>
        <v>30.928088869569418</v>
      </c>
      <c r="Z199" s="29">
        <f t="shared" si="94"/>
        <v>130.05609027363806</v>
      </c>
      <c r="AA199" s="29">
        <f t="shared" si="95"/>
        <v>89.085633000000001</v>
      </c>
      <c r="AB199" s="29">
        <f t="shared" si="96"/>
        <v>329.34627329192546</v>
      </c>
      <c r="AC199" s="29">
        <f t="shared" si="97"/>
        <v>7.5461992577351298</v>
      </c>
      <c r="AD199" s="29">
        <f t="shared" si="98"/>
        <v>21.055729236774802</v>
      </c>
      <c r="AF199">
        <f t="shared" ref="AF199:AF256" si="99">(T199/T198)-1</f>
        <v>5.8309037900874383E-3</v>
      </c>
      <c r="AG199">
        <f t="shared" ref="AG199:AG256" si="100">(U199/U198)-1</f>
        <v>-1.1215830569967777E-2</v>
      </c>
      <c r="AH199">
        <f t="shared" ref="AH199:AH256" si="101">(V199/V198)-1</f>
        <v>-1.0437179992122902E-2</v>
      </c>
      <c r="AI199">
        <f t="shared" ref="AI199:AI256" si="102">(W199/W198)-1</f>
        <v>7.2153134417041187E-4</v>
      </c>
      <c r="AJ199">
        <f t="shared" ref="AJ199:AJ256" si="103">(X199/X198)-1</f>
        <v>-1.3063803445257927E-2</v>
      </c>
      <c r="AK199">
        <f t="shared" ref="AK199:AK256" si="104">(Y199/Y198)-1</f>
        <v>-5.6711353175871171E-3</v>
      </c>
      <c r="AL199">
        <f t="shared" ref="AL199:AL256" si="105">(Z199/Z198)-1</f>
        <v>1.5178725374173085E-2</v>
      </c>
      <c r="AM199">
        <f t="shared" ref="AM199:AM256" si="106">(AA199/AA198)-1</f>
        <v>-5.7228372072311018E-3</v>
      </c>
      <c r="AN199">
        <f t="shared" ref="AN199:AN256" si="107">(AB199/AB198)-1</f>
        <v>-1.395361247237592E-2</v>
      </c>
      <c r="AO199">
        <f t="shared" ref="AO199:AO256" si="108">(AC199/AC198)-1</f>
        <v>1.2115582896786714E-2</v>
      </c>
      <c r="AP199">
        <f t="shared" ref="AP199:AP256" si="109">(AD199/AD198)-1</f>
        <v>-9.3307963285288453E-3</v>
      </c>
    </row>
    <row r="200" spans="3:42" x14ac:dyDescent="0.3">
      <c r="C200" s="1">
        <v>24.13</v>
      </c>
      <c r="D200" s="1">
        <v>4.1399999999999997</v>
      </c>
      <c r="E200" s="1">
        <v>50.53</v>
      </c>
      <c r="F200" s="1">
        <v>239.76</v>
      </c>
      <c r="G200" s="1">
        <v>917.23</v>
      </c>
      <c r="H200" s="1">
        <v>30.31</v>
      </c>
      <c r="I200" s="1">
        <v>125.75</v>
      </c>
      <c r="J200" s="1">
        <v>128.13</v>
      </c>
      <c r="K200" s="1">
        <v>328.7</v>
      </c>
      <c r="L200" s="1">
        <v>156.97999999999999</v>
      </c>
      <c r="M200" s="1">
        <v>20.62</v>
      </c>
      <c r="O200" s="1">
        <v>20.481999999999999</v>
      </c>
      <c r="P200" s="1">
        <v>1.0259007909383848</v>
      </c>
      <c r="Q200" s="1">
        <v>0.13610487257103798</v>
      </c>
      <c r="R200" s="1">
        <v>0.69210000000000005</v>
      </c>
      <c r="T200" s="28">
        <v>24.13</v>
      </c>
      <c r="U200" s="29">
        <f t="shared" si="92"/>
        <v>0.56347417244409725</v>
      </c>
      <c r="V200" s="28">
        <v>50.53</v>
      </c>
      <c r="W200" s="28">
        <v>239.76</v>
      </c>
      <c r="X200" s="28">
        <v>917.23</v>
      </c>
      <c r="Y200" s="29">
        <f t="shared" si="93"/>
        <v>30.905527998384709</v>
      </c>
      <c r="Z200" s="29">
        <f t="shared" si="94"/>
        <v>129.0070244605019</v>
      </c>
      <c r="AA200" s="29">
        <f t="shared" si="95"/>
        <v>88.678773000000007</v>
      </c>
      <c r="AB200" s="29">
        <f t="shared" si="96"/>
        <v>337.21358998144706</v>
      </c>
      <c r="AC200" s="29">
        <f t="shared" si="97"/>
        <v>7.6642905966214236</v>
      </c>
      <c r="AD200" s="29">
        <f t="shared" si="98"/>
        <v>21.154074309149497</v>
      </c>
      <c r="AF200">
        <f t="shared" si="99"/>
        <v>-8.281573498964967E-4</v>
      </c>
      <c r="AG200">
        <f t="shared" si="100"/>
        <v>3.6554083611390231E-2</v>
      </c>
      <c r="AH200">
        <f t="shared" si="101"/>
        <v>5.5721393034826594E-3</v>
      </c>
      <c r="AI200">
        <f t="shared" si="102"/>
        <v>1.688014250572567E-2</v>
      </c>
      <c r="AJ200">
        <f t="shared" si="103"/>
        <v>-8.0782956634584124E-3</v>
      </c>
      <c r="AK200">
        <f t="shared" si="104"/>
        <v>-7.2946218176794808E-4</v>
      </c>
      <c r="AL200">
        <f t="shared" si="105"/>
        <v>-8.0662567276083008E-3</v>
      </c>
      <c r="AM200">
        <f t="shared" si="106"/>
        <v>-4.5670663865631234E-3</v>
      </c>
      <c r="AN200">
        <f t="shared" si="107"/>
        <v>2.3887674850196827E-2</v>
      </c>
      <c r="AO200">
        <f t="shared" si="108"/>
        <v>1.5649114852784418E-2</v>
      </c>
      <c r="AP200">
        <f t="shared" si="109"/>
        <v>4.6707036963093973E-3</v>
      </c>
    </row>
    <row r="201" spans="3:42" x14ac:dyDescent="0.3">
      <c r="C201" s="1">
        <v>24.11</v>
      </c>
      <c r="D201" s="1">
        <v>4.1399999999999997</v>
      </c>
      <c r="E201" s="1">
        <v>50.91</v>
      </c>
      <c r="F201" s="1">
        <v>242.47</v>
      </c>
      <c r="G201" s="1">
        <v>923.5</v>
      </c>
      <c r="H201" s="1">
        <v>30.31</v>
      </c>
      <c r="I201" s="1">
        <v>129.55000000000001</v>
      </c>
      <c r="J201" s="1">
        <v>131.25</v>
      </c>
      <c r="K201" s="1">
        <v>335</v>
      </c>
      <c r="L201" s="1">
        <v>155.77000000000001</v>
      </c>
      <c r="M201" s="1">
        <v>20.8</v>
      </c>
      <c r="O201" s="1">
        <v>20.487500000000001</v>
      </c>
      <c r="P201" s="1">
        <v>1.0307504575960951</v>
      </c>
      <c r="Q201" s="1">
        <v>0.13611714460036606</v>
      </c>
      <c r="R201" s="1">
        <v>0.69769999999999999</v>
      </c>
      <c r="T201" s="28">
        <v>24.11</v>
      </c>
      <c r="U201" s="29">
        <f t="shared" si="92"/>
        <v>0.56352497864551543</v>
      </c>
      <c r="V201" s="28">
        <v>50.91</v>
      </c>
      <c r="W201" s="28">
        <v>242.47</v>
      </c>
      <c r="X201" s="28">
        <v>923.5</v>
      </c>
      <c r="Y201" s="29">
        <f t="shared" si="93"/>
        <v>31.095052973342444</v>
      </c>
      <c r="Z201" s="29">
        <f t="shared" si="94"/>
        <v>133.53372178157412</v>
      </c>
      <c r="AA201" s="29">
        <f t="shared" si="95"/>
        <v>91.573125000000005</v>
      </c>
      <c r="AB201" s="29">
        <f t="shared" si="96"/>
        <v>345.30140329469185</v>
      </c>
      <c r="AC201" s="29">
        <f t="shared" si="97"/>
        <v>7.6031726662599146</v>
      </c>
      <c r="AD201" s="29">
        <f t="shared" si="98"/>
        <v>21.439609517998779</v>
      </c>
      <c r="AF201">
        <f t="shared" si="99"/>
        <v>-8.2884376295067064E-4</v>
      </c>
      <c r="AG201">
        <f t="shared" si="100"/>
        <v>9.0165980807688229E-5</v>
      </c>
      <c r="AH201">
        <f t="shared" si="101"/>
        <v>7.5202849792201931E-3</v>
      </c>
      <c r="AI201">
        <f t="shared" si="102"/>
        <v>1.1302969636302951E-2</v>
      </c>
      <c r="AJ201">
        <f t="shared" si="103"/>
        <v>6.835799090740613E-3</v>
      </c>
      <c r="AK201">
        <f t="shared" si="104"/>
        <v>6.1323972516387215E-3</v>
      </c>
      <c r="AL201">
        <f t="shared" si="105"/>
        <v>3.508876621255741E-2</v>
      </c>
      <c r="AM201">
        <f t="shared" si="106"/>
        <v>3.2638611271718965E-2</v>
      </c>
      <c r="AN201">
        <f t="shared" si="107"/>
        <v>2.3984244862995441E-2</v>
      </c>
      <c r="AO201">
        <f t="shared" si="108"/>
        <v>-7.974375396002209E-3</v>
      </c>
      <c r="AP201">
        <f t="shared" si="109"/>
        <v>1.3497882472965683E-2</v>
      </c>
    </row>
    <row r="202" spans="3:42" x14ac:dyDescent="0.3">
      <c r="C202" s="1">
        <v>24.13</v>
      </c>
      <c r="D202" s="1">
        <v>4.55</v>
      </c>
      <c r="E202" s="1">
        <v>51.25</v>
      </c>
      <c r="F202" s="1">
        <v>245.54</v>
      </c>
      <c r="G202" s="1">
        <v>919.75</v>
      </c>
      <c r="H202" s="1">
        <v>30.24</v>
      </c>
      <c r="I202" s="1">
        <v>130.5</v>
      </c>
      <c r="J202" s="1">
        <v>131.15</v>
      </c>
      <c r="K202" s="1">
        <v>331.9</v>
      </c>
      <c r="L202" s="1">
        <v>158.97</v>
      </c>
      <c r="M202" s="1">
        <v>21.03</v>
      </c>
      <c r="O202" s="1">
        <v>20.773199999999999</v>
      </c>
      <c r="P202" s="1">
        <v>1.0290999942233263</v>
      </c>
      <c r="Q202" s="1">
        <v>0.13612250399553272</v>
      </c>
      <c r="R202" s="1">
        <v>0.69579999999999997</v>
      </c>
      <c r="T202" s="28">
        <v>24.13</v>
      </c>
      <c r="U202" s="29">
        <f t="shared" si="92"/>
        <v>0.61935739317967387</v>
      </c>
      <c r="V202" s="28">
        <v>51.25</v>
      </c>
      <c r="W202" s="28">
        <v>245.54</v>
      </c>
      <c r="X202" s="28">
        <v>919.75</v>
      </c>
      <c r="Y202" s="29">
        <f t="shared" si="93"/>
        <v>31.169893837705914</v>
      </c>
      <c r="Z202" s="29">
        <f t="shared" si="94"/>
        <v>134.29754924614409</v>
      </c>
      <c r="AA202" s="29">
        <f t="shared" si="95"/>
        <v>91.254170000000002</v>
      </c>
      <c r="AB202" s="29">
        <f t="shared" si="96"/>
        <v>341.55828808272196</v>
      </c>
      <c r="AC202" s="29">
        <f t="shared" si="97"/>
        <v>7.6526486049332796</v>
      </c>
      <c r="AD202" s="29">
        <f t="shared" si="98"/>
        <v>21.641972878516555</v>
      </c>
      <c r="AF202">
        <f t="shared" si="99"/>
        <v>8.2953131480700826E-4</v>
      </c>
      <c r="AG202">
        <f t="shared" si="100"/>
        <v>9.9077089126300644E-2</v>
      </c>
      <c r="AH202">
        <f t="shared" si="101"/>
        <v>6.6784521704970068E-3</v>
      </c>
      <c r="AI202">
        <f t="shared" si="102"/>
        <v>1.2661360168268132E-2</v>
      </c>
      <c r="AJ202">
        <f t="shared" si="103"/>
        <v>-4.0606388738494426E-3</v>
      </c>
      <c r="AK202">
        <f t="shared" si="104"/>
        <v>2.4068415135882759E-3</v>
      </c>
      <c r="AL202">
        <f t="shared" si="105"/>
        <v>5.7201091557934625E-3</v>
      </c>
      <c r="AM202">
        <f t="shared" si="106"/>
        <v>-3.4830633987865678E-3</v>
      </c>
      <c r="AN202">
        <f t="shared" si="107"/>
        <v>-1.0840139009731686E-2</v>
      </c>
      <c r="AO202">
        <f t="shared" si="108"/>
        <v>6.5072754289694501E-3</v>
      </c>
      <c r="AP202">
        <f t="shared" si="109"/>
        <v>9.438761482474245E-3</v>
      </c>
    </row>
    <row r="203" spans="3:42" x14ac:dyDescent="0.3">
      <c r="C203" s="1">
        <v>24.1</v>
      </c>
      <c r="D203" s="1">
        <v>4.37</v>
      </c>
      <c r="E203" s="1">
        <v>50.99</v>
      </c>
      <c r="F203" s="1">
        <v>243.68</v>
      </c>
      <c r="G203" s="1">
        <v>943.19</v>
      </c>
      <c r="H203" s="1">
        <v>30.33</v>
      </c>
      <c r="I203" s="1">
        <v>131.94999999999999</v>
      </c>
      <c r="J203" s="1">
        <v>131.06</v>
      </c>
      <c r="K203" s="1">
        <v>334.8</v>
      </c>
      <c r="L203" s="1">
        <v>157.63</v>
      </c>
      <c r="M203" s="1">
        <v>21.09</v>
      </c>
      <c r="O203" s="1">
        <v>20.718</v>
      </c>
      <c r="P203" s="1">
        <v>1.0303504199247033</v>
      </c>
      <c r="Q203" s="1">
        <v>0.13606043054348876</v>
      </c>
      <c r="R203" s="1">
        <v>0.69550000000000001</v>
      </c>
      <c r="T203" s="28">
        <v>24.1</v>
      </c>
      <c r="U203" s="29">
        <f t="shared" si="92"/>
        <v>0.59458408147504593</v>
      </c>
      <c r="V203" s="28">
        <v>50.99</v>
      </c>
      <c r="W203" s="28">
        <v>243.68</v>
      </c>
      <c r="X203" s="28">
        <v>943.19</v>
      </c>
      <c r="Y203" s="29">
        <f t="shared" si="93"/>
        <v>31.212602824793485</v>
      </c>
      <c r="Z203" s="29">
        <f t="shared" si="94"/>
        <v>135.95473790906459</v>
      </c>
      <c r="AA203" s="29">
        <f t="shared" si="95"/>
        <v>91.152230000000003</v>
      </c>
      <c r="AB203" s="29">
        <f t="shared" si="96"/>
        <v>344.96132059079071</v>
      </c>
      <c r="AC203" s="29">
        <f t="shared" si="97"/>
        <v>7.6083598802973258</v>
      </c>
      <c r="AD203" s="29">
        <f t="shared" si="98"/>
        <v>21.730090356211992</v>
      </c>
      <c r="AF203">
        <f t="shared" si="99"/>
        <v>-1.2432656444258949E-3</v>
      </c>
      <c r="AG203">
        <f t="shared" si="100"/>
        <v>-3.9998411220129371E-2</v>
      </c>
      <c r="AH203">
        <f t="shared" si="101"/>
        <v>-5.0731707317073216E-3</v>
      </c>
      <c r="AI203">
        <f t="shared" si="102"/>
        <v>-7.5751405066383226E-3</v>
      </c>
      <c r="AJ203">
        <f t="shared" si="103"/>
        <v>2.54851861919001E-2</v>
      </c>
      <c r="AK203">
        <f t="shared" si="104"/>
        <v>1.3701999535176146E-3</v>
      </c>
      <c r="AL203">
        <f t="shared" si="105"/>
        <v>1.233967910972944E-2</v>
      </c>
      <c r="AM203">
        <f t="shared" si="106"/>
        <v>-1.1170996350085005E-3</v>
      </c>
      <c r="AN203">
        <f t="shared" si="107"/>
        <v>9.9632555461355299E-3</v>
      </c>
      <c r="AO203">
        <f t="shared" si="108"/>
        <v>-5.7873720488620384E-3</v>
      </c>
      <c r="AP203">
        <f t="shared" si="109"/>
        <v>4.0716009667911557E-3</v>
      </c>
    </row>
    <row r="204" spans="3:42" x14ac:dyDescent="0.3">
      <c r="C204" s="1">
        <v>24.23</v>
      </c>
      <c r="D204" s="1">
        <v>4.4800000000000004</v>
      </c>
      <c r="E204" s="1">
        <v>51.75</v>
      </c>
      <c r="F204" s="1">
        <v>241.01</v>
      </c>
      <c r="G204" s="1">
        <v>947.73</v>
      </c>
      <c r="H204" s="1">
        <v>29.95</v>
      </c>
      <c r="I204" s="1">
        <v>133.85</v>
      </c>
      <c r="J204" s="1">
        <v>130.88999999999999</v>
      </c>
      <c r="K204" s="1">
        <v>342</v>
      </c>
      <c r="L204" s="1">
        <v>159.05000000000001</v>
      </c>
      <c r="M204" s="1">
        <v>21.12</v>
      </c>
      <c r="O204" s="1">
        <v>20.542999999999999</v>
      </c>
      <c r="P204" s="1">
        <v>1.040047704814292</v>
      </c>
      <c r="Q204" s="1">
        <v>0.13745314705739181</v>
      </c>
      <c r="R204" s="1">
        <v>0.69469999999999998</v>
      </c>
      <c r="T204" s="28">
        <v>24.23</v>
      </c>
      <c r="U204" s="29">
        <f t="shared" si="92"/>
        <v>0.61579009881711533</v>
      </c>
      <c r="V204" s="28">
        <v>51.75</v>
      </c>
      <c r="W204" s="28">
        <v>241.01</v>
      </c>
      <c r="X204" s="28">
        <v>947.73</v>
      </c>
      <c r="Y204" s="29">
        <f t="shared" si="93"/>
        <v>30.858995076744865</v>
      </c>
      <c r="Z204" s="29">
        <f t="shared" si="94"/>
        <v>139.21038528939297</v>
      </c>
      <c r="AA204" s="29">
        <f t="shared" si="95"/>
        <v>90.929282999999984</v>
      </c>
      <c r="AB204" s="29">
        <f t="shared" si="96"/>
        <v>355.69631504648788</v>
      </c>
      <c r="AC204" s="29">
        <f t="shared" si="97"/>
        <v>7.7422966460594855</v>
      </c>
      <c r="AD204" s="29">
        <f t="shared" si="98"/>
        <v>21.965807525677846</v>
      </c>
      <c r="AF204">
        <f t="shared" si="99"/>
        <v>5.3941908713692754E-3</v>
      </c>
      <c r="AG204">
        <f t="shared" si="100"/>
        <v>3.5665296133494673E-2</v>
      </c>
      <c r="AH204">
        <f t="shared" si="101"/>
        <v>1.4904883310453032E-2</v>
      </c>
      <c r="AI204">
        <f t="shared" si="102"/>
        <v>-1.0956992777413022E-2</v>
      </c>
      <c r="AJ204">
        <f t="shared" si="103"/>
        <v>4.8134522206553232E-3</v>
      </c>
      <c r="AK204">
        <f t="shared" si="104"/>
        <v>-1.1329005467231812E-2</v>
      </c>
      <c r="AL204">
        <f t="shared" si="105"/>
        <v>2.3946553319134534E-2</v>
      </c>
      <c r="AM204">
        <f t="shared" si="106"/>
        <v>-2.4458754327789656E-3</v>
      </c>
      <c r="AN204">
        <f t="shared" si="107"/>
        <v>3.1119414887768038E-2</v>
      </c>
      <c r="AO204">
        <f t="shared" si="108"/>
        <v>1.7603894646072593E-2</v>
      </c>
      <c r="AP204">
        <f t="shared" si="109"/>
        <v>1.0847500659308951E-2</v>
      </c>
    </row>
    <row r="205" spans="3:42" x14ac:dyDescent="0.3">
      <c r="C205" s="1">
        <v>24.2</v>
      </c>
      <c r="D205" s="1">
        <v>4.63</v>
      </c>
      <c r="E205" s="1">
        <v>52.03</v>
      </c>
      <c r="F205" s="1">
        <v>239.17</v>
      </c>
      <c r="G205" s="1">
        <v>944.7</v>
      </c>
      <c r="H205" s="1">
        <v>30</v>
      </c>
      <c r="I205" s="1">
        <v>134.44999999999999</v>
      </c>
      <c r="J205" s="1">
        <v>131.74</v>
      </c>
      <c r="K205" s="1">
        <v>349.9</v>
      </c>
      <c r="L205" s="1">
        <v>155.88</v>
      </c>
      <c r="M205" s="1">
        <v>21.23</v>
      </c>
      <c r="O205" s="1">
        <v>20.6358</v>
      </c>
      <c r="P205" s="1">
        <v>1.0353511858033129</v>
      </c>
      <c r="Q205" s="1">
        <v>0.13712577171711299</v>
      </c>
      <c r="R205" s="1">
        <v>0.69330000000000003</v>
      </c>
      <c r="T205" s="28">
        <v>24.2</v>
      </c>
      <c r="U205" s="29">
        <f t="shared" si="92"/>
        <v>0.63489232305023313</v>
      </c>
      <c r="V205" s="28">
        <v>52.03</v>
      </c>
      <c r="W205" s="28">
        <v>239.17</v>
      </c>
      <c r="X205" s="28">
        <v>944.7</v>
      </c>
      <c r="Y205" s="29">
        <f t="shared" si="93"/>
        <v>31.20143114442876</v>
      </c>
      <c r="Z205" s="29">
        <f t="shared" si="94"/>
        <v>139.20296693125539</v>
      </c>
      <c r="AA205" s="29">
        <f t="shared" si="95"/>
        <v>91.335342000000011</v>
      </c>
      <c r="AB205" s="29">
        <f t="shared" si="96"/>
        <v>362.26937991257915</v>
      </c>
      <c r="AC205" s="29">
        <f t="shared" si="97"/>
        <v>7.5538627046201263</v>
      </c>
      <c r="AD205" s="29">
        <f t="shared" si="98"/>
        <v>21.980505674604334</v>
      </c>
      <c r="AF205">
        <f t="shared" si="99"/>
        <v>-1.2381345439538283E-3</v>
      </c>
      <c r="AG205">
        <f t="shared" si="100"/>
        <v>3.1020674528238867E-2</v>
      </c>
      <c r="AH205">
        <f t="shared" si="101"/>
        <v>5.4106280193237932E-3</v>
      </c>
      <c r="AI205">
        <f t="shared" si="102"/>
        <v>-7.6345379859756868E-3</v>
      </c>
      <c r="AJ205">
        <f t="shared" si="103"/>
        <v>-3.1971131018327936E-3</v>
      </c>
      <c r="AK205">
        <f t="shared" si="104"/>
        <v>1.1096799064009399E-2</v>
      </c>
      <c r="AL205">
        <f t="shared" si="105"/>
        <v>-5.3288826994957184E-5</v>
      </c>
      <c r="AM205">
        <f t="shared" si="106"/>
        <v>4.4656571195005323E-3</v>
      </c>
      <c r="AN205">
        <f t="shared" si="107"/>
        <v>1.8479429187317375E-2</v>
      </c>
      <c r="AO205">
        <f t="shared" si="108"/>
        <v>-2.4338248720457423E-2</v>
      </c>
      <c r="AP205">
        <f t="shared" si="109"/>
        <v>6.6913765447984552E-4</v>
      </c>
    </row>
    <row r="206" spans="3:42" x14ac:dyDescent="0.3">
      <c r="C206" s="1">
        <v>24.15</v>
      </c>
      <c r="D206" s="1">
        <v>4.6500000000000004</v>
      </c>
      <c r="E206" s="1">
        <v>51.98</v>
      </c>
      <c r="F206" s="1">
        <v>239.51</v>
      </c>
      <c r="G206" s="1">
        <v>942.16</v>
      </c>
      <c r="H206" s="1">
        <v>29.35</v>
      </c>
      <c r="I206" s="1">
        <v>137.25</v>
      </c>
      <c r="J206" s="1">
        <v>132.9</v>
      </c>
      <c r="K206" s="1">
        <v>327.10000000000002</v>
      </c>
      <c r="L206" s="1">
        <v>154.16999999999999</v>
      </c>
      <c r="M206" s="1">
        <v>21.04</v>
      </c>
      <c r="O206" s="1">
        <v>20.5397</v>
      </c>
      <c r="P206" s="1">
        <v>1.0449519710609212</v>
      </c>
      <c r="Q206" s="1">
        <v>0.13755799743910574</v>
      </c>
      <c r="R206" s="1">
        <v>0.69540000000000002</v>
      </c>
      <c r="T206" s="28">
        <v>24.15</v>
      </c>
      <c r="U206" s="29">
        <f t="shared" si="92"/>
        <v>0.63964468809184172</v>
      </c>
      <c r="V206" s="28">
        <v>51.98</v>
      </c>
      <c r="W206" s="28">
        <v>239.51</v>
      </c>
      <c r="X206" s="28">
        <v>942.16</v>
      </c>
      <c r="Y206" s="29">
        <f t="shared" si="93"/>
        <v>30.387557303327235</v>
      </c>
      <c r="Z206" s="29">
        <f t="shared" si="94"/>
        <v>143.41965802811143</v>
      </c>
      <c r="AA206" s="29">
        <f t="shared" si="95"/>
        <v>92.418660000000003</v>
      </c>
      <c r="AB206" s="29">
        <f t="shared" si="96"/>
        <v>341.80378973402736</v>
      </c>
      <c r="AC206" s="29">
        <f t="shared" si="97"/>
        <v>7.5059518882943754</v>
      </c>
      <c r="AD206" s="29">
        <f t="shared" si="98"/>
        <v>21.98578947112178</v>
      </c>
      <c r="AF206">
        <f t="shared" si="99"/>
        <v>-2.0661157024793875E-3</v>
      </c>
      <c r="AG206">
        <f t="shared" si="100"/>
        <v>7.485308719400896E-3</v>
      </c>
      <c r="AH206">
        <f t="shared" si="101"/>
        <v>-9.6098404766487011E-4</v>
      </c>
      <c r="AI206">
        <f t="shared" si="102"/>
        <v>1.4215829744532726E-3</v>
      </c>
      <c r="AJ206">
        <f t="shared" si="103"/>
        <v>-2.6886842383826437E-3</v>
      </c>
      <c r="AK206">
        <f t="shared" si="104"/>
        <v>-2.6084503538769566E-2</v>
      </c>
      <c r="AL206">
        <f t="shared" si="105"/>
        <v>3.0291675456446399E-2</v>
      </c>
      <c r="AM206">
        <f t="shared" si="106"/>
        <v>1.1860885132504162E-2</v>
      </c>
      <c r="AN206">
        <f t="shared" si="107"/>
        <v>-5.6492740798271268E-2</v>
      </c>
      <c r="AO206">
        <f t="shared" si="108"/>
        <v>-6.3425585292207209E-3</v>
      </c>
      <c r="AP206">
        <f t="shared" si="109"/>
        <v>2.4038557600380983E-4</v>
      </c>
    </row>
    <row r="207" spans="3:42" x14ac:dyDescent="0.3">
      <c r="C207" s="1">
        <v>24.17</v>
      </c>
      <c r="D207" s="1">
        <v>4.6500000000000004</v>
      </c>
      <c r="E207" s="1">
        <v>52.31</v>
      </c>
      <c r="F207" s="1">
        <v>238.82</v>
      </c>
      <c r="G207" s="1">
        <v>939.68</v>
      </c>
      <c r="H207" s="1">
        <v>29.81</v>
      </c>
      <c r="I207" s="1">
        <v>134.9</v>
      </c>
      <c r="J207" s="1">
        <v>132.97999999999999</v>
      </c>
      <c r="K207" s="1">
        <v>325.2</v>
      </c>
      <c r="L207" s="1">
        <v>153.01</v>
      </c>
      <c r="M207" s="1">
        <v>21.12</v>
      </c>
      <c r="O207" s="1">
        <v>20.394300000000001</v>
      </c>
      <c r="P207" s="1">
        <v>1.0403495094217501</v>
      </c>
      <c r="Q207" s="1">
        <v>0.13715597005045527</v>
      </c>
      <c r="R207" s="1">
        <v>0.69679999999999997</v>
      </c>
      <c r="T207" s="28">
        <v>24.17</v>
      </c>
      <c r="U207" s="29">
        <f t="shared" si="92"/>
        <v>0.63777526073461699</v>
      </c>
      <c r="V207" s="28">
        <v>52.31</v>
      </c>
      <c r="W207" s="28">
        <v>238.82</v>
      </c>
      <c r="X207" s="28">
        <v>939.68</v>
      </c>
      <c r="Y207" s="29">
        <f t="shared" si="93"/>
        <v>31.15001825732606</v>
      </c>
      <c r="Z207" s="29">
        <f t="shared" si="94"/>
        <v>140.34314882099409</v>
      </c>
      <c r="AA207" s="29">
        <f t="shared" si="95"/>
        <v>92.66046399999999</v>
      </c>
      <c r="AB207" s="29">
        <f t="shared" si="96"/>
        <v>338.32166046395309</v>
      </c>
      <c r="AC207" s="29">
        <f t="shared" si="97"/>
        <v>7.5025865070142137</v>
      </c>
      <c r="AD207" s="29">
        <f t="shared" si="98"/>
        <v>21.972181638987362</v>
      </c>
      <c r="AF207">
        <f t="shared" si="99"/>
        <v>8.2815734989671874E-4</v>
      </c>
      <c r="AG207">
        <f t="shared" si="100"/>
        <v>-2.922602801254448E-3</v>
      </c>
      <c r="AH207">
        <f t="shared" si="101"/>
        <v>6.3485956136977162E-3</v>
      </c>
      <c r="AI207">
        <f t="shared" si="102"/>
        <v>-2.8808818003424053E-3</v>
      </c>
      <c r="AJ207">
        <f t="shared" si="103"/>
        <v>-2.6322492994820257E-3</v>
      </c>
      <c r="AK207">
        <f t="shared" si="104"/>
        <v>2.5091222252186185E-2</v>
      </c>
      <c r="AL207">
        <f t="shared" si="105"/>
        <v>-2.1451098471552021E-2</v>
      </c>
      <c r="AM207">
        <f t="shared" si="106"/>
        <v>2.6163980304410028E-3</v>
      </c>
      <c r="AN207">
        <f t="shared" si="107"/>
        <v>-1.0187509251386229E-2</v>
      </c>
      <c r="AO207">
        <f t="shared" si="108"/>
        <v>-4.4836169086159838E-4</v>
      </c>
      <c r="AP207">
        <f t="shared" si="109"/>
        <v>-6.1893761660425373E-4</v>
      </c>
    </row>
    <row r="208" spans="3:42" x14ac:dyDescent="0.3">
      <c r="C208" s="1">
        <v>24.18</v>
      </c>
      <c r="D208" s="1">
        <v>4.57</v>
      </c>
      <c r="E208" s="1">
        <v>51.76</v>
      </c>
      <c r="F208" s="1">
        <v>246.91</v>
      </c>
      <c r="G208" s="1">
        <v>965.25</v>
      </c>
      <c r="H208" s="1">
        <v>30.77</v>
      </c>
      <c r="I208" s="1">
        <v>134.1</v>
      </c>
      <c r="J208" s="1">
        <v>132.61000000000001</v>
      </c>
      <c r="K208" s="1">
        <v>332.1</v>
      </c>
      <c r="L208" s="1">
        <v>154.93</v>
      </c>
      <c r="M208" s="1">
        <v>20.93</v>
      </c>
      <c r="O208" s="1">
        <v>20.2255</v>
      </c>
      <c r="P208" s="1">
        <v>1.0484487404514105</v>
      </c>
      <c r="Q208" s="1">
        <v>0.13789523126745939</v>
      </c>
      <c r="R208" s="1">
        <v>0.69720000000000004</v>
      </c>
      <c r="T208" s="28">
        <v>24.18</v>
      </c>
      <c r="U208" s="29">
        <f t="shared" si="92"/>
        <v>0.63018120689228951</v>
      </c>
      <c r="V208" s="28">
        <v>51.76</v>
      </c>
      <c r="W208" s="28">
        <v>246.91</v>
      </c>
      <c r="X208" s="28">
        <v>965.25</v>
      </c>
      <c r="Y208" s="29">
        <f t="shared" si="93"/>
        <v>32.011554404907251</v>
      </c>
      <c r="Z208" s="29">
        <f t="shared" si="94"/>
        <v>140.59697609453414</v>
      </c>
      <c r="AA208" s="29">
        <f t="shared" si="95"/>
        <v>92.455692000000013</v>
      </c>
      <c r="AB208" s="29">
        <f t="shared" si="96"/>
        <v>348.18982670391341</v>
      </c>
      <c r="AC208" s="29">
        <f t="shared" si="97"/>
        <v>7.6601320115695533</v>
      </c>
      <c r="AD208" s="29">
        <f t="shared" si="98"/>
        <v>21.944032137648019</v>
      </c>
      <c r="AF208">
        <f t="shared" si="99"/>
        <v>4.1373603640870726E-4</v>
      </c>
      <c r="AG208">
        <f t="shared" si="100"/>
        <v>-1.1907100055245645E-2</v>
      </c>
      <c r="AH208">
        <f t="shared" si="101"/>
        <v>-1.0514242018734521E-2</v>
      </c>
      <c r="AI208">
        <f t="shared" si="102"/>
        <v>3.3874884850515041E-2</v>
      </c>
      <c r="AJ208">
        <f t="shared" si="103"/>
        <v>2.7211391111867878E-2</v>
      </c>
      <c r="AK208">
        <f t="shared" si="104"/>
        <v>2.765764502813961E-2</v>
      </c>
      <c r="AL208">
        <f t="shared" si="105"/>
        <v>1.8086189149411069E-3</v>
      </c>
      <c r="AM208">
        <f t="shared" si="106"/>
        <v>-2.2099177055704411E-3</v>
      </c>
      <c r="AN208">
        <f t="shared" si="107"/>
        <v>2.9168000140540107E-2</v>
      </c>
      <c r="AO208">
        <f t="shared" si="108"/>
        <v>2.0998825459466408E-2</v>
      </c>
      <c r="AP208">
        <f t="shared" si="109"/>
        <v>-1.2811427559561439E-3</v>
      </c>
    </row>
    <row r="209" spans="3:42" x14ac:dyDescent="0.3">
      <c r="C209" s="1">
        <v>24.23</v>
      </c>
      <c r="D209" s="1">
        <v>4.53</v>
      </c>
      <c r="E209" s="1">
        <v>52.18</v>
      </c>
      <c r="F209" s="1">
        <v>245.05</v>
      </c>
      <c r="G209" s="1">
        <v>958.67</v>
      </c>
      <c r="H209" s="1">
        <v>32.200000000000003</v>
      </c>
      <c r="I209" s="1">
        <v>134.80000000000001</v>
      </c>
      <c r="J209" s="1">
        <v>133.32</v>
      </c>
      <c r="K209" s="1">
        <v>327.9</v>
      </c>
      <c r="L209" s="1">
        <v>161.04</v>
      </c>
      <c r="M209" s="1">
        <v>20.94</v>
      </c>
      <c r="O209" s="1">
        <v>20.700199999999999</v>
      </c>
      <c r="P209" s="1">
        <v>1.0514487782726738</v>
      </c>
      <c r="Q209" s="1">
        <v>0.13788755664196481</v>
      </c>
      <c r="R209" s="1">
        <v>0.6946</v>
      </c>
      <c r="T209" s="28">
        <v>24.23</v>
      </c>
      <c r="U209" s="29">
        <f t="shared" si="92"/>
        <v>0.62463063158810062</v>
      </c>
      <c r="V209" s="28">
        <v>52.18</v>
      </c>
      <c r="W209" s="28">
        <v>245.05</v>
      </c>
      <c r="X209" s="28">
        <v>958.67</v>
      </c>
      <c r="Y209" s="29">
        <f t="shared" si="93"/>
        <v>33.760049442535419</v>
      </c>
      <c r="Z209" s="29">
        <f t="shared" si="94"/>
        <v>141.73529531115645</v>
      </c>
      <c r="AA209" s="29">
        <f t="shared" si="95"/>
        <v>92.604071999999988</v>
      </c>
      <c r="AB209" s="29">
        <f t="shared" si="96"/>
        <v>344.77005439560969</v>
      </c>
      <c r="AC209" s="29">
        <f t="shared" si="97"/>
        <v>7.7796349793721804</v>
      </c>
      <c r="AD209" s="29">
        <f t="shared" si="98"/>
        <v>22.01733741702979</v>
      </c>
      <c r="AF209">
        <f t="shared" si="99"/>
        <v>2.0678246484697738E-3</v>
      </c>
      <c r="AG209">
        <f t="shared" si="100"/>
        <v>-8.8079035735789679E-3</v>
      </c>
      <c r="AH209">
        <f t="shared" si="101"/>
        <v>8.1143740340030579E-3</v>
      </c>
      <c r="AI209">
        <f t="shared" si="102"/>
        <v>-7.5331092300837676E-3</v>
      </c>
      <c r="AJ209">
        <f t="shared" si="103"/>
        <v>-6.8168868168868579E-3</v>
      </c>
      <c r="AK209">
        <f t="shared" si="104"/>
        <v>5.4620747731016994E-2</v>
      </c>
      <c r="AL209">
        <f t="shared" si="105"/>
        <v>8.0963278744838885E-3</v>
      </c>
      <c r="AM209">
        <f t="shared" si="106"/>
        <v>1.6048768527954227E-3</v>
      </c>
      <c r="AN209">
        <f t="shared" si="107"/>
        <v>-9.8215744574632335E-3</v>
      </c>
      <c r="AO209">
        <f t="shared" si="108"/>
        <v>1.5600640775137453E-2</v>
      </c>
      <c r="AP209">
        <f t="shared" si="109"/>
        <v>3.3405565085737887E-3</v>
      </c>
    </row>
    <row r="210" spans="3:42" x14ac:dyDescent="0.3">
      <c r="C210" s="1">
        <v>24.22</v>
      </c>
      <c r="D210" s="1">
        <v>4.42</v>
      </c>
      <c r="E210" s="1">
        <v>52</v>
      </c>
      <c r="F210" s="1">
        <v>246.4</v>
      </c>
      <c r="G210" s="1">
        <v>964.02</v>
      </c>
      <c r="H210" s="1">
        <v>32.29</v>
      </c>
      <c r="I210" s="1">
        <v>136.25</v>
      </c>
      <c r="J210" s="1">
        <v>136.1</v>
      </c>
      <c r="K210" s="1">
        <v>327.5</v>
      </c>
      <c r="L210" s="1">
        <v>159.99</v>
      </c>
      <c r="M210" s="1">
        <v>21.25</v>
      </c>
      <c r="O210" s="1">
        <v>20.566800000000001</v>
      </c>
      <c r="P210" s="1">
        <v>1.0423498064842367</v>
      </c>
      <c r="Q210" s="1">
        <v>0.1375031604333197</v>
      </c>
      <c r="R210" s="1">
        <v>0.69059999999999999</v>
      </c>
      <c r="T210" s="28">
        <v>24.22</v>
      </c>
      <c r="U210" s="29">
        <f t="shared" si="92"/>
        <v>0.60776396911527308</v>
      </c>
      <c r="V210" s="28">
        <v>52</v>
      </c>
      <c r="W210" s="28">
        <v>246.4</v>
      </c>
      <c r="X210" s="28">
        <v>964.02</v>
      </c>
      <c r="Y210" s="29">
        <f t="shared" si="93"/>
        <v>33.951281050424633</v>
      </c>
      <c r="Z210" s="29">
        <f t="shared" si="94"/>
        <v>142.02016113347725</v>
      </c>
      <c r="AA210" s="29">
        <f t="shared" si="95"/>
        <v>93.990659999999991</v>
      </c>
      <c r="AB210" s="29">
        <f t="shared" si="96"/>
        <v>341.36956162358751</v>
      </c>
      <c r="AC210" s="29">
        <f t="shared" si="97"/>
        <v>7.7790419511056657</v>
      </c>
      <c r="AD210" s="29">
        <f t="shared" si="98"/>
        <v>22.149933387790028</v>
      </c>
      <c r="AF210">
        <f t="shared" si="99"/>
        <v>-4.1271151465127609E-4</v>
      </c>
      <c r="AG210">
        <f t="shared" si="100"/>
        <v>-2.700261821925809E-2</v>
      </c>
      <c r="AH210">
        <f t="shared" si="101"/>
        <v>-3.4495975469528428E-3</v>
      </c>
      <c r="AI210">
        <f t="shared" si="102"/>
        <v>5.5090797796368829E-3</v>
      </c>
      <c r="AJ210">
        <f t="shared" si="103"/>
        <v>5.5806481896794047E-3</v>
      </c>
      <c r="AK210">
        <f t="shared" si="104"/>
        <v>5.6644350659118547E-3</v>
      </c>
      <c r="AL210">
        <f t="shared" si="105"/>
        <v>2.0098439255755718E-3</v>
      </c>
      <c r="AM210">
        <f t="shared" si="106"/>
        <v>1.4973294046940033E-2</v>
      </c>
      <c r="AN210">
        <f t="shared" si="107"/>
        <v>-9.8630746164521943E-3</v>
      </c>
      <c r="AO210">
        <f t="shared" si="108"/>
        <v>-7.6228289384694392E-5</v>
      </c>
      <c r="AP210">
        <f t="shared" si="109"/>
        <v>6.0223435853636875E-3</v>
      </c>
    </row>
    <row r="211" spans="3:42" x14ac:dyDescent="0.3">
      <c r="C211" s="1">
        <v>24.24</v>
      </c>
      <c r="D211" s="1">
        <v>4.47</v>
      </c>
      <c r="E211" s="1">
        <v>52.76</v>
      </c>
      <c r="F211" s="1">
        <v>249.22</v>
      </c>
      <c r="G211" s="1">
        <v>979.01</v>
      </c>
      <c r="H211" s="1">
        <v>32.35</v>
      </c>
      <c r="I211" s="1">
        <v>136.44999999999999</v>
      </c>
      <c r="J211" s="1">
        <v>135.82</v>
      </c>
      <c r="K211" s="1">
        <v>330.7</v>
      </c>
      <c r="L211" s="1">
        <v>163.37</v>
      </c>
      <c r="M211" s="1">
        <v>21.21</v>
      </c>
      <c r="O211" s="1">
        <v>20.567699999999999</v>
      </c>
      <c r="P211" s="1">
        <v>1.0401989527268485</v>
      </c>
      <c r="Q211" s="1">
        <v>0.13757979744939883</v>
      </c>
      <c r="R211" s="1">
        <v>0.69879999999999998</v>
      </c>
      <c r="T211" s="28">
        <v>24.24</v>
      </c>
      <c r="U211" s="29">
        <f t="shared" si="92"/>
        <v>0.61498169459881269</v>
      </c>
      <c r="V211" s="28">
        <v>52.76</v>
      </c>
      <c r="W211" s="28">
        <v>249.22</v>
      </c>
      <c r="X211" s="28">
        <v>979.01</v>
      </c>
      <c r="Y211" s="29">
        <f t="shared" si="93"/>
        <v>33.720016239765059</v>
      </c>
      <c r="Z211" s="29">
        <f t="shared" si="94"/>
        <v>141.93514709957847</v>
      </c>
      <c r="AA211" s="29">
        <f t="shared" si="95"/>
        <v>94.911015999999989</v>
      </c>
      <c r="AB211" s="29">
        <f t="shared" si="96"/>
        <v>343.99379366676879</v>
      </c>
      <c r="AC211" s="29">
        <f t="shared" si="97"/>
        <v>7.9430368976599235</v>
      </c>
      <c r="AD211" s="29">
        <f t="shared" si="98"/>
        <v>22.062619787336459</v>
      </c>
      <c r="AF211">
        <f t="shared" si="99"/>
        <v>8.2576383154409072E-4</v>
      </c>
      <c r="AG211">
        <f t="shared" si="100"/>
        <v>1.1875869334680322E-2</v>
      </c>
      <c r="AH211">
        <f t="shared" si="101"/>
        <v>1.4615384615384475E-2</v>
      </c>
      <c r="AI211">
        <f t="shared" si="102"/>
        <v>1.1444805194805063E-2</v>
      </c>
      <c r="AJ211">
        <f t="shared" si="103"/>
        <v>1.5549469928009874E-2</v>
      </c>
      <c r="AK211">
        <f t="shared" si="104"/>
        <v>-6.8116667031237199E-3</v>
      </c>
      <c r="AL211">
        <f t="shared" si="105"/>
        <v>-5.9860538968736776E-4</v>
      </c>
      <c r="AM211">
        <f t="shared" si="106"/>
        <v>9.7919942258091197E-3</v>
      </c>
      <c r="AN211">
        <f t="shared" si="107"/>
        <v>7.6873638958909751E-3</v>
      </c>
      <c r="AO211">
        <f t="shared" si="108"/>
        <v>2.1081638019826876E-2</v>
      </c>
      <c r="AP211">
        <f t="shared" si="109"/>
        <v>-3.9419351257146129E-3</v>
      </c>
    </row>
    <row r="212" spans="3:42" x14ac:dyDescent="0.3">
      <c r="C212" s="1">
        <v>24.2</v>
      </c>
      <c r="D212" s="1">
        <v>4.51</v>
      </c>
      <c r="E212" s="1">
        <v>52.87</v>
      </c>
      <c r="F212" s="1">
        <v>246.44</v>
      </c>
      <c r="G212" s="1">
        <v>979.88</v>
      </c>
      <c r="H212" s="1">
        <v>32.54</v>
      </c>
      <c r="I212" s="1">
        <v>135.4</v>
      </c>
      <c r="J212" s="1">
        <v>134.21</v>
      </c>
      <c r="K212" s="1">
        <v>333.3</v>
      </c>
      <c r="L212" s="1">
        <v>164.1</v>
      </c>
      <c r="M212" s="1">
        <v>21.42</v>
      </c>
      <c r="O212" s="1">
        <v>20.4497</v>
      </c>
      <c r="P212" s="1">
        <v>1.0392524095708007</v>
      </c>
      <c r="Q212" s="1">
        <v>0.13756192022376856</v>
      </c>
      <c r="R212" s="1">
        <v>0.69810000000000005</v>
      </c>
      <c r="T212" s="28">
        <v>24.2</v>
      </c>
      <c r="U212" s="29">
        <f t="shared" si="92"/>
        <v>0.62040426020919615</v>
      </c>
      <c r="V212" s="28">
        <v>52.87</v>
      </c>
      <c r="W212" s="28">
        <v>246.44</v>
      </c>
      <c r="X212" s="28">
        <v>979.88</v>
      </c>
      <c r="Y212" s="29">
        <f t="shared" si="93"/>
        <v>33.848073921731647</v>
      </c>
      <c r="Z212" s="29">
        <f t="shared" si="94"/>
        <v>140.71477625588642</v>
      </c>
      <c r="AA212" s="29">
        <f t="shared" si="95"/>
        <v>93.692001000000019</v>
      </c>
      <c r="AB212" s="29">
        <f t="shared" si="96"/>
        <v>346.38282810994787</v>
      </c>
      <c r="AC212" s="29">
        <f t="shared" si="97"/>
        <v>8.0245675975686677</v>
      </c>
      <c r="AD212" s="29">
        <f t="shared" si="98"/>
        <v>22.260786613006552</v>
      </c>
      <c r="AF212">
        <f t="shared" si="99"/>
        <v>-1.6501650165016146E-3</v>
      </c>
      <c r="AG212">
        <f t="shared" si="100"/>
        <v>8.8174423043938521E-3</v>
      </c>
      <c r="AH212">
        <f t="shared" si="101"/>
        <v>2.0849128127369276E-3</v>
      </c>
      <c r="AI212">
        <f t="shared" si="102"/>
        <v>-1.1154802985314238E-2</v>
      </c>
      <c r="AJ212">
        <f t="shared" si="103"/>
        <v>8.8865282274941393E-4</v>
      </c>
      <c r="AK212">
        <f t="shared" si="104"/>
        <v>3.7976755721598199E-3</v>
      </c>
      <c r="AL212">
        <f t="shared" si="105"/>
        <v>-8.5980877085777285E-3</v>
      </c>
      <c r="AM212">
        <f t="shared" si="106"/>
        <v>-1.2843767260904415E-2</v>
      </c>
      <c r="AN212">
        <f t="shared" si="107"/>
        <v>6.9449928666251992E-3</v>
      </c>
      <c r="AO212">
        <f t="shared" si="108"/>
        <v>1.0264424169144082E-2</v>
      </c>
      <c r="AP212">
        <f t="shared" si="109"/>
        <v>8.982016985300989E-3</v>
      </c>
    </row>
    <row r="213" spans="3:42" x14ac:dyDescent="0.3">
      <c r="C213" s="1">
        <v>24.16</v>
      </c>
      <c r="D213" s="1">
        <v>4.43</v>
      </c>
      <c r="E213" s="1">
        <v>53.17</v>
      </c>
      <c r="F213" s="1">
        <v>248.92</v>
      </c>
      <c r="G213" s="17">
        <v>1005.83</v>
      </c>
      <c r="H213" s="1">
        <v>32.35</v>
      </c>
      <c r="I213" s="1">
        <v>135.15</v>
      </c>
      <c r="J213" s="1">
        <v>130.33000000000001</v>
      </c>
      <c r="K213" s="1">
        <v>328.8</v>
      </c>
      <c r="L213" s="1">
        <v>162.79</v>
      </c>
      <c r="M213" s="1">
        <v>21.37</v>
      </c>
      <c r="O213" s="1">
        <v>20.6068</v>
      </c>
      <c r="P213" s="1">
        <v>1.0377011471941302</v>
      </c>
      <c r="Q213" s="1">
        <v>0.13696449715627851</v>
      </c>
      <c r="R213" s="1">
        <v>0.69550000000000001</v>
      </c>
      <c r="T213" s="28">
        <v>24.16</v>
      </c>
      <c r="U213" s="29">
        <f t="shared" si="92"/>
        <v>0.6067527224023137</v>
      </c>
      <c r="V213" s="28">
        <v>53.17</v>
      </c>
      <c r="W213" s="28">
        <v>248.92</v>
      </c>
      <c r="X213" s="30">
        <v>1005.83</v>
      </c>
      <c r="Y213" s="29">
        <f t="shared" si="93"/>
        <v>33.619815449615402</v>
      </c>
      <c r="Z213" s="29">
        <f t="shared" si="94"/>
        <v>140.24531004328671</v>
      </c>
      <c r="AA213" s="29">
        <f t="shared" si="95"/>
        <v>90.644515000000013</v>
      </c>
      <c r="AB213" s="29">
        <f t="shared" si="96"/>
        <v>341.19613719743001</v>
      </c>
      <c r="AC213" s="29">
        <f t="shared" si="97"/>
        <v>7.8998194770658223</v>
      </c>
      <c r="AD213" s="29">
        <f t="shared" si="98"/>
        <v>22.175673515538563</v>
      </c>
      <c r="AF213">
        <f t="shared" si="99"/>
        <v>-1.6528925619834212E-3</v>
      </c>
      <c r="AG213">
        <f t="shared" si="100"/>
        <v>-2.200426186996074E-2</v>
      </c>
      <c r="AH213">
        <f t="shared" si="101"/>
        <v>5.6742954416493241E-3</v>
      </c>
      <c r="AI213">
        <f t="shared" si="102"/>
        <v>1.0063301412108316E-2</v>
      </c>
      <c r="AJ213">
        <f t="shared" si="103"/>
        <v>2.6482834632812313E-2</v>
      </c>
      <c r="AK213">
        <f t="shared" si="104"/>
        <v>-6.7436177504237582E-3</v>
      </c>
      <c r="AL213">
        <f t="shared" si="105"/>
        <v>-3.3362964792410521E-3</v>
      </c>
      <c r="AM213">
        <f t="shared" si="106"/>
        <v>-3.2526640134412421E-2</v>
      </c>
      <c r="AN213">
        <f t="shared" si="107"/>
        <v>-1.4973868481931496E-2</v>
      </c>
      <c r="AO213">
        <f t="shared" si="108"/>
        <v>-1.5545774770548637E-2</v>
      </c>
      <c r="AP213">
        <f t="shared" si="109"/>
        <v>-3.8234541729202931E-3</v>
      </c>
    </row>
    <row r="214" spans="3:42" x14ac:dyDescent="0.3">
      <c r="C214" s="1">
        <v>24.26</v>
      </c>
      <c r="D214" s="1">
        <v>4.41</v>
      </c>
      <c r="E214" s="1">
        <v>53.69</v>
      </c>
      <c r="F214" s="1">
        <v>248</v>
      </c>
      <c r="G214" s="17">
        <v>1021.86</v>
      </c>
      <c r="H214" s="1">
        <v>32.659999999999997</v>
      </c>
      <c r="I214" s="1">
        <v>136.6</v>
      </c>
      <c r="J214" s="1">
        <v>130.62</v>
      </c>
      <c r="K214" s="1">
        <v>330.4</v>
      </c>
      <c r="L214" s="1">
        <v>159.26</v>
      </c>
      <c r="M214" s="1">
        <v>21.55</v>
      </c>
      <c r="O214" s="1">
        <v>20.4268</v>
      </c>
      <c r="P214" s="1">
        <v>1.0322517477039967</v>
      </c>
      <c r="Q214" s="1">
        <v>0.13701118138915544</v>
      </c>
      <c r="R214" s="1">
        <v>0.69520000000000004</v>
      </c>
      <c r="T214" s="28">
        <v>24.26</v>
      </c>
      <c r="U214" s="29">
        <f t="shared" si="92"/>
        <v>0.60421930992617556</v>
      </c>
      <c r="V214" s="28">
        <v>53.69</v>
      </c>
      <c r="W214" s="28">
        <v>248</v>
      </c>
      <c r="X214" s="30">
        <v>1021.86</v>
      </c>
      <c r="Y214" s="29">
        <f t="shared" si="93"/>
        <v>33.89131946736029</v>
      </c>
      <c r="Z214" s="29">
        <f t="shared" si="94"/>
        <v>141.00558873636595</v>
      </c>
      <c r="AA214" s="29">
        <f t="shared" si="95"/>
        <v>90.807024000000013</v>
      </c>
      <c r="AB214" s="29">
        <f t="shared" si="96"/>
        <v>341.0559774414005</v>
      </c>
      <c r="AC214" s="29">
        <f t="shared" si="97"/>
        <v>7.7966201265004793</v>
      </c>
      <c r="AD214" s="29">
        <f t="shared" si="98"/>
        <v>22.245025163021129</v>
      </c>
      <c r="AF214">
        <f t="shared" si="99"/>
        <v>4.1390728476822236E-3</v>
      </c>
      <c r="AG214">
        <f t="shared" si="100"/>
        <v>-4.1753623553720809E-3</v>
      </c>
      <c r="AH214">
        <f t="shared" si="101"/>
        <v>9.7799511002443218E-3</v>
      </c>
      <c r="AI214">
        <f t="shared" si="102"/>
        <v>-3.6959665756065574E-3</v>
      </c>
      <c r="AJ214">
        <f t="shared" si="103"/>
        <v>1.5937086784048926E-2</v>
      </c>
      <c r="AK214">
        <f t="shared" si="104"/>
        <v>8.0757141023506396E-3</v>
      </c>
      <c r="AL214">
        <f t="shared" si="105"/>
        <v>5.4210632273163917E-3</v>
      </c>
      <c r="AM214">
        <f t="shared" si="106"/>
        <v>1.7928166971823423E-3</v>
      </c>
      <c r="AN214">
        <f t="shared" si="107"/>
        <v>-4.1078939867478237E-4</v>
      </c>
      <c r="AO214">
        <f t="shared" si="108"/>
        <v>-1.306350744658713E-2</v>
      </c>
      <c r="AP214">
        <f t="shared" si="109"/>
        <v>3.1273750235352171E-3</v>
      </c>
    </row>
    <row r="215" spans="3:42" x14ac:dyDescent="0.3">
      <c r="C215" s="1">
        <v>24.27</v>
      </c>
      <c r="D215" s="1">
        <v>4.46</v>
      </c>
      <c r="E215" s="1">
        <v>54.02</v>
      </c>
      <c r="F215" s="1">
        <v>249</v>
      </c>
      <c r="G215" s="17">
        <v>1042.8800000000001</v>
      </c>
      <c r="H215" s="1">
        <v>33.020000000000003</v>
      </c>
      <c r="I215" s="1">
        <v>143.5</v>
      </c>
      <c r="J215" s="1">
        <v>130.53</v>
      </c>
      <c r="K215" s="1">
        <v>327.8</v>
      </c>
      <c r="L215" s="1">
        <v>159.72999999999999</v>
      </c>
      <c r="M215" s="1">
        <v>21.79</v>
      </c>
      <c r="O215" s="1">
        <v>20.636299999999999</v>
      </c>
      <c r="P215" s="1">
        <v>1.0413494667164171</v>
      </c>
      <c r="Q215" s="1">
        <v>0.13745196571090748</v>
      </c>
      <c r="R215" s="1">
        <v>0.69699999999999995</v>
      </c>
      <c r="T215" s="28">
        <v>24.27</v>
      </c>
      <c r="U215" s="29">
        <f t="shared" si="92"/>
        <v>0.61303576707064733</v>
      </c>
      <c r="V215" s="28">
        <v>54.02</v>
      </c>
      <c r="W215" s="28">
        <v>249</v>
      </c>
      <c r="X215" s="30">
        <v>1042.8800000000001</v>
      </c>
      <c r="Y215" s="29">
        <f t="shared" si="93"/>
        <v>34.084952709185977</v>
      </c>
      <c r="Z215" s="29">
        <f t="shared" si="94"/>
        <v>149.43364847380587</v>
      </c>
      <c r="AA215" s="29">
        <f t="shared" si="95"/>
        <v>90.979410000000001</v>
      </c>
      <c r="AB215" s="29">
        <f t="shared" si="96"/>
        <v>341.35435518964158</v>
      </c>
      <c r="AC215" s="29">
        <f t="shared" si="97"/>
        <v>7.7402441329114229</v>
      </c>
      <c r="AD215" s="29">
        <f t="shared" si="98"/>
        <v>22.691004879750729</v>
      </c>
      <c r="AF215">
        <f t="shared" si="99"/>
        <v>4.1220115416318315E-4</v>
      </c>
      <c r="AG215">
        <f t="shared" si="100"/>
        <v>1.4591485243245605E-2</v>
      </c>
      <c r="AH215">
        <f t="shared" si="101"/>
        <v>6.1463959769045839E-3</v>
      </c>
      <c r="AI215">
        <f t="shared" si="102"/>
        <v>4.0322580645162365E-3</v>
      </c>
      <c r="AJ215">
        <f t="shared" si="103"/>
        <v>2.0570332530875257E-2</v>
      </c>
      <c r="AK215">
        <f t="shared" si="104"/>
        <v>5.7133580181842891E-3</v>
      </c>
      <c r="AL215">
        <f t="shared" si="105"/>
        <v>5.9771104202100966E-2</v>
      </c>
      <c r="AM215">
        <f t="shared" si="106"/>
        <v>1.898377376622129E-3</v>
      </c>
      <c r="AN215">
        <f t="shared" si="107"/>
        <v>8.7486444448070522E-4</v>
      </c>
      <c r="AO215">
        <f t="shared" si="108"/>
        <v>-7.2308247258880964E-3</v>
      </c>
      <c r="AP215">
        <f t="shared" si="109"/>
        <v>2.0048514823483909E-2</v>
      </c>
    </row>
    <row r="216" spans="3:42" x14ac:dyDescent="0.3">
      <c r="C216" s="1">
        <v>24.33</v>
      </c>
      <c r="D216" s="1">
        <v>4.5</v>
      </c>
      <c r="E216" s="1">
        <v>53.89</v>
      </c>
      <c r="F216" s="1">
        <v>251.35</v>
      </c>
      <c r="G216" s="17">
        <v>1050.99</v>
      </c>
      <c r="H216" s="1">
        <v>32.909999999999997</v>
      </c>
      <c r="I216" s="1">
        <v>145.65</v>
      </c>
      <c r="J216" s="1">
        <v>132.52000000000001</v>
      </c>
      <c r="K216" s="1">
        <v>326.89999999999998</v>
      </c>
      <c r="L216" s="1">
        <v>160.61000000000001</v>
      </c>
      <c r="M216" s="1">
        <v>22.01</v>
      </c>
      <c r="O216" s="1">
        <v>20.512499999999999</v>
      </c>
      <c r="P216" s="1">
        <v>1.0360024375380865</v>
      </c>
      <c r="Q216" s="1">
        <v>0.13712614259597808</v>
      </c>
      <c r="R216" s="1">
        <v>0.69569999999999999</v>
      </c>
      <c r="T216" s="28">
        <v>24.33</v>
      </c>
      <c r="U216" s="29">
        <f t="shared" si="92"/>
        <v>0.61706764168190131</v>
      </c>
      <c r="V216" s="28">
        <v>53.89</v>
      </c>
      <c r="W216" s="28">
        <v>251.35</v>
      </c>
      <c r="X216" s="30">
        <v>1050.99</v>
      </c>
      <c r="Y216" s="29">
        <f t="shared" si="93"/>
        <v>34.270810949637287</v>
      </c>
      <c r="Z216" s="29">
        <f t="shared" si="94"/>
        <v>150.89375502742232</v>
      </c>
      <c r="AA216" s="29">
        <f t="shared" si="95"/>
        <v>92.194164000000001</v>
      </c>
      <c r="AB216" s="29">
        <f t="shared" si="96"/>
        <v>338.66919683120045</v>
      </c>
      <c r="AC216" s="29">
        <f t="shared" si="97"/>
        <v>7.8298598415600251</v>
      </c>
      <c r="AD216" s="29">
        <f t="shared" si="98"/>
        <v>22.802413650213285</v>
      </c>
      <c r="AF216">
        <f t="shared" si="99"/>
        <v>2.4721878862792313E-3</v>
      </c>
      <c r="AG216">
        <f t="shared" si="100"/>
        <v>6.5768994695367677E-3</v>
      </c>
      <c r="AH216">
        <f t="shared" si="101"/>
        <v>-2.4065161051463058E-3</v>
      </c>
      <c r="AI216">
        <f t="shared" si="102"/>
        <v>9.437751004016004E-3</v>
      </c>
      <c r="AJ216">
        <f t="shared" si="103"/>
        <v>7.7765418840134437E-3</v>
      </c>
      <c r="AK216">
        <f t="shared" si="104"/>
        <v>5.4527944350417634E-3</v>
      </c>
      <c r="AL216">
        <f t="shared" si="105"/>
        <v>9.7709355859860736E-3</v>
      </c>
      <c r="AM216">
        <f t="shared" si="106"/>
        <v>1.335196612068601E-2</v>
      </c>
      <c r="AN216">
        <f t="shared" si="107"/>
        <v>-7.8661904194817778E-3</v>
      </c>
      <c r="AO216">
        <f t="shared" si="108"/>
        <v>1.1577891744726454E-2</v>
      </c>
      <c r="AP216">
        <f t="shared" si="109"/>
        <v>4.9098209203584098E-3</v>
      </c>
    </row>
    <row r="217" spans="3:42" x14ac:dyDescent="0.3">
      <c r="C217" s="1">
        <v>24.25</v>
      </c>
      <c r="D217" s="1">
        <v>4.5</v>
      </c>
      <c r="E217" s="1">
        <v>53.97</v>
      </c>
      <c r="F217" s="1">
        <v>250.6</v>
      </c>
      <c r="G217" s="17">
        <v>1043.81</v>
      </c>
      <c r="H217" s="1">
        <v>33.380000000000003</v>
      </c>
      <c r="I217" s="1">
        <v>145.85</v>
      </c>
      <c r="J217" s="1">
        <v>131.87</v>
      </c>
      <c r="K217" s="1">
        <v>330.4</v>
      </c>
      <c r="L217" s="1">
        <v>159.88999999999999</v>
      </c>
      <c r="M217" s="1">
        <v>21.64</v>
      </c>
      <c r="O217" s="1">
        <v>20.551200000000001</v>
      </c>
      <c r="P217" s="1">
        <v>1.0382021487796333</v>
      </c>
      <c r="Q217" s="1">
        <v>0.13711608081279925</v>
      </c>
      <c r="R217" s="1">
        <v>0.69430000000000003</v>
      </c>
      <c r="T217" s="28">
        <v>24.25</v>
      </c>
      <c r="U217" s="29">
        <f t="shared" si="92"/>
        <v>0.61702236365759666</v>
      </c>
      <c r="V217" s="28">
        <v>53.97</v>
      </c>
      <c r="W217" s="28">
        <v>250.6</v>
      </c>
      <c r="X217" s="30">
        <v>1043.81</v>
      </c>
      <c r="Y217" s="29">
        <f t="shared" si="93"/>
        <v>34.581761365021329</v>
      </c>
      <c r="Z217" s="29">
        <f t="shared" si="94"/>
        <v>151.42178339950951</v>
      </c>
      <c r="AA217" s="29">
        <f t="shared" si="95"/>
        <v>91.557341000000008</v>
      </c>
      <c r="AB217" s="29">
        <f t="shared" si="96"/>
        <v>343.02198995679083</v>
      </c>
      <c r="AC217" s="29">
        <f t="shared" si="97"/>
        <v>7.7800809685079209</v>
      </c>
      <c r="AD217" s="29">
        <f t="shared" si="98"/>
        <v>22.466694499591267</v>
      </c>
      <c r="AF217">
        <f t="shared" si="99"/>
        <v>-3.2881216605014085E-3</v>
      </c>
      <c r="AG217">
        <f t="shared" si="100"/>
        <v>-7.3376111865530724E-5</v>
      </c>
      <c r="AH217">
        <f t="shared" si="101"/>
        <v>1.4845054741139396E-3</v>
      </c>
      <c r="AI217">
        <f t="shared" si="102"/>
        <v>-2.9838870101451809E-3</v>
      </c>
      <c r="AJ217">
        <f t="shared" si="103"/>
        <v>-6.8316539643574759E-3</v>
      </c>
      <c r="AK217">
        <f t="shared" si="104"/>
        <v>9.0733311167046082E-3</v>
      </c>
      <c r="AL217">
        <f t="shared" si="105"/>
        <v>3.4993388029294081E-3</v>
      </c>
      <c r="AM217">
        <f t="shared" si="106"/>
        <v>-6.9074111892808432E-3</v>
      </c>
      <c r="AN217">
        <f t="shared" si="107"/>
        <v>1.2852639585524184E-2</v>
      </c>
      <c r="AO217">
        <f t="shared" si="108"/>
        <v>-6.3575688530059793E-3</v>
      </c>
      <c r="AP217">
        <f t="shared" si="109"/>
        <v>-1.4722965549696432E-2</v>
      </c>
    </row>
    <row r="218" spans="3:42" x14ac:dyDescent="0.3">
      <c r="C218" s="1">
        <v>24.3</v>
      </c>
      <c r="D218" s="1">
        <v>4.6399999999999997</v>
      </c>
      <c r="E218" s="1">
        <v>54.88</v>
      </c>
      <c r="F218" s="1">
        <v>249.69</v>
      </c>
      <c r="G218" s="17">
        <v>1061.92</v>
      </c>
      <c r="H218" s="1">
        <v>33.83</v>
      </c>
      <c r="I218" s="1">
        <v>144.94999999999999</v>
      </c>
      <c r="J218" s="1">
        <v>129.33000000000001</v>
      </c>
      <c r="K218" s="1">
        <v>330.8</v>
      </c>
      <c r="L218" s="1">
        <v>162.19</v>
      </c>
      <c r="M218" s="1">
        <v>21.62</v>
      </c>
      <c r="O218" s="1">
        <v>20.6693</v>
      </c>
      <c r="P218" s="1">
        <v>1.0320523675209128</v>
      </c>
      <c r="Q218" s="1">
        <v>0.13678257125301777</v>
      </c>
      <c r="R218" s="1">
        <v>0.69340000000000002</v>
      </c>
      <c r="T218" s="28">
        <v>24.3</v>
      </c>
      <c r="U218" s="29">
        <f t="shared" si="92"/>
        <v>0.63467113061400238</v>
      </c>
      <c r="V218" s="28">
        <v>54.88</v>
      </c>
      <c r="W218" s="28">
        <v>249.69</v>
      </c>
      <c r="X218" s="30">
        <v>1061.92</v>
      </c>
      <c r="Y218" s="29">
        <f t="shared" si="93"/>
        <v>35.122378693214998</v>
      </c>
      <c r="Z218" s="29">
        <f t="shared" si="94"/>
        <v>149.59599067215629</v>
      </c>
      <c r="AA218" s="29">
        <f t="shared" si="95"/>
        <v>89.677422000000007</v>
      </c>
      <c r="AB218" s="29">
        <f t="shared" si="96"/>
        <v>341.40292317591798</v>
      </c>
      <c r="AC218" s="29">
        <f t="shared" si="97"/>
        <v>7.8469033784404889</v>
      </c>
      <c r="AD218" s="29">
        <f t="shared" si="98"/>
        <v>22.312972185802135</v>
      </c>
      <c r="AF218">
        <f t="shared" si="99"/>
        <v>2.0618556701030855E-3</v>
      </c>
      <c r="AG218">
        <f t="shared" si="100"/>
        <v>2.8603123640101202E-2</v>
      </c>
      <c r="AH218">
        <f t="shared" si="101"/>
        <v>1.6861219195849708E-2</v>
      </c>
      <c r="AI218">
        <f t="shared" si="102"/>
        <v>-3.6312849162011274E-3</v>
      </c>
      <c r="AJ218">
        <f t="shared" si="103"/>
        <v>1.7349900844023436E-2</v>
      </c>
      <c r="AK218">
        <f t="shared" si="104"/>
        <v>1.563301887625923E-2</v>
      </c>
      <c r="AL218">
        <f t="shared" si="105"/>
        <v>-1.2057662288496918E-2</v>
      </c>
      <c r="AM218">
        <f t="shared" si="106"/>
        <v>-2.0532695461306649E-2</v>
      </c>
      <c r="AN218">
        <f t="shared" si="107"/>
        <v>-4.7200087116188172E-3</v>
      </c>
      <c r="AO218">
        <f t="shared" si="108"/>
        <v>8.5889093189455146E-3</v>
      </c>
      <c r="AP218">
        <f t="shared" si="109"/>
        <v>-6.8422310096364347E-3</v>
      </c>
    </row>
    <row r="219" spans="3:42" x14ac:dyDescent="0.3">
      <c r="C219" s="1">
        <v>24.31</v>
      </c>
      <c r="D219" s="1">
        <v>4.54</v>
      </c>
      <c r="E219" s="1">
        <v>54.69</v>
      </c>
      <c r="F219" s="1">
        <v>257.57</v>
      </c>
      <c r="G219" s="17">
        <v>1058.3399999999999</v>
      </c>
      <c r="H219" s="1">
        <v>34.119999999999997</v>
      </c>
      <c r="I219" s="1">
        <v>144</v>
      </c>
      <c r="J219" s="1">
        <v>128.78</v>
      </c>
      <c r="K219" s="1">
        <v>334.2</v>
      </c>
      <c r="L219" s="1">
        <v>162.47999999999999</v>
      </c>
      <c r="M219" s="1">
        <v>21.85</v>
      </c>
      <c r="O219" s="1">
        <v>20.568000000000001</v>
      </c>
      <c r="P219" s="1">
        <v>1.0322491248541423</v>
      </c>
      <c r="Q219" s="1">
        <v>0.13677071178529754</v>
      </c>
      <c r="R219" s="1">
        <v>0.69</v>
      </c>
      <c r="T219" s="28">
        <v>24.31</v>
      </c>
      <c r="U219" s="29">
        <f t="shared" si="92"/>
        <v>0.62093903150525087</v>
      </c>
      <c r="V219" s="28">
        <v>54.69</v>
      </c>
      <c r="W219" s="28">
        <v>257.57</v>
      </c>
      <c r="X219" s="30">
        <v>1058.3399999999999</v>
      </c>
      <c r="Y219" s="29">
        <f t="shared" si="93"/>
        <v>35.213626779813545</v>
      </c>
      <c r="Z219" s="29">
        <f t="shared" si="94"/>
        <v>148.64387397899651</v>
      </c>
      <c r="AA219" s="29">
        <f t="shared" si="95"/>
        <v>88.858199999999997</v>
      </c>
      <c r="AB219" s="29">
        <f t="shared" si="96"/>
        <v>344.97765752625435</v>
      </c>
      <c r="AC219" s="29">
        <f t="shared" si="97"/>
        <v>7.8996499416569419</v>
      </c>
      <c r="AD219" s="29">
        <f t="shared" si="98"/>
        <v>22.554643378063012</v>
      </c>
      <c r="AF219">
        <f t="shared" si="99"/>
        <v>4.1152263374466536E-4</v>
      </c>
      <c r="AG219">
        <f t="shared" si="100"/>
        <v>-2.1636558599201772E-2</v>
      </c>
      <c r="AH219">
        <f t="shared" si="101"/>
        <v>-3.4620991253645483E-3</v>
      </c>
      <c r="AI219">
        <f t="shared" si="102"/>
        <v>3.1559133325323341E-2</v>
      </c>
      <c r="AJ219">
        <f t="shared" si="103"/>
        <v>-3.3712520717192884E-3</v>
      </c>
      <c r="AK219">
        <f t="shared" si="104"/>
        <v>2.5980041783495444E-3</v>
      </c>
      <c r="AL219">
        <f t="shared" si="105"/>
        <v>-6.3645869710932113E-3</v>
      </c>
      <c r="AM219">
        <f t="shared" si="106"/>
        <v>-9.1352090830623123E-3</v>
      </c>
      <c r="AN219">
        <f t="shared" si="107"/>
        <v>1.0470719808378437E-2</v>
      </c>
      <c r="AO219">
        <f t="shared" si="108"/>
        <v>6.7219590547495933E-3</v>
      </c>
      <c r="AP219">
        <f t="shared" si="109"/>
        <v>1.0830972684788831E-2</v>
      </c>
    </row>
    <row r="220" spans="3:42" x14ac:dyDescent="0.3">
      <c r="C220" s="1">
        <v>24.3</v>
      </c>
      <c r="D220" s="1">
        <v>4.51</v>
      </c>
      <c r="E220" s="1">
        <v>54.75</v>
      </c>
      <c r="F220" s="1">
        <v>256.79000000000002</v>
      </c>
      <c r="G220" s="17">
        <v>1065.1199999999999</v>
      </c>
      <c r="H220" s="1">
        <v>33.590000000000003</v>
      </c>
      <c r="I220" s="1">
        <v>146.30000000000001</v>
      </c>
      <c r="J220" s="1">
        <v>130.80000000000001</v>
      </c>
      <c r="K220" s="1">
        <v>335</v>
      </c>
      <c r="L220" s="1">
        <v>170.71</v>
      </c>
      <c r="M220" s="1">
        <v>21.55</v>
      </c>
      <c r="O220" s="1">
        <v>20.491700000000002</v>
      </c>
      <c r="P220" s="1">
        <v>1.0375517892610178</v>
      </c>
      <c r="Q220" s="1">
        <v>0.13671876906259606</v>
      </c>
      <c r="R220" s="1">
        <v>0.68820000000000003</v>
      </c>
      <c r="T220" s="28">
        <v>24.3</v>
      </c>
      <c r="U220" s="29">
        <f t="shared" si="92"/>
        <v>0.61660164847230814</v>
      </c>
      <c r="V220" s="28">
        <v>54.75</v>
      </c>
      <c r="W220" s="28">
        <v>256.79000000000002</v>
      </c>
      <c r="X220" s="30">
        <v>1065.1199999999999</v>
      </c>
      <c r="Y220" s="29">
        <f t="shared" si="93"/>
        <v>34.673248103850646</v>
      </c>
      <c r="Z220" s="29">
        <f t="shared" si="94"/>
        <v>151.7938267688869</v>
      </c>
      <c r="AA220" s="29">
        <f t="shared" si="95"/>
        <v>90.016560000000013</v>
      </c>
      <c r="AB220" s="29">
        <f t="shared" si="96"/>
        <v>347.57984940244097</v>
      </c>
      <c r="AC220" s="29">
        <f t="shared" si="97"/>
        <v>8.3306899866775321</v>
      </c>
      <c r="AD220" s="29">
        <f t="shared" si="98"/>
        <v>22.359241058574934</v>
      </c>
      <c r="AF220">
        <f t="shared" si="99"/>
        <v>-4.1135335252973082E-4</v>
      </c>
      <c r="AG220">
        <f t="shared" si="100"/>
        <v>-6.9851995330817429E-3</v>
      </c>
      <c r="AH220">
        <f t="shared" si="101"/>
        <v>1.0970927043336687E-3</v>
      </c>
      <c r="AI220">
        <f t="shared" si="102"/>
        <v>-3.0283029855960875E-3</v>
      </c>
      <c r="AJ220">
        <f t="shared" si="103"/>
        <v>6.4062588582118885E-3</v>
      </c>
      <c r="AK220">
        <f t="shared" si="104"/>
        <v>-1.5345726225299616E-2</v>
      </c>
      <c r="AL220">
        <f t="shared" si="105"/>
        <v>2.1191272169988506E-2</v>
      </c>
      <c r="AM220">
        <f t="shared" si="106"/>
        <v>1.3036050696503043E-2</v>
      </c>
      <c r="AN220">
        <f t="shared" si="107"/>
        <v>7.5430736438013568E-3</v>
      </c>
      <c r="AO220">
        <f t="shared" si="108"/>
        <v>5.4564448830523693E-2</v>
      </c>
      <c r="AP220">
        <f t="shared" si="109"/>
        <v>-8.6635073857177503E-3</v>
      </c>
    </row>
    <row r="221" spans="3:42" x14ac:dyDescent="0.3">
      <c r="C221" s="1">
        <v>24.31</v>
      </c>
      <c r="D221" s="1">
        <v>4.47</v>
      </c>
      <c r="E221" s="1">
        <v>55.28</v>
      </c>
      <c r="F221" s="1">
        <v>262.13</v>
      </c>
      <c r="G221" s="17">
        <v>1076.8599999999999</v>
      </c>
      <c r="H221" s="1">
        <v>33.619999999999997</v>
      </c>
      <c r="I221" s="1">
        <v>146.30000000000001</v>
      </c>
      <c r="J221" s="1">
        <v>128.82</v>
      </c>
      <c r="K221" s="1">
        <v>334</v>
      </c>
      <c r="L221" s="1">
        <v>173.02</v>
      </c>
      <c r="M221" s="1">
        <v>21.63</v>
      </c>
      <c r="O221" s="1">
        <v>20.497800000000002</v>
      </c>
      <c r="P221" s="1">
        <v>1.0401018645903461</v>
      </c>
      <c r="Q221" s="1">
        <v>0.1369805540106743</v>
      </c>
      <c r="R221" s="1">
        <v>0.69299999999999995</v>
      </c>
      <c r="T221" s="28">
        <v>24.31</v>
      </c>
      <c r="U221" s="29">
        <f t="shared" si="92"/>
        <v>0.61230307642771409</v>
      </c>
      <c r="V221" s="28">
        <v>55.28</v>
      </c>
      <c r="W221" s="28">
        <v>262.13</v>
      </c>
      <c r="X221" s="30">
        <v>1076.8599999999999</v>
      </c>
      <c r="Y221" s="29">
        <f t="shared" si="93"/>
        <v>34.882491154955417</v>
      </c>
      <c r="Z221" s="29">
        <f t="shared" si="94"/>
        <v>152.16690278956764</v>
      </c>
      <c r="AA221" s="29">
        <f t="shared" si="95"/>
        <v>89.272259999999989</v>
      </c>
      <c r="AB221" s="29">
        <f t="shared" si="96"/>
        <v>347.39402277317561</v>
      </c>
      <c r="AC221" s="29">
        <f t="shared" si="97"/>
        <v>8.4409058533110866</v>
      </c>
      <c r="AD221" s="29">
        <f t="shared" si="98"/>
        <v>22.497403331089185</v>
      </c>
      <c r="AF221">
        <f t="shared" si="99"/>
        <v>4.1152263374466536E-4</v>
      </c>
      <c r="AG221">
        <f t="shared" si="100"/>
        <v>-6.9713923977403613E-3</v>
      </c>
      <c r="AH221">
        <f t="shared" si="101"/>
        <v>9.6803652968036058E-3</v>
      </c>
      <c r="AI221">
        <f t="shared" si="102"/>
        <v>2.0795202305385674E-2</v>
      </c>
      <c r="AJ221">
        <f t="shared" si="103"/>
        <v>1.1022232236743257E-2</v>
      </c>
      <c r="AK221">
        <f t="shared" si="104"/>
        <v>6.0347115585497324E-3</v>
      </c>
      <c r="AL221">
        <f t="shared" si="105"/>
        <v>2.4577812459314341E-3</v>
      </c>
      <c r="AM221">
        <f t="shared" si="106"/>
        <v>-8.2684785999378452E-3</v>
      </c>
      <c r="AN221">
        <f t="shared" si="107"/>
        <v>-5.346300413698879E-4</v>
      </c>
      <c r="AO221">
        <f t="shared" si="108"/>
        <v>1.3230100605089445E-2</v>
      </c>
      <c r="AP221">
        <f t="shared" si="109"/>
        <v>6.179202243596027E-3</v>
      </c>
    </row>
    <row r="222" spans="3:42" x14ac:dyDescent="0.3">
      <c r="C222" s="1">
        <v>24.33</v>
      </c>
      <c r="D222" s="1">
        <v>4.4000000000000004</v>
      </c>
      <c r="E222" s="1">
        <v>54.46</v>
      </c>
      <c r="F222" s="1">
        <v>262.60000000000002</v>
      </c>
      <c r="G222" s="17">
        <v>1071.8499999999999</v>
      </c>
      <c r="H222" s="1">
        <v>34.04</v>
      </c>
      <c r="I222" s="1">
        <v>147.55000000000001</v>
      </c>
      <c r="J222" s="1">
        <v>130.32</v>
      </c>
      <c r="K222" s="1">
        <v>342</v>
      </c>
      <c r="L222" s="1">
        <v>170.68</v>
      </c>
      <c r="M222" s="1">
        <v>21.8</v>
      </c>
      <c r="O222" s="1">
        <v>20.308199999999999</v>
      </c>
      <c r="P222" s="1">
        <v>1.0466511064496116</v>
      </c>
      <c r="Q222" s="1">
        <v>0.13760451443259375</v>
      </c>
      <c r="R222" s="1">
        <v>0.69810000000000005</v>
      </c>
      <c r="T222" s="28">
        <v>24.33</v>
      </c>
      <c r="U222" s="29">
        <f t="shared" si="92"/>
        <v>0.60545986350341252</v>
      </c>
      <c r="V222" s="28">
        <v>54.46</v>
      </c>
      <c r="W222" s="28">
        <v>262.60000000000002</v>
      </c>
      <c r="X222" s="30">
        <v>1071.8499999999999</v>
      </c>
      <c r="Y222" s="29">
        <f t="shared" si="93"/>
        <v>35.405067470655382</v>
      </c>
      <c r="Z222" s="29">
        <f t="shared" si="94"/>
        <v>154.43337075664019</v>
      </c>
      <c r="AA222" s="29">
        <f t="shared" si="95"/>
        <v>90.976392000000004</v>
      </c>
      <c r="AB222" s="29">
        <f t="shared" si="96"/>
        <v>357.95467840576714</v>
      </c>
      <c r="AC222" s="29">
        <f t="shared" si="97"/>
        <v>8.4044868575255318</v>
      </c>
      <c r="AD222" s="29">
        <f t="shared" si="98"/>
        <v>22.816994120601532</v>
      </c>
      <c r="AF222">
        <f t="shared" si="99"/>
        <v>8.2270670505968369E-4</v>
      </c>
      <c r="AG222">
        <f t="shared" si="100"/>
        <v>-1.117618576118562E-2</v>
      </c>
      <c r="AH222">
        <f t="shared" si="101"/>
        <v>-1.483357452966716E-2</v>
      </c>
      <c r="AI222">
        <f t="shared" si="102"/>
        <v>1.793003471560084E-3</v>
      </c>
      <c r="AJ222">
        <f t="shared" si="103"/>
        <v>-4.6524153557565562E-3</v>
      </c>
      <c r="AK222">
        <f t="shared" si="104"/>
        <v>1.4981049185351258E-2</v>
      </c>
      <c r="AL222">
        <f t="shared" si="105"/>
        <v>1.4894618511141378E-2</v>
      </c>
      <c r="AM222">
        <f t="shared" si="106"/>
        <v>1.9089154906574812E-2</v>
      </c>
      <c r="AN222">
        <f t="shared" si="107"/>
        <v>3.0399646914728073E-2</v>
      </c>
      <c r="AO222">
        <f t="shared" si="108"/>
        <v>-4.3145838158198391E-3</v>
      </c>
      <c r="AP222">
        <f t="shared" si="109"/>
        <v>1.4205674530922696E-2</v>
      </c>
    </row>
    <row r="223" spans="3:42" x14ac:dyDescent="0.3">
      <c r="C223" s="1">
        <v>24.32</v>
      </c>
      <c r="D223" s="1">
        <v>4.5599999999999996</v>
      </c>
      <c r="E223" s="1">
        <v>55.37</v>
      </c>
      <c r="F223" s="1">
        <v>263.93</v>
      </c>
      <c r="G223" s="17">
        <v>1056.03</v>
      </c>
      <c r="H223" s="1">
        <v>34.47</v>
      </c>
      <c r="I223" s="1">
        <v>148.5</v>
      </c>
      <c r="J223" s="1">
        <v>132.87</v>
      </c>
      <c r="K223" s="1">
        <v>346.2</v>
      </c>
      <c r="L223" s="1">
        <v>173.33</v>
      </c>
      <c r="M223" s="1">
        <v>21.56</v>
      </c>
      <c r="O223" s="1">
        <v>20.283000000000001</v>
      </c>
      <c r="P223" s="1">
        <v>1.0479514864664989</v>
      </c>
      <c r="Q223" s="1">
        <v>0.13763250012325592</v>
      </c>
      <c r="R223" s="1">
        <v>0.69869999999999999</v>
      </c>
      <c r="T223" s="28">
        <v>24.32</v>
      </c>
      <c r="U223" s="29">
        <f t="shared" si="92"/>
        <v>0.62760420056204691</v>
      </c>
      <c r="V223" s="28">
        <v>55.37</v>
      </c>
      <c r="W223" s="28">
        <v>263.93</v>
      </c>
      <c r="X223" s="30">
        <v>1056.03</v>
      </c>
      <c r="Y223" s="29">
        <f t="shared" si="93"/>
        <v>36.07806363931811</v>
      </c>
      <c r="Z223" s="29">
        <f t="shared" si="94"/>
        <v>155.6207957402751</v>
      </c>
      <c r="AA223" s="29">
        <f t="shared" si="95"/>
        <v>92.836269000000001</v>
      </c>
      <c r="AB223" s="29">
        <f t="shared" si="96"/>
        <v>362.80080461470192</v>
      </c>
      <c r="AC223" s="29">
        <f t="shared" si="97"/>
        <v>8.5455800424000401</v>
      </c>
      <c r="AD223" s="29">
        <f t="shared" si="98"/>
        <v>22.593834048217715</v>
      </c>
      <c r="AF223">
        <f t="shared" si="99"/>
        <v>-4.110152075625928E-4</v>
      </c>
      <c r="AG223">
        <f t="shared" si="100"/>
        <v>3.6574409623949533E-2</v>
      </c>
      <c r="AH223">
        <f t="shared" si="101"/>
        <v>1.6709511568123281E-2</v>
      </c>
      <c r="AI223">
        <f t="shared" si="102"/>
        <v>5.0647372429550863E-3</v>
      </c>
      <c r="AJ223">
        <f t="shared" si="103"/>
        <v>-1.4759527919018467E-2</v>
      </c>
      <c r="AK223">
        <f t="shared" si="104"/>
        <v>1.9008470163784486E-2</v>
      </c>
      <c r="AL223">
        <f t="shared" si="105"/>
        <v>7.6889144996135084E-3</v>
      </c>
      <c r="AM223">
        <f t="shared" si="106"/>
        <v>2.0443512422431587E-2</v>
      </c>
      <c r="AN223">
        <f t="shared" si="107"/>
        <v>1.3538379301307302E-2</v>
      </c>
      <c r="AO223">
        <f t="shared" si="108"/>
        <v>1.6787840503096341E-2</v>
      </c>
      <c r="AP223">
        <f t="shared" si="109"/>
        <v>-9.7804325672470327E-3</v>
      </c>
    </row>
    <row r="224" spans="3:42" x14ac:dyDescent="0.3">
      <c r="C224" s="1">
        <v>24.32</v>
      </c>
      <c r="D224" s="1">
        <v>4.32</v>
      </c>
      <c r="E224" s="1">
        <v>55.42</v>
      </c>
      <c r="F224" s="1">
        <v>269.62</v>
      </c>
      <c r="G224" s="17">
        <v>1062.54</v>
      </c>
      <c r="H224" s="1">
        <v>34.340000000000003</v>
      </c>
      <c r="I224" s="1">
        <v>140.55000000000001</v>
      </c>
      <c r="J224" s="1">
        <v>133.69999999999999</v>
      </c>
      <c r="K224" s="1">
        <v>328.9</v>
      </c>
      <c r="L224" s="1">
        <v>172.33</v>
      </c>
      <c r="M224" s="1">
        <v>21.47</v>
      </c>
      <c r="O224" s="1">
        <v>20.261700000000001</v>
      </c>
      <c r="P224" s="1">
        <v>1.0462991752913131</v>
      </c>
      <c r="Q224" s="1">
        <v>0.13733299772477137</v>
      </c>
      <c r="R224" s="1">
        <v>0.69889999999999997</v>
      </c>
      <c r="T224" s="28">
        <v>24.32</v>
      </c>
      <c r="U224" s="29">
        <f t="shared" si="92"/>
        <v>0.59327855017101239</v>
      </c>
      <c r="V224" s="28">
        <v>55.42</v>
      </c>
      <c r="W224" s="28">
        <v>269.62</v>
      </c>
      <c r="X224" s="30">
        <v>1062.54</v>
      </c>
      <c r="Y224" s="29">
        <f t="shared" si="93"/>
        <v>35.986654045259577</v>
      </c>
      <c r="Z224" s="29">
        <f t="shared" si="94"/>
        <v>147.05734908719407</v>
      </c>
      <c r="AA224" s="29">
        <f t="shared" si="95"/>
        <v>93.44292999999999</v>
      </c>
      <c r="AB224" s="29">
        <f t="shared" si="96"/>
        <v>344.12779875331285</v>
      </c>
      <c r="AC224" s="29">
        <f t="shared" si="97"/>
        <v>8.5052093358405276</v>
      </c>
      <c r="AD224" s="29">
        <f t="shared" si="98"/>
        <v>22.464043293504492</v>
      </c>
      <c r="AF224">
        <f t="shared" si="99"/>
        <v>0</v>
      </c>
      <c r="AG224">
        <f t="shared" si="100"/>
        <v>-5.469314953643456E-2</v>
      </c>
      <c r="AH224">
        <f t="shared" si="101"/>
        <v>9.0301607368625803E-4</v>
      </c>
      <c r="AI224">
        <f t="shared" si="102"/>
        <v>2.15587466373659E-2</v>
      </c>
      <c r="AJ224">
        <f t="shared" si="103"/>
        <v>6.1645975966591049E-3</v>
      </c>
      <c r="AK224">
        <f t="shared" si="104"/>
        <v>-2.533661312103086E-3</v>
      </c>
      <c r="AL224">
        <f t="shared" si="105"/>
        <v>-5.5027649822412483E-2</v>
      </c>
      <c r="AM224">
        <f t="shared" si="106"/>
        <v>6.5347412873733024E-3</v>
      </c>
      <c r="AN224">
        <f t="shared" si="107"/>
        <v>-5.1469031005099364E-2</v>
      </c>
      <c r="AO224">
        <f t="shared" si="108"/>
        <v>-4.7241622405042039E-3</v>
      </c>
      <c r="AP224">
        <f t="shared" si="109"/>
        <v>-5.7445210244634337E-3</v>
      </c>
    </row>
    <row r="225" spans="3:42" x14ac:dyDescent="0.3">
      <c r="C225" s="1">
        <v>24.35</v>
      </c>
      <c r="D225" s="1">
        <v>4.34</v>
      </c>
      <c r="E225" s="1">
        <v>55.44</v>
      </c>
      <c r="F225" s="1">
        <v>267.67</v>
      </c>
      <c r="G225" s="17">
        <v>1034.83</v>
      </c>
      <c r="H225" s="1">
        <v>34.25</v>
      </c>
      <c r="I225" s="1">
        <v>137.25</v>
      </c>
      <c r="J225" s="1">
        <v>129.25</v>
      </c>
      <c r="K225" s="1">
        <v>313.60000000000002</v>
      </c>
      <c r="L225" s="1">
        <v>172.75</v>
      </c>
      <c r="M225" s="1">
        <v>21.39</v>
      </c>
      <c r="O225" s="1">
        <v>20.4208</v>
      </c>
      <c r="P225" s="1">
        <v>1.0423000078351485</v>
      </c>
      <c r="Q225" s="1">
        <v>0.13714937710569616</v>
      </c>
      <c r="R225" s="1">
        <v>0.69950000000000001</v>
      </c>
      <c r="T225" s="28">
        <v>24.35</v>
      </c>
      <c r="U225" s="29">
        <f t="shared" si="92"/>
        <v>0.59522829663872134</v>
      </c>
      <c r="V225" s="28">
        <v>55.44</v>
      </c>
      <c r="W225" s="28">
        <v>267.67</v>
      </c>
      <c r="X225" s="30">
        <v>1034.83</v>
      </c>
      <c r="Y225" s="29">
        <f t="shared" si="93"/>
        <v>35.835746753727477</v>
      </c>
      <c r="Z225" s="29">
        <f t="shared" si="94"/>
        <v>143.05567607537412</v>
      </c>
      <c r="AA225" s="29">
        <f t="shared" si="95"/>
        <v>90.410375000000002</v>
      </c>
      <c r="AB225" s="29">
        <f t="shared" si="96"/>
        <v>326.86528245710258</v>
      </c>
      <c r="AC225" s="29">
        <f t="shared" si="97"/>
        <v>8.4595118702499406</v>
      </c>
      <c r="AD225" s="29">
        <f t="shared" si="98"/>
        <v>22.294797167593828</v>
      </c>
      <c r="AF225">
        <f t="shared" si="99"/>
        <v>1.2335526315789824E-3</v>
      </c>
      <c r="AG225">
        <f t="shared" si="100"/>
        <v>3.286392988836262E-3</v>
      </c>
      <c r="AH225">
        <f t="shared" si="101"/>
        <v>3.6088054853844476E-4</v>
      </c>
      <c r="AI225">
        <f t="shared" si="102"/>
        <v>-7.232401157184154E-3</v>
      </c>
      <c r="AJ225">
        <f t="shared" si="103"/>
        <v>-2.6079018201667692E-2</v>
      </c>
      <c r="AK225">
        <f t="shared" si="104"/>
        <v>-4.1934237993426215E-3</v>
      </c>
      <c r="AL225">
        <f t="shared" si="105"/>
        <v>-2.7211649310006636E-2</v>
      </c>
      <c r="AM225">
        <f t="shared" si="106"/>
        <v>-3.2453552130696117E-2</v>
      </c>
      <c r="AN225">
        <f t="shared" si="107"/>
        <v>-5.0163097427025516E-2</v>
      </c>
      <c r="AO225">
        <f t="shared" si="108"/>
        <v>-5.3728795831068377E-3</v>
      </c>
      <c r="AP225">
        <f t="shared" si="109"/>
        <v>-7.5340900878517747E-3</v>
      </c>
    </row>
    <row r="226" spans="3:42" x14ac:dyDescent="0.3">
      <c r="C226" s="1">
        <v>24.32</v>
      </c>
      <c r="D226" s="1">
        <v>4.41</v>
      </c>
      <c r="E226" s="1">
        <v>55.39</v>
      </c>
      <c r="F226" s="1">
        <v>266.19</v>
      </c>
      <c r="G226" s="17">
        <v>1035.03</v>
      </c>
      <c r="H226" s="1">
        <v>34.520000000000003</v>
      </c>
      <c r="I226" s="1">
        <v>138.25</v>
      </c>
      <c r="J226" s="1">
        <v>127.12</v>
      </c>
      <c r="K226" s="1">
        <v>305.5</v>
      </c>
      <c r="L226" s="1">
        <v>172.1</v>
      </c>
      <c r="M226" s="1">
        <v>21.52</v>
      </c>
      <c r="O226" s="1">
        <v>20.3733</v>
      </c>
      <c r="P226" s="1">
        <v>1.043802427687218</v>
      </c>
      <c r="Q226" s="1">
        <v>0.13769983262407171</v>
      </c>
      <c r="R226" s="1">
        <v>0.69850000000000001</v>
      </c>
      <c r="T226" s="28">
        <v>24.32</v>
      </c>
      <c r="U226" s="29">
        <f t="shared" si="92"/>
        <v>0.6072562618721562</v>
      </c>
      <c r="V226" s="28">
        <v>55.39</v>
      </c>
      <c r="W226" s="28">
        <v>266.19</v>
      </c>
      <c r="X226" s="30">
        <v>1035.03</v>
      </c>
      <c r="Y226" s="29">
        <f t="shared" si="93"/>
        <v>35.980196270469328</v>
      </c>
      <c r="Z226" s="29">
        <f t="shared" si="94"/>
        <v>144.3056856277579</v>
      </c>
      <c r="AA226" s="29">
        <f t="shared" si="95"/>
        <v>88.793320000000008</v>
      </c>
      <c r="AB226" s="29">
        <f t="shared" si="96"/>
        <v>318.88164165844512</v>
      </c>
      <c r="AC226" s="29">
        <f t="shared" si="97"/>
        <v>8.4473305748209668</v>
      </c>
      <c r="AD226" s="29">
        <f t="shared" si="98"/>
        <v>22.462628243828931</v>
      </c>
      <c r="AF226">
        <f t="shared" si="99"/>
        <v>-1.2320328542094749E-3</v>
      </c>
      <c r="AG226">
        <f t="shared" si="100"/>
        <v>2.0207314237843388E-2</v>
      </c>
      <c r="AH226">
        <f t="shared" si="101"/>
        <v>-9.0187590187584821E-4</v>
      </c>
      <c r="AI226">
        <f t="shared" si="102"/>
        <v>-5.5291963985505399E-3</v>
      </c>
      <c r="AJ226">
        <f t="shared" si="103"/>
        <v>1.9326845955380811E-4</v>
      </c>
      <c r="AK226">
        <f t="shared" si="104"/>
        <v>4.0308778196962436E-3</v>
      </c>
      <c r="AL226">
        <f t="shared" si="105"/>
        <v>8.7379234901883152E-3</v>
      </c>
      <c r="AM226">
        <f t="shared" si="106"/>
        <v>-1.7885723845299739E-2</v>
      </c>
      <c r="AN226">
        <f t="shared" si="107"/>
        <v>-2.4424866228199726E-2</v>
      </c>
      <c r="AO226">
        <f t="shared" si="108"/>
        <v>-1.4399525192242413E-3</v>
      </c>
      <c r="AP226">
        <f t="shared" si="109"/>
        <v>7.527813551004181E-3</v>
      </c>
    </row>
    <row r="227" spans="3:42" x14ac:dyDescent="0.3">
      <c r="C227" s="1">
        <v>24.3</v>
      </c>
      <c r="D227" s="1">
        <v>4.38</v>
      </c>
      <c r="E227" s="1">
        <v>55.68</v>
      </c>
      <c r="F227" s="1">
        <v>272.63</v>
      </c>
      <c r="G227" s="17">
        <v>1035.5999999999999</v>
      </c>
      <c r="H227" s="1">
        <v>34.659999999999997</v>
      </c>
      <c r="I227" s="1">
        <v>136.85</v>
      </c>
      <c r="J227" s="1">
        <v>132.91</v>
      </c>
      <c r="K227" s="1">
        <v>307.7</v>
      </c>
      <c r="L227" s="1">
        <v>180.78</v>
      </c>
      <c r="M227" s="1">
        <v>21.51</v>
      </c>
      <c r="O227" s="1">
        <v>20.344799999999999</v>
      </c>
      <c r="P227" s="1">
        <v>1.0469997247453895</v>
      </c>
      <c r="Q227" s="1">
        <v>0.13784357673705319</v>
      </c>
      <c r="R227" s="1">
        <v>0.69979999999999998</v>
      </c>
      <c r="T227" s="28">
        <v>24.3</v>
      </c>
      <c r="U227" s="29">
        <f t="shared" si="92"/>
        <v>0.60375486610829299</v>
      </c>
      <c r="V227" s="28">
        <v>55.68</v>
      </c>
      <c r="W227" s="28">
        <v>272.63</v>
      </c>
      <c r="X227" s="30">
        <v>1035.5999999999999</v>
      </c>
      <c r="Y227" s="29">
        <f t="shared" si="93"/>
        <v>36.178192143638974</v>
      </c>
      <c r="Z227" s="29">
        <f t="shared" si="94"/>
        <v>143.28191233140655</v>
      </c>
      <c r="AA227" s="29">
        <f t="shared" si="95"/>
        <v>93.010418000000001</v>
      </c>
      <c r="AB227" s="29">
        <f t="shared" si="96"/>
        <v>322.16181530415633</v>
      </c>
      <c r="AC227" s="29">
        <f t="shared" si="97"/>
        <v>8.8858086587236063</v>
      </c>
      <c r="AD227" s="29">
        <f t="shared" si="98"/>
        <v>22.52096407927333</v>
      </c>
      <c r="AF227">
        <f t="shared" si="99"/>
        <v>-8.2236842105265495E-4</v>
      </c>
      <c r="AG227">
        <f t="shared" si="100"/>
        <v>-5.7659278029813521E-3</v>
      </c>
      <c r="AH227">
        <f t="shared" si="101"/>
        <v>5.2356020942407877E-3</v>
      </c>
      <c r="AI227">
        <f t="shared" si="102"/>
        <v>2.4193245426199272E-2</v>
      </c>
      <c r="AJ227">
        <f t="shared" si="103"/>
        <v>5.5070867511086696E-4</v>
      </c>
      <c r="AK227">
        <f t="shared" si="104"/>
        <v>5.5029125378103227E-3</v>
      </c>
      <c r="AL227">
        <f t="shared" si="105"/>
        <v>-7.0944765058822412E-3</v>
      </c>
      <c r="AM227">
        <f t="shared" si="106"/>
        <v>4.7493415045185783E-2</v>
      </c>
      <c r="AN227">
        <f t="shared" si="107"/>
        <v>1.028649259534542E-2</v>
      </c>
      <c r="AO227">
        <f t="shared" si="108"/>
        <v>5.1907295449004298E-2</v>
      </c>
      <c r="AP227">
        <f t="shared" si="109"/>
        <v>2.5970173575047273E-3</v>
      </c>
    </row>
    <row r="228" spans="3:42" x14ac:dyDescent="0.3">
      <c r="C228" s="1">
        <v>24.32</v>
      </c>
      <c r="D228" s="1">
        <v>4.4400000000000004</v>
      </c>
      <c r="E228" s="1">
        <v>54.97</v>
      </c>
      <c r="F228" s="1">
        <v>278.52</v>
      </c>
      <c r="G228" s="17">
        <v>1055.6600000000001</v>
      </c>
      <c r="H228" s="1">
        <v>34.979999999999997</v>
      </c>
      <c r="I228" s="1">
        <v>141.75</v>
      </c>
      <c r="J228" s="1">
        <v>129.62</v>
      </c>
      <c r="K228" s="1">
        <v>309</v>
      </c>
      <c r="L228" s="1">
        <v>181.5</v>
      </c>
      <c r="M228" s="1">
        <v>21.45</v>
      </c>
      <c r="O228" s="1">
        <v>20.463999999999999</v>
      </c>
      <c r="P228" s="1">
        <v>1.0469507427677875</v>
      </c>
      <c r="Q228" s="1">
        <v>0.1378811571540266</v>
      </c>
      <c r="R228" s="1">
        <v>0.69889999999999997</v>
      </c>
      <c r="T228" s="28">
        <v>24.32</v>
      </c>
      <c r="U228" s="29">
        <f t="shared" si="92"/>
        <v>0.61219233776387816</v>
      </c>
      <c r="V228" s="28">
        <v>54.97</v>
      </c>
      <c r="W228" s="28">
        <v>278.52</v>
      </c>
      <c r="X228" s="30">
        <v>1055.6600000000001</v>
      </c>
      <c r="Y228" s="29">
        <f t="shared" si="93"/>
        <v>36.624050371593718</v>
      </c>
      <c r="Z228" s="29">
        <f t="shared" si="94"/>
        <v>148.40526778733388</v>
      </c>
      <c r="AA228" s="29">
        <f t="shared" si="95"/>
        <v>90.591418000000004</v>
      </c>
      <c r="AB228" s="29">
        <f t="shared" si="96"/>
        <v>323.50777951524634</v>
      </c>
      <c r="AC228" s="29">
        <f t="shared" si="97"/>
        <v>8.8692337763878033</v>
      </c>
      <c r="AD228" s="29">
        <f t="shared" si="98"/>
        <v>22.457093432369042</v>
      </c>
      <c r="AF228">
        <f t="shared" si="99"/>
        <v>8.230452674897748E-4</v>
      </c>
      <c r="AG228">
        <f t="shared" si="100"/>
        <v>1.3974995696468318E-2</v>
      </c>
      <c r="AH228">
        <f t="shared" si="101"/>
        <v>-1.2751436781609171E-2</v>
      </c>
      <c r="AI228">
        <f t="shared" si="102"/>
        <v>2.1604372226093904E-2</v>
      </c>
      <c r="AJ228">
        <f t="shared" si="103"/>
        <v>1.9370413286983634E-2</v>
      </c>
      <c r="AK228">
        <f t="shared" si="104"/>
        <v>1.2323949913930043E-2</v>
      </c>
      <c r="AL228">
        <f t="shared" si="105"/>
        <v>3.5757168316383092E-2</v>
      </c>
      <c r="AM228">
        <f t="shared" si="106"/>
        <v>-2.6007839250867582E-2</v>
      </c>
      <c r="AN228">
        <f t="shared" si="107"/>
        <v>4.1779135426687208E-3</v>
      </c>
      <c r="AO228">
        <f t="shared" si="108"/>
        <v>-1.8653206446810344E-3</v>
      </c>
      <c r="AP228">
        <f t="shared" si="109"/>
        <v>-2.8360529628955744E-3</v>
      </c>
    </row>
    <row r="229" spans="3:42" x14ac:dyDescent="0.3">
      <c r="C229" s="1">
        <v>24.33</v>
      </c>
      <c r="D229" s="1">
        <v>4.37</v>
      </c>
      <c r="E229" s="1">
        <v>55.04</v>
      </c>
      <c r="F229" s="1">
        <v>273.43</v>
      </c>
      <c r="G229" s="17">
        <v>1031.97</v>
      </c>
      <c r="H229" s="1">
        <v>33.840000000000003</v>
      </c>
      <c r="I229" s="1">
        <v>146.75</v>
      </c>
      <c r="J229" s="1">
        <v>131.99</v>
      </c>
      <c r="K229" s="1">
        <v>319.10000000000002</v>
      </c>
      <c r="L229" s="1">
        <v>179.29</v>
      </c>
      <c r="M229" s="1">
        <v>21.65</v>
      </c>
      <c r="O229" s="1">
        <v>20.468299999999999</v>
      </c>
      <c r="P229" s="1">
        <v>1.0489488623872036</v>
      </c>
      <c r="Q229" s="1">
        <v>0.13768608042680633</v>
      </c>
      <c r="R229" s="1">
        <v>0.7046</v>
      </c>
      <c r="T229" s="28">
        <v>24.33</v>
      </c>
      <c r="U229" s="29">
        <f t="shared" si="92"/>
        <v>0.60168817146514364</v>
      </c>
      <c r="V229" s="28">
        <v>55.04</v>
      </c>
      <c r="W229" s="28">
        <v>273.43</v>
      </c>
      <c r="X229" s="30">
        <v>1031.97</v>
      </c>
      <c r="Y229" s="29">
        <f t="shared" si="93"/>
        <v>35.428813135261933</v>
      </c>
      <c r="Z229" s="29">
        <f t="shared" si="94"/>
        <v>153.93324555532215</v>
      </c>
      <c r="AA229" s="29">
        <f t="shared" si="95"/>
        <v>93.000154000000009</v>
      </c>
      <c r="AB229" s="29">
        <f t="shared" si="96"/>
        <v>334.71958198775673</v>
      </c>
      <c r="AC229" s="29">
        <f t="shared" si="97"/>
        <v>8.7593986799099088</v>
      </c>
      <c r="AD229" s="29">
        <f t="shared" si="98"/>
        <v>22.709742870682959</v>
      </c>
      <c r="AF229">
        <f t="shared" si="99"/>
        <v>4.1118421052632748E-4</v>
      </c>
      <c r="AG229">
        <f t="shared" si="100"/>
        <v>-1.7158277963919888E-2</v>
      </c>
      <c r="AH229">
        <f t="shared" si="101"/>
        <v>1.2734218664727237E-3</v>
      </c>
      <c r="AI229">
        <f t="shared" si="102"/>
        <v>-1.8275168749102289E-2</v>
      </c>
      <c r="AJ229">
        <f t="shared" si="103"/>
        <v>-2.2440937423033991E-2</v>
      </c>
      <c r="AK229">
        <f t="shared" si="104"/>
        <v>-3.2635309972673943E-2</v>
      </c>
      <c r="AL229">
        <f t="shared" si="105"/>
        <v>3.7249201799965048E-2</v>
      </c>
      <c r="AM229">
        <f t="shared" si="106"/>
        <v>2.658900868512748E-2</v>
      </c>
      <c r="AN229">
        <f t="shared" si="107"/>
        <v>3.4656979468346893E-2</v>
      </c>
      <c r="AO229">
        <f t="shared" si="108"/>
        <v>-1.2383831483876784E-2</v>
      </c>
      <c r="AP229">
        <f t="shared" si="109"/>
        <v>1.1250317814938349E-2</v>
      </c>
    </row>
    <row r="230" spans="3:42" x14ac:dyDescent="0.3">
      <c r="C230" s="1">
        <v>24.31</v>
      </c>
      <c r="D230" s="1">
        <v>4.42</v>
      </c>
      <c r="E230" s="1">
        <v>54.2</v>
      </c>
      <c r="F230" s="1">
        <v>278.77</v>
      </c>
      <c r="G230" s="17">
        <v>1021.71</v>
      </c>
      <c r="H230" s="1">
        <v>34.42</v>
      </c>
      <c r="I230" s="1">
        <v>143.19999999999999</v>
      </c>
      <c r="J230" s="1">
        <v>136.5</v>
      </c>
      <c r="K230" s="1">
        <v>323.60000000000002</v>
      </c>
      <c r="L230" s="1">
        <v>177.14</v>
      </c>
      <c r="M230" s="1">
        <v>21.89</v>
      </c>
      <c r="O230" s="1">
        <v>20.427700000000002</v>
      </c>
      <c r="P230" s="1">
        <v>1.0490510434361184</v>
      </c>
      <c r="Q230" s="1">
        <v>0.13768559358126464</v>
      </c>
      <c r="R230" s="1">
        <v>0.70479999999999998</v>
      </c>
      <c r="T230" s="28">
        <v>24.31</v>
      </c>
      <c r="U230" s="29">
        <f t="shared" si="92"/>
        <v>0.60857032362918972</v>
      </c>
      <c r="V230" s="28">
        <v>54.2</v>
      </c>
      <c r="W230" s="28">
        <v>278.77</v>
      </c>
      <c r="X230" s="30">
        <v>1021.71</v>
      </c>
      <c r="Y230" s="29">
        <f t="shared" si="93"/>
        <v>36.104819843367551</v>
      </c>
      <c r="Z230" s="29">
        <f t="shared" si="94"/>
        <v>150.22410942005214</v>
      </c>
      <c r="AA230" s="29">
        <f t="shared" si="95"/>
        <v>96.205199999999991</v>
      </c>
      <c r="AB230" s="29">
        <f t="shared" si="96"/>
        <v>339.47291765592797</v>
      </c>
      <c r="AC230" s="29">
        <f t="shared" si="97"/>
        <v>8.6715587168403676</v>
      </c>
      <c r="AD230" s="29">
        <f t="shared" si="98"/>
        <v>22.963727340816632</v>
      </c>
      <c r="AF230">
        <f t="shared" si="99"/>
        <v>-8.2203041512529662E-4</v>
      </c>
      <c r="AG230">
        <f t="shared" si="100"/>
        <v>1.1438071230962743E-2</v>
      </c>
      <c r="AH230">
        <f t="shared" si="101"/>
        <v>-1.5261627906976716E-2</v>
      </c>
      <c r="AI230">
        <f t="shared" si="102"/>
        <v>1.9529678528325212E-2</v>
      </c>
      <c r="AJ230">
        <f t="shared" si="103"/>
        <v>-9.9421494810895128E-3</v>
      </c>
      <c r="AK230">
        <f t="shared" si="104"/>
        <v>1.90807043274277E-2</v>
      </c>
      <c r="AL230">
        <f t="shared" si="105"/>
        <v>-2.4095744372108152E-2</v>
      </c>
      <c r="AM230">
        <f t="shared" si="106"/>
        <v>3.4462803147616183E-2</v>
      </c>
      <c r="AN230">
        <f t="shared" si="107"/>
        <v>1.4200948865743745E-2</v>
      </c>
      <c r="AO230">
        <f t="shared" si="108"/>
        <v>-1.0028081410543233E-2</v>
      </c>
      <c r="AP230">
        <f t="shared" si="109"/>
        <v>1.1183943014236197E-2</v>
      </c>
    </row>
    <row r="231" spans="3:42" x14ac:dyDescent="0.3">
      <c r="C231" s="1">
        <v>24.29</v>
      </c>
      <c r="D231" s="1">
        <v>4.8600000000000003</v>
      </c>
      <c r="E231" s="1">
        <v>53.87</v>
      </c>
      <c r="F231" s="1">
        <v>282</v>
      </c>
      <c r="G231" s="17">
        <v>1048.6099999999999</v>
      </c>
      <c r="H231" s="1">
        <v>34.75</v>
      </c>
      <c r="I231" s="1">
        <v>145.19999999999999</v>
      </c>
      <c r="J231" s="1">
        <v>135.71</v>
      </c>
      <c r="K231" s="1">
        <v>334</v>
      </c>
      <c r="L231" s="1">
        <v>182.13</v>
      </c>
      <c r="M231" s="1">
        <v>22.07</v>
      </c>
      <c r="O231" s="1">
        <v>20.472200000000001</v>
      </c>
      <c r="P231" s="1">
        <v>1.0476499838805795</v>
      </c>
      <c r="Q231" s="1">
        <v>0.13748400269633942</v>
      </c>
      <c r="R231" s="1">
        <v>0.70489999999999997</v>
      </c>
      <c r="T231" s="28">
        <v>24.29</v>
      </c>
      <c r="U231" s="29">
        <f t="shared" si="92"/>
        <v>0.66817225310420969</v>
      </c>
      <c r="V231" s="28">
        <v>53.87</v>
      </c>
      <c r="W231" s="28">
        <v>282</v>
      </c>
      <c r="X231" s="30">
        <v>1048.6099999999999</v>
      </c>
      <c r="Y231" s="29">
        <f t="shared" si="93"/>
        <v>36.454523759405113</v>
      </c>
      <c r="Z231" s="29">
        <f t="shared" si="94"/>
        <v>152.11877765946014</v>
      </c>
      <c r="AA231" s="29">
        <f t="shared" si="95"/>
        <v>95.661979000000002</v>
      </c>
      <c r="AB231" s="29">
        <f t="shared" si="96"/>
        <v>349.91509461611355</v>
      </c>
      <c r="AC231" s="29">
        <f t="shared" si="97"/>
        <v>8.896454704428443</v>
      </c>
      <c r="AD231" s="29">
        <f t="shared" si="98"/>
        <v>23.12163514424439</v>
      </c>
      <c r="AF231">
        <f t="shared" si="99"/>
        <v>-8.2270670505968369E-4</v>
      </c>
      <c r="AG231">
        <f t="shared" si="100"/>
        <v>9.7937620618083532E-2</v>
      </c>
      <c r="AH231">
        <f t="shared" si="101"/>
        <v>-6.0885608856089402E-3</v>
      </c>
      <c r="AI231">
        <f t="shared" si="102"/>
        <v>1.1586612619722381E-2</v>
      </c>
      <c r="AJ231">
        <f t="shared" si="103"/>
        <v>2.6328410214248477E-2</v>
      </c>
      <c r="AK231">
        <f t="shared" si="104"/>
        <v>9.6857959007874417E-3</v>
      </c>
      <c r="AL231">
        <f t="shared" si="105"/>
        <v>1.2612278060575299E-2</v>
      </c>
      <c r="AM231">
        <f t="shared" si="106"/>
        <v>-5.6464827265052531E-3</v>
      </c>
      <c r="AN231">
        <f t="shared" si="107"/>
        <v>3.0759970581126561E-2</v>
      </c>
      <c r="AO231">
        <f t="shared" si="108"/>
        <v>2.5934897627034603E-2</v>
      </c>
      <c r="AP231">
        <f t="shared" si="109"/>
        <v>6.8764012515984962E-3</v>
      </c>
    </row>
    <row r="232" spans="3:42" x14ac:dyDescent="0.3">
      <c r="C232" s="1">
        <v>24.24</v>
      </c>
      <c r="D232" s="1">
        <v>4.91</v>
      </c>
      <c r="E232" s="1">
        <v>54.57</v>
      </c>
      <c r="F232" s="1">
        <v>285.08</v>
      </c>
      <c r="G232" s="17">
        <v>1046.8499999999999</v>
      </c>
      <c r="H232" s="1">
        <v>35.85</v>
      </c>
      <c r="I232" s="1">
        <v>149.65</v>
      </c>
      <c r="J232" s="1">
        <v>134.81</v>
      </c>
      <c r="K232" s="1">
        <v>345.5</v>
      </c>
      <c r="L232" s="1">
        <v>183.01</v>
      </c>
      <c r="M232" s="1">
        <v>21.5</v>
      </c>
      <c r="O232" s="1">
        <v>20.507999999999999</v>
      </c>
      <c r="P232" s="1">
        <v>1.0399015018529354</v>
      </c>
      <c r="Q232" s="1">
        <v>0.13723912619465575</v>
      </c>
      <c r="R232" s="1">
        <v>0.70420000000000005</v>
      </c>
      <c r="T232" s="28">
        <v>24.24</v>
      </c>
      <c r="U232" s="29">
        <f t="shared" si="92"/>
        <v>0.6738441096157598</v>
      </c>
      <c r="V232" s="28">
        <v>54.57</v>
      </c>
      <c r="W232" s="28">
        <v>285.08</v>
      </c>
      <c r="X232" s="30">
        <v>1046.8499999999999</v>
      </c>
      <c r="Y232" s="29">
        <f t="shared" si="93"/>
        <v>37.558251922118778</v>
      </c>
      <c r="Z232" s="29">
        <f t="shared" si="94"/>
        <v>155.62125975229179</v>
      </c>
      <c r="AA232" s="29">
        <f t="shared" si="95"/>
        <v>94.933202000000009</v>
      </c>
      <c r="AB232" s="29">
        <f t="shared" si="96"/>
        <v>359.28596889018917</v>
      </c>
      <c r="AC232" s="29">
        <f t="shared" si="97"/>
        <v>8.923834601131265</v>
      </c>
      <c r="AD232" s="29">
        <f t="shared" si="98"/>
        <v>22.357882289838113</v>
      </c>
      <c r="AF232">
        <f t="shared" si="99"/>
        <v>-2.0584602717167444E-3</v>
      </c>
      <c r="AG232">
        <f t="shared" si="100"/>
        <v>8.4886142535844922E-3</v>
      </c>
      <c r="AH232">
        <f t="shared" si="101"/>
        <v>1.2994245405606231E-2</v>
      </c>
      <c r="AI232">
        <f t="shared" si="102"/>
        <v>1.0921985815602886E-2</v>
      </c>
      <c r="AJ232">
        <f t="shared" si="103"/>
        <v>-1.6784123744766344E-3</v>
      </c>
      <c r="AK232">
        <f t="shared" si="104"/>
        <v>3.0276850412259471E-2</v>
      </c>
      <c r="AL232">
        <f t="shared" si="105"/>
        <v>2.3024653147506013E-2</v>
      </c>
      <c r="AM232">
        <f t="shared" si="106"/>
        <v>-7.6182513430962384E-3</v>
      </c>
      <c r="AN232">
        <f t="shared" si="107"/>
        <v>2.6780423074792559E-2</v>
      </c>
      <c r="AO232">
        <f t="shared" si="108"/>
        <v>3.0776188507084523E-3</v>
      </c>
      <c r="AP232">
        <f t="shared" si="109"/>
        <v>-3.3031956850871569E-2</v>
      </c>
    </row>
    <row r="233" spans="3:42" x14ac:dyDescent="0.3">
      <c r="C233" s="1">
        <v>24.26</v>
      </c>
      <c r="D233" s="1">
        <v>5.0199999999999996</v>
      </c>
      <c r="E233" s="1">
        <v>55.04</v>
      </c>
      <c r="F233" s="1">
        <v>283.19</v>
      </c>
      <c r="G233" s="17">
        <v>1036.8699999999999</v>
      </c>
      <c r="H233" s="1">
        <v>35.14</v>
      </c>
      <c r="I233" s="1">
        <v>141.80000000000001</v>
      </c>
      <c r="J233" s="1">
        <v>126.62</v>
      </c>
      <c r="K233" s="1">
        <v>338.3</v>
      </c>
      <c r="L233" s="1">
        <v>179.46</v>
      </c>
      <c r="M233" s="1">
        <v>21.43</v>
      </c>
      <c r="O233" s="1">
        <v>20.433299999999999</v>
      </c>
      <c r="P233" s="1">
        <v>1.0455481982841734</v>
      </c>
      <c r="Q233" s="1">
        <v>0.1370263246758967</v>
      </c>
      <c r="R233" s="1">
        <v>0.70240000000000002</v>
      </c>
      <c r="T233" s="28">
        <v>24.26</v>
      </c>
      <c r="U233" s="29">
        <f t="shared" si="92"/>
        <v>0.68787214987300138</v>
      </c>
      <c r="V233" s="28">
        <v>55.04</v>
      </c>
      <c r="W233" s="28">
        <v>283.19</v>
      </c>
      <c r="X233" s="30">
        <v>1036.8699999999999</v>
      </c>
      <c r="Y233" s="29">
        <f t="shared" si="93"/>
        <v>36.54213877511215</v>
      </c>
      <c r="Z233" s="29">
        <f t="shared" si="94"/>
        <v>148.2587345166958</v>
      </c>
      <c r="AA233" s="29">
        <f t="shared" si="95"/>
        <v>88.937888000000001</v>
      </c>
      <c r="AB233" s="29">
        <f t="shared" si="96"/>
        <v>353.70895547953592</v>
      </c>
      <c r="AC233" s="29">
        <f t="shared" si="97"/>
        <v>8.7827223209173262</v>
      </c>
      <c r="AD233" s="29">
        <f t="shared" si="98"/>
        <v>22.406097889229837</v>
      </c>
      <c r="AF233">
        <f t="shared" si="99"/>
        <v>8.2508250825097385E-4</v>
      </c>
      <c r="AG233">
        <f t="shared" si="100"/>
        <v>2.0817931116502209E-2</v>
      </c>
      <c r="AH233">
        <f t="shared" si="101"/>
        <v>8.6127909107567291E-3</v>
      </c>
      <c r="AI233">
        <f t="shared" si="102"/>
        <v>-6.629717973901994E-3</v>
      </c>
      <c r="AJ233">
        <f t="shared" si="103"/>
        <v>-9.5333619907341793E-3</v>
      </c>
      <c r="AK233">
        <f t="shared" si="104"/>
        <v>-2.7054324815586561E-2</v>
      </c>
      <c r="AL233">
        <f t="shared" si="105"/>
        <v>-4.7310536152420313E-2</v>
      </c>
      <c r="AM233">
        <f t="shared" si="106"/>
        <v>-6.3152973603481821E-2</v>
      </c>
      <c r="AN233">
        <f t="shared" si="107"/>
        <v>-1.5522491534752381E-2</v>
      </c>
      <c r="AO233">
        <f t="shared" si="108"/>
        <v>-1.5812964551813913E-2</v>
      </c>
      <c r="AP233">
        <f t="shared" si="109"/>
        <v>2.1565369549172431E-3</v>
      </c>
    </row>
    <row r="234" spans="3:42" x14ac:dyDescent="0.3">
      <c r="C234" s="1">
        <v>24.36</v>
      </c>
      <c r="D234" s="1">
        <v>4.84</v>
      </c>
      <c r="E234" s="1">
        <v>55.17</v>
      </c>
      <c r="F234" s="1">
        <v>281.86</v>
      </c>
      <c r="G234" s="17">
        <v>1047.75</v>
      </c>
      <c r="H234" s="1">
        <v>33.94</v>
      </c>
      <c r="I234" s="1">
        <v>166.65</v>
      </c>
      <c r="J234" s="1">
        <v>129.37</v>
      </c>
      <c r="K234" s="1">
        <v>351.4</v>
      </c>
      <c r="L234" s="1">
        <v>182.11</v>
      </c>
      <c r="M234" s="1">
        <v>21.29</v>
      </c>
      <c r="O234" s="1">
        <v>20.851800000000001</v>
      </c>
      <c r="P234" s="1">
        <v>1.0544509346914894</v>
      </c>
      <c r="Q234" s="1">
        <v>0.13766677217314571</v>
      </c>
      <c r="R234" s="1">
        <v>0.70530000000000004</v>
      </c>
      <c r="T234" s="28">
        <v>24.36</v>
      </c>
      <c r="U234" s="29">
        <f t="shared" si="92"/>
        <v>0.66630717731802525</v>
      </c>
      <c r="V234" s="28">
        <v>55.17</v>
      </c>
      <c r="W234" s="28">
        <v>281.86</v>
      </c>
      <c r="X234" s="30">
        <v>1047.75</v>
      </c>
      <c r="Y234" s="29">
        <f t="shared" si="93"/>
        <v>35.485905849764848</v>
      </c>
      <c r="Z234" s="29">
        <f t="shared" si="94"/>
        <v>175.72424826633673</v>
      </c>
      <c r="AA234" s="29">
        <f t="shared" si="95"/>
        <v>91.244661000000008</v>
      </c>
      <c r="AB234" s="29">
        <f t="shared" si="96"/>
        <v>370.53405845058938</v>
      </c>
      <c r="AC234" s="29">
        <f t="shared" si="97"/>
        <v>8.7335385913925894</v>
      </c>
      <c r="AD234" s="29">
        <f t="shared" si="98"/>
        <v>22.44926039958181</v>
      </c>
      <c r="AF234">
        <f t="shared" si="99"/>
        <v>4.1220115416322756E-3</v>
      </c>
      <c r="AG234">
        <f t="shared" si="100"/>
        <v>-3.1350262630864711E-2</v>
      </c>
      <c r="AH234">
        <f t="shared" si="101"/>
        <v>2.3619186046512919E-3</v>
      </c>
      <c r="AI234">
        <f t="shared" si="102"/>
        <v>-4.6964935202513658E-3</v>
      </c>
      <c r="AJ234">
        <f t="shared" si="103"/>
        <v>1.049311871304992E-2</v>
      </c>
      <c r="AK234">
        <f t="shared" si="104"/>
        <v>-2.8904518475165841E-2</v>
      </c>
      <c r="AL234">
        <f t="shared" si="105"/>
        <v>0.18525393353163944</v>
      </c>
      <c r="AM234">
        <f t="shared" si="106"/>
        <v>2.5936898793908814E-2</v>
      </c>
      <c r="AN234">
        <f t="shared" si="107"/>
        <v>4.756764766739674E-2</v>
      </c>
      <c r="AO234">
        <f t="shared" si="108"/>
        <v>-5.6000551682704458E-3</v>
      </c>
      <c r="AP234">
        <f t="shared" si="109"/>
        <v>1.9263733723451359E-3</v>
      </c>
    </row>
    <row r="235" spans="3:42" x14ac:dyDescent="0.3">
      <c r="C235" s="1">
        <v>24.39</v>
      </c>
      <c r="D235" s="1">
        <v>4.7300000000000004</v>
      </c>
      <c r="E235" s="1">
        <v>54.87</v>
      </c>
      <c r="F235" s="1">
        <v>281.17</v>
      </c>
      <c r="G235" s="17">
        <v>1026.6199999999999</v>
      </c>
      <c r="H235" s="1">
        <v>33.049999999999997</v>
      </c>
      <c r="I235" s="1">
        <v>169.35</v>
      </c>
      <c r="J235" s="1">
        <v>127.48</v>
      </c>
      <c r="K235" s="1">
        <v>348.8</v>
      </c>
      <c r="L235" s="1">
        <v>178.4</v>
      </c>
      <c r="M235" s="1">
        <v>21.39</v>
      </c>
      <c r="O235" s="1">
        <v>20.389299999999999</v>
      </c>
      <c r="P235" s="1">
        <v>1.0679523083185789</v>
      </c>
      <c r="Q235" s="1">
        <v>0.13766043954427076</v>
      </c>
      <c r="R235" s="1">
        <v>0.70299999999999996</v>
      </c>
      <c r="T235" s="28">
        <v>24.39</v>
      </c>
      <c r="U235" s="29">
        <f t="shared" si="92"/>
        <v>0.65113387904440079</v>
      </c>
      <c r="V235" s="28">
        <v>54.87</v>
      </c>
      <c r="W235" s="28">
        <v>281.17</v>
      </c>
      <c r="X235" s="30">
        <v>1026.6199999999999</v>
      </c>
      <c r="Y235" s="29">
        <f t="shared" si="93"/>
        <v>34.849603391553721</v>
      </c>
      <c r="Z235" s="29">
        <f t="shared" si="94"/>
        <v>180.85772341375133</v>
      </c>
      <c r="AA235" s="29">
        <f t="shared" si="95"/>
        <v>89.618439999999993</v>
      </c>
      <c r="AB235" s="29">
        <f t="shared" si="96"/>
        <v>372.50176514152031</v>
      </c>
      <c r="AC235" s="29">
        <f t="shared" si="97"/>
        <v>8.7496873360046692</v>
      </c>
      <c r="AD235" s="29">
        <f t="shared" si="98"/>
        <v>22.843499874934402</v>
      </c>
      <c r="AF235">
        <f t="shared" si="99"/>
        <v>1.2315270935960854E-3</v>
      </c>
      <c r="AG235">
        <f t="shared" si="100"/>
        <v>-2.2772226969997478E-2</v>
      </c>
      <c r="AH235">
        <f t="shared" si="101"/>
        <v>-5.4377379010333016E-3</v>
      </c>
      <c r="AI235">
        <f t="shared" si="102"/>
        <v>-2.448023841623459E-3</v>
      </c>
      <c r="AJ235">
        <f t="shared" si="103"/>
        <v>-2.0167024576473458E-2</v>
      </c>
      <c r="AK235">
        <f t="shared" si="104"/>
        <v>-1.7931131895153274E-2</v>
      </c>
      <c r="AL235">
        <f t="shared" si="105"/>
        <v>2.9213242896529712E-2</v>
      </c>
      <c r="AM235">
        <f t="shared" si="106"/>
        <v>-1.7822642795505717E-2</v>
      </c>
      <c r="AN235">
        <f t="shared" si="107"/>
        <v>5.3104610657357387E-3</v>
      </c>
      <c r="AO235">
        <f t="shared" si="108"/>
        <v>1.8490494366161236E-3</v>
      </c>
      <c r="AP235">
        <f t="shared" si="109"/>
        <v>1.7561356959445051E-2</v>
      </c>
    </row>
    <row r="236" spans="3:42" x14ac:dyDescent="0.3">
      <c r="C236" s="1">
        <v>24.45</v>
      </c>
      <c r="D236" s="1">
        <v>4.72</v>
      </c>
      <c r="E236" s="1">
        <v>54.91</v>
      </c>
      <c r="F236" s="1">
        <v>279.82</v>
      </c>
      <c r="G236" s="1">
        <v>964.31</v>
      </c>
      <c r="H236" s="1">
        <v>34.07</v>
      </c>
      <c r="I236" s="1">
        <v>166.85</v>
      </c>
      <c r="J236" s="1">
        <v>127.63</v>
      </c>
      <c r="K236" s="1">
        <v>329</v>
      </c>
      <c r="L236" s="1">
        <v>177.01</v>
      </c>
      <c r="M236" s="1">
        <v>21.25</v>
      </c>
      <c r="O236" s="1">
        <v>20.277699999999999</v>
      </c>
      <c r="P236" s="1">
        <v>1.0799498956982301</v>
      </c>
      <c r="Q236" s="1">
        <v>0.13798902242364763</v>
      </c>
      <c r="R236" s="1">
        <v>0.70120000000000005</v>
      </c>
      <c r="T236" s="28">
        <v>24.45</v>
      </c>
      <c r="U236" s="29">
        <f t="shared" si="92"/>
        <v>0.6513081858396168</v>
      </c>
      <c r="V236" s="28">
        <v>54.91</v>
      </c>
      <c r="W236" s="28">
        <v>279.82</v>
      </c>
      <c r="X236" s="28">
        <v>964.31</v>
      </c>
      <c r="Y236" s="29">
        <f t="shared" si="93"/>
        <v>36.385135144413987</v>
      </c>
      <c r="Z236" s="29">
        <f t="shared" si="94"/>
        <v>180.18964009724968</v>
      </c>
      <c r="AA236" s="29">
        <f t="shared" si="95"/>
        <v>89.494156000000004</v>
      </c>
      <c r="AB236" s="29">
        <f t="shared" si="96"/>
        <v>355.30351568471769</v>
      </c>
      <c r="AC236" s="29">
        <f t="shared" si="97"/>
        <v>8.7292937561952293</v>
      </c>
      <c r="AD236" s="29">
        <f t="shared" si="98"/>
        <v>22.948935283587389</v>
      </c>
      <c r="AF236">
        <f t="shared" si="99"/>
        <v>2.4600246002459691E-3</v>
      </c>
      <c r="AG236">
        <f t="shared" si="100"/>
        <v>2.6769732128184565E-4</v>
      </c>
      <c r="AH236">
        <f t="shared" si="101"/>
        <v>7.2899580827412436E-4</v>
      </c>
      <c r="AI236">
        <f t="shared" si="102"/>
        <v>-4.8013657218053396E-3</v>
      </c>
      <c r="AJ236">
        <f t="shared" si="103"/>
        <v>-6.0694317274161746E-2</v>
      </c>
      <c r="AK236">
        <f t="shared" si="104"/>
        <v>4.4061670820403798E-2</v>
      </c>
      <c r="AL236">
        <f t="shared" si="105"/>
        <v>-3.6939717247975734E-3</v>
      </c>
      <c r="AM236">
        <f t="shared" si="106"/>
        <v>-1.3868128032578086E-3</v>
      </c>
      <c r="AN236">
        <f t="shared" si="107"/>
        <v>-4.6169578418691959E-2</v>
      </c>
      <c r="AO236">
        <f t="shared" si="108"/>
        <v>-2.3307781211244771E-3</v>
      </c>
      <c r="AP236">
        <f t="shared" si="109"/>
        <v>4.6155540626537928E-3</v>
      </c>
    </row>
    <row r="237" spans="3:42" x14ac:dyDescent="0.3">
      <c r="C237" s="1">
        <v>24.42</v>
      </c>
      <c r="D237" s="1">
        <v>4.6900000000000004</v>
      </c>
      <c r="E237" s="1">
        <v>54.43</v>
      </c>
      <c r="F237" s="1">
        <v>278.69</v>
      </c>
      <c r="G237" s="1">
        <v>934.41</v>
      </c>
      <c r="H237" s="1">
        <v>34.5</v>
      </c>
      <c r="I237" s="1">
        <v>159.85</v>
      </c>
      <c r="J237" s="1">
        <v>122.02</v>
      </c>
      <c r="K237" s="1">
        <v>308.3</v>
      </c>
      <c r="L237" s="1">
        <v>174.94</v>
      </c>
      <c r="M237" s="1">
        <v>20.96</v>
      </c>
      <c r="O237" s="1">
        <v>20.283000000000001</v>
      </c>
      <c r="P237" s="1">
        <v>1.0849479859981264</v>
      </c>
      <c r="Q237" s="1">
        <v>0.13820440763200709</v>
      </c>
      <c r="R237" s="1">
        <v>0.69850000000000001</v>
      </c>
      <c r="T237" s="28">
        <v>24.42</v>
      </c>
      <c r="U237" s="29">
        <f t="shared" si="92"/>
        <v>0.64817867179411326</v>
      </c>
      <c r="V237" s="28">
        <v>54.43</v>
      </c>
      <c r="W237" s="28">
        <v>278.69</v>
      </c>
      <c r="X237" s="28">
        <v>934.41</v>
      </c>
      <c r="Y237" s="29">
        <f t="shared" si="93"/>
        <v>37.258271401588935</v>
      </c>
      <c r="Z237" s="29">
        <f t="shared" si="94"/>
        <v>173.4289355618005</v>
      </c>
      <c r="AA237" s="29">
        <f t="shared" si="95"/>
        <v>85.230969999999999</v>
      </c>
      <c r="AB237" s="29">
        <f t="shared" si="96"/>
        <v>334.48946408322234</v>
      </c>
      <c r="AC237" s="29">
        <f t="shared" si="97"/>
        <v>8.6249568604249855</v>
      </c>
      <c r="AD237" s="29">
        <f t="shared" si="98"/>
        <v>22.740509786520729</v>
      </c>
      <c r="AF237">
        <f t="shared" si="99"/>
        <v>-1.2269938650305567E-3</v>
      </c>
      <c r="AG237">
        <f t="shared" si="100"/>
        <v>-4.8049665481622039E-3</v>
      </c>
      <c r="AH237">
        <f t="shared" si="101"/>
        <v>-8.7415771262064901E-3</v>
      </c>
      <c r="AI237">
        <f t="shared" si="102"/>
        <v>-4.0383103423629052E-3</v>
      </c>
      <c r="AJ237">
        <f t="shared" si="103"/>
        <v>-3.1006626499777035E-2</v>
      </c>
      <c r="AK237">
        <f t="shared" si="104"/>
        <v>2.3997059615401772E-2</v>
      </c>
      <c r="AL237">
        <f t="shared" si="105"/>
        <v>-3.7519940279587494E-2</v>
      </c>
      <c r="AM237">
        <f t="shared" si="106"/>
        <v>-4.7636473603930085E-2</v>
      </c>
      <c r="AN237">
        <f t="shared" si="107"/>
        <v>-5.8581046014655636E-2</v>
      </c>
      <c r="AO237">
        <f t="shared" si="108"/>
        <v>-1.1952501391787274E-2</v>
      </c>
      <c r="AP237">
        <f t="shared" si="109"/>
        <v>-9.0821423517508659E-3</v>
      </c>
    </row>
    <row r="238" spans="3:42" x14ac:dyDescent="0.3">
      <c r="C238" s="1">
        <v>24.23</v>
      </c>
      <c r="D238" s="1">
        <v>4.72</v>
      </c>
      <c r="E238" s="1">
        <v>55.07</v>
      </c>
      <c r="F238" s="1">
        <v>276.94</v>
      </c>
      <c r="G238" s="1">
        <v>930.49</v>
      </c>
      <c r="H238" s="1">
        <v>33.43</v>
      </c>
      <c r="I238" s="1">
        <v>157.15</v>
      </c>
      <c r="J238" s="1">
        <v>123.85</v>
      </c>
      <c r="K238" s="1">
        <v>317.8</v>
      </c>
      <c r="L238" s="1">
        <v>173.03</v>
      </c>
      <c r="M238" s="1">
        <v>21.4</v>
      </c>
      <c r="O238" s="1">
        <v>20.292200000000001</v>
      </c>
      <c r="P238" s="1">
        <v>1.0851509446979626</v>
      </c>
      <c r="Q238" s="1">
        <v>0.13773765289125869</v>
      </c>
      <c r="R238" s="1">
        <v>0.69740000000000002</v>
      </c>
      <c r="T238" s="28">
        <v>24.23</v>
      </c>
      <c r="U238" s="29">
        <f t="shared" si="92"/>
        <v>0.65012172164674098</v>
      </c>
      <c r="V238" s="28">
        <v>55.07</v>
      </c>
      <c r="W238" s="28">
        <v>276.94</v>
      </c>
      <c r="X238" s="28">
        <v>930.49</v>
      </c>
      <c r="Y238" s="29">
        <f t="shared" si="93"/>
        <v>36.269811171917361</v>
      </c>
      <c r="Z238" s="29">
        <f t="shared" si="94"/>
        <v>170.53147095928483</v>
      </c>
      <c r="AA238" s="29">
        <f t="shared" si="95"/>
        <v>86.372990000000001</v>
      </c>
      <c r="AB238" s="29">
        <f t="shared" si="96"/>
        <v>344.86097022501252</v>
      </c>
      <c r="AC238" s="29">
        <f t="shared" si="97"/>
        <v>8.5269216743379221</v>
      </c>
      <c r="AD238" s="29">
        <f t="shared" si="98"/>
        <v>23.222230216536399</v>
      </c>
      <c r="AF238">
        <f t="shared" si="99"/>
        <v>-7.7805077805078726E-3</v>
      </c>
      <c r="AG238">
        <f t="shared" si="100"/>
        <v>2.9977071711562164E-3</v>
      </c>
      <c r="AH238">
        <f t="shared" si="101"/>
        <v>1.1758221568987759E-2</v>
      </c>
      <c r="AI238">
        <f t="shared" si="102"/>
        <v>-6.2793785209372954E-3</v>
      </c>
      <c r="AJ238">
        <f t="shared" si="103"/>
        <v>-4.1951605826135996E-3</v>
      </c>
      <c r="AK238">
        <f t="shared" si="104"/>
        <v>-2.6529954087709529E-2</v>
      </c>
      <c r="AL238">
        <f t="shared" si="105"/>
        <v>-1.6706927209866773E-2</v>
      </c>
      <c r="AM238">
        <f t="shared" si="106"/>
        <v>1.339912006163968E-2</v>
      </c>
      <c r="AN238">
        <f t="shared" si="107"/>
        <v>3.1006974076796867E-2</v>
      </c>
      <c r="AO238">
        <f t="shared" si="108"/>
        <v>-1.136645523838975E-2</v>
      </c>
      <c r="AP238">
        <f t="shared" si="109"/>
        <v>2.1183361082837582E-2</v>
      </c>
    </row>
    <row r="239" spans="3:42" x14ac:dyDescent="0.3">
      <c r="C239" s="1">
        <v>24.2</v>
      </c>
      <c r="D239" s="1">
        <v>4.66</v>
      </c>
      <c r="E239" s="1">
        <v>55.3</v>
      </c>
      <c r="F239" s="1">
        <v>277.55</v>
      </c>
      <c r="G239" s="1">
        <v>927.08</v>
      </c>
      <c r="H239" s="1">
        <v>33.32</v>
      </c>
      <c r="I239" s="1">
        <v>163.30000000000001</v>
      </c>
      <c r="J239" s="1">
        <v>126.36</v>
      </c>
      <c r="K239" s="1">
        <v>330.3</v>
      </c>
      <c r="L239" s="1">
        <v>174.42</v>
      </c>
      <c r="M239" s="1">
        <v>21.6</v>
      </c>
      <c r="O239" s="1">
        <v>20.338799999999999</v>
      </c>
      <c r="P239" s="1">
        <v>1.0904478140303264</v>
      </c>
      <c r="Q239" s="1">
        <v>0.13819891045686078</v>
      </c>
      <c r="R239" s="1">
        <v>0.69259999999999999</v>
      </c>
      <c r="T239" s="28">
        <v>24.2</v>
      </c>
      <c r="U239" s="29">
        <f t="shared" si="92"/>
        <v>0.6440069227289712</v>
      </c>
      <c r="V239" s="28">
        <v>55.3</v>
      </c>
      <c r="W239" s="28">
        <v>277.55</v>
      </c>
      <c r="X239" s="28">
        <v>927.08</v>
      </c>
      <c r="Y239" s="29">
        <f t="shared" si="93"/>
        <v>36.157229477336116</v>
      </c>
      <c r="Z239" s="29">
        <f t="shared" si="94"/>
        <v>178.07012803115231</v>
      </c>
      <c r="AA239" s="29">
        <f t="shared" si="95"/>
        <v>87.516936000000001</v>
      </c>
      <c r="AB239" s="29">
        <f t="shared" si="96"/>
        <v>360.17491297421685</v>
      </c>
      <c r="AC239" s="29">
        <f t="shared" si="97"/>
        <v>8.5757271815446341</v>
      </c>
      <c r="AD239" s="29">
        <f t="shared" si="98"/>
        <v>23.553672783055053</v>
      </c>
      <c r="AF239">
        <f t="shared" si="99"/>
        <v>-1.2381345439538283E-3</v>
      </c>
      <c r="AG239">
        <f t="shared" si="100"/>
        <v>-9.4056216154124739E-3</v>
      </c>
      <c r="AH239">
        <f t="shared" si="101"/>
        <v>4.1765026330125021E-3</v>
      </c>
      <c r="AI239">
        <f t="shared" si="102"/>
        <v>2.2026431718062955E-3</v>
      </c>
      <c r="AJ239">
        <f t="shared" si="103"/>
        <v>-3.6647357843716533E-3</v>
      </c>
      <c r="AK239">
        <f t="shared" si="104"/>
        <v>-3.1040055336272188E-3</v>
      </c>
      <c r="AL239">
        <f t="shared" si="105"/>
        <v>4.4206837772878593E-2</v>
      </c>
      <c r="AM239">
        <f t="shared" si="106"/>
        <v>1.3244256103673191E-2</v>
      </c>
      <c r="AN239">
        <f t="shared" si="107"/>
        <v>4.440613485258238E-2</v>
      </c>
      <c r="AO239">
        <f t="shared" si="108"/>
        <v>5.7236959679827226E-3</v>
      </c>
      <c r="AP239">
        <f t="shared" si="109"/>
        <v>1.4272641491713145E-2</v>
      </c>
    </row>
    <row r="240" spans="3:42" x14ac:dyDescent="0.3">
      <c r="C240" s="1">
        <v>24.22</v>
      </c>
      <c r="D240" s="1">
        <v>4.6500000000000004</v>
      </c>
      <c r="E240" s="1">
        <v>56.27</v>
      </c>
      <c r="F240" s="1">
        <v>279.39999999999998</v>
      </c>
      <c r="G240" s="1">
        <v>890.62</v>
      </c>
      <c r="H240" s="1">
        <v>33.81</v>
      </c>
      <c r="I240" s="1">
        <v>166.6</v>
      </c>
      <c r="J240" s="1">
        <v>124.25</v>
      </c>
      <c r="K240" s="1">
        <v>322.2</v>
      </c>
      <c r="L240" s="1">
        <v>178.26</v>
      </c>
      <c r="M240" s="1">
        <v>21.93</v>
      </c>
      <c r="O240" s="1">
        <v>20.1828</v>
      </c>
      <c r="P240" s="1">
        <v>1.0900023782626791</v>
      </c>
      <c r="Q240" s="1">
        <v>0.1380284202390154</v>
      </c>
      <c r="R240" s="1">
        <v>0.69130000000000003</v>
      </c>
      <c r="T240" s="28">
        <v>24.22</v>
      </c>
      <c r="U240" s="29">
        <f t="shared" si="92"/>
        <v>0.64183215411142169</v>
      </c>
      <c r="V240" s="28">
        <v>56.27</v>
      </c>
      <c r="W240" s="28">
        <v>279.39999999999998</v>
      </c>
      <c r="X240" s="28">
        <v>890.62</v>
      </c>
      <c r="Y240" s="29">
        <f t="shared" si="93"/>
        <v>36.86804059236534</v>
      </c>
      <c r="Z240" s="29">
        <f t="shared" si="94"/>
        <v>181.59439621856234</v>
      </c>
      <c r="AA240" s="29">
        <f t="shared" si="95"/>
        <v>85.894024999999999</v>
      </c>
      <c r="AB240" s="29">
        <f t="shared" si="96"/>
        <v>351.19876627623518</v>
      </c>
      <c r="AC240" s="29">
        <f t="shared" si="97"/>
        <v>8.8322730245555618</v>
      </c>
      <c r="AD240" s="29">
        <f t="shared" si="98"/>
        <v>23.903752155300552</v>
      </c>
      <c r="AF240">
        <f t="shared" si="99"/>
        <v>8.2644628099171058E-4</v>
      </c>
      <c r="AG240">
        <f t="shared" si="100"/>
        <v>-3.3769336024120911E-3</v>
      </c>
      <c r="AH240">
        <f t="shared" si="101"/>
        <v>1.7540687160940482E-2</v>
      </c>
      <c r="AI240">
        <f t="shared" si="102"/>
        <v>6.6654656818589952E-3</v>
      </c>
      <c r="AJ240">
        <f t="shared" si="103"/>
        <v>-3.9327781852698807E-2</v>
      </c>
      <c r="AK240">
        <f t="shared" si="104"/>
        <v>1.9658893264340671E-2</v>
      </c>
      <c r="AL240">
        <f t="shared" si="105"/>
        <v>1.9791462085058331E-2</v>
      </c>
      <c r="AM240">
        <f t="shared" si="106"/>
        <v>-1.8543965021810216E-2</v>
      </c>
      <c r="AN240">
        <f t="shared" si="107"/>
        <v>-2.4921632169934704E-2</v>
      </c>
      <c r="AO240">
        <f t="shared" si="108"/>
        <v>2.9915345670397109E-2</v>
      </c>
      <c r="AP240">
        <f t="shared" si="109"/>
        <v>1.4863048131387613E-2</v>
      </c>
    </row>
    <row r="241" spans="3:42" x14ac:dyDescent="0.3">
      <c r="C241" s="1">
        <v>24.19</v>
      </c>
      <c r="D241" s="1">
        <v>4.53</v>
      </c>
      <c r="E241" s="1">
        <v>56.29</v>
      </c>
      <c r="F241" s="1">
        <v>283.69</v>
      </c>
      <c r="G241" s="1">
        <v>903.92</v>
      </c>
      <c r="H241" s="1">
        <v>33.700000000000003</v>
      </c>
      <c r="I241" s="1">
        <v>172.85</v>
      </c>
      <c r="J241" s="1">
        <v>128.32</v>
      </c>
      <c r="K241" s="1">
        <v>331.9</v>
      </c>
      <c r="L241" s="1">
        <v>176.49</v>
      </c>
      <c r="M241" s="1">
        <v>21.81</v>
      </c>
      <c r="O241" s="1">
        <v>20.084800000000001</v>
      </c>
      <c r="P241" s="1">
        <v>1.0855522584242809</v>
      </c>
      <c r="Q241" s="1">
        <v>0.13795507050107542</v>
      </c>
      <c r="R241" s="1">
        <v>0.69040000000000001</v>
      </c>
      <c r="T241" s="28">
        <v>24.19</v>
      </c>
      <c r="U241" s="29">
        <f t="shared" si="92"/>
        <v>0.62493646936987168</v>
      </c>
      <c r="V241" s="28">
        <v>56.29</v>
      </c>
      <c r="W241" s="28">
        <v>283.69</v>
      </c>
      <c r="X241" s="28">
        <v>903.92</v>
      </c>
      <c r="Y241" s="29">
        <f t="shared" si="93"/>
        <v>36.733080147452291</v>
      </c>
      <c r="Z241" s="29">
        <f t="shared" si="94"/>
        <v>187.63770786863697</v>
      </c>
      <c r="AA241" s="29">
        <f t="shared" si="95"/>
        <v>88.592128000000002</v>
      </c>
      <c r="AB241" s="29">
        <f t="shared" si="96"/>
        <v>360.29479457101883</v>
      </c>
      <c r="AC241" s="29">
        <f t="shared" si="97"/>
        <v>8.7872420935234601</v>
      </c>
      <c r="AD241" s="29">
        <f t="shared" si="98"/>
        <v>23.675894756233564</v>
      </c>
      <c r="AF241">
        <f t="shared" si="99"/>
        <v>-1.2386457473161361E-3</v>
      </c>
      <c r="AG241">
        <f t="shared" si="100"/>
        <v>-2.6324148195630781E-2</v>
      </c>
      <c r="AH241">
        <f t="shared" si="101"/>
        <v>3.5542918073572238E-4</v>
      </c>
      <c r="AI241">
        <f t="shared" si="102"/>
        <v>1.5354330708661434E-2</v>
      </c>
      <c r="AJ241">
        <f t="shared" si="103"/>
        <v>1.4933417170061247E-2</v>
      </c>
      <c r="AK241">
        <f t="shared" si="104"/>
        <v>-3.6606351393948522E-3</v>
      </c>
      <c r="AL241">
        <f t="shared" si="105"/>
        <v>3.3279174775861842E-2</v>
      </c>
      <c r="AM241">
        <f t="shared" si="106"/>
        <v>3.1411998680932696E-2</v>
      </c>
      <c r="AN241">
        <f t="shared" si="107"/>
        <v>2.5899943758997068E-2</v>
      </c>
      <c r="AO241">
        <f t="shared" si="108"/>
        <v>-5.0984532415275785E-3</v>
      </c>
      <c r="AP241">
        <f t="shared" si="109"/>
        <v>-9.5322858765694019E-3</v>
      </c>
    </row>
    <row r="242" spans="3:42" x14ac:dyDescent="0.3">
      <c r="C242" s="1">
        <v>24.23</v>
      </c>
      <c r="D242" s="1">
        <v>4.6399999999999997</v>
      </c>
      <c r="E242" s="1">
        <v>56.62</v>
      </c>
      <c r="F242" s="1">
        <v>291.22000000000003</v>
      </c>
      <c r="G242" s="1">
        <v>916.61</v>
      </c>
      <c r="H242" s="1">
        <v>33.82</v>
      </c>
      <c r="I242" s="1">
        <v>176.55</v>
      </c>
      <c r="J242" s="1">
        <v>129.91999999999999</v>
      </c>
      <c r="K242" s="1">
        <v>334.8</v>
      </c>
      <c r="L242" s="1">
        <v>177.78</v>
      </c>
      <c r="M242" s="1">
        <v>22.04</v>
      </c>
      <c r="O242" s="1">
        <v>19.869299999999999</v>
      </c>
      <c r="P242" s="1">
        <v>1.0897011973245156</v>
      </c>
      <c r="Q242" s="1">
        <v>0.13821825630495288</v>
      </c>
      <c r="R242" s="1">
        <v>0.69469999999999998</v>
      </c>
      <c r="T242" s="28">
        <v>24.23</v>
      </c>
      <c r="U242" s="29">
        <f t="shared" si="92"/>
        <v>0.64133270925498131</v>
      </c>
      <c r="V242" s="28">
        <v>56.62</v>
      </c>
      <c r="W242" s="28">
        <v>291.22000000000003</v>
      </c>
      <c r="X242" s="28">
        <v>916.61</v>
      </c>
      <c r="Y242" s="29">
        <f t="shared" si="93"/>
        <v>36.713377379909183</v>
      </c>
      <c r="Z242" s="29">
        <f t="shared" si="94"/>
        <v>192.38674638764326</v>
      </c>
      <c r="AA242" s="29">
        <f t="shared" si="95"/>
        <v>90.255423999999991</v>
      </c>
      <c r="AB242" s="29">
        <f t="shared" si="96"/>
        <v>364.83196086424783</v>
      </c>
      <c r="AC242" s="29">
        <f t="shared" si="97"/>
        <v>8.9474717277407869</v>
      </c>
      <c r="AD242" s="29">
        <f t="shared" si="98"/>
        <v>24.017014389032322</v>
      </c>
      <c r="AF242">
        <f t="shared" si="99"/>
        <v>1.6535758577924664E-3</v>
      </c>
      <c r="AG242">
        <f t="shared" si="100"/>
        <v>2.6236650745702361E-2</v>
      </c>
      <c r="AH242">
        <f t="shared" si="101"/>
        <v>5.8624977793568789E-3</v>
      </c>
      <c r="AI242">
        <f t="shared" si="102"/>
        <v>2.6543057562832706E-2</v>
      </c>
      <c r="AJ242">
        <f t="shared" si="103"/>
        <v>1.4038852995840401E-2</v>
      </c>
      <c r="AK242">
        <f t="shared" si="104"/>
        <v>-5.3637667911377029E-4</v>
      </c>
      <c r="AL242">
        <f t="shared" si="105"/>
        <v>2.5309616989837913E-2</v>
      </c>
      <c r="AM242">
        <f t="shared" si="106"/>
        <v>1.8774760664965529E-2</v>
      </c>
      <c r="AN242">
        <f t="shared" si="107"/>
        <v>1.2592927684762056E-2</v>
      </c>
      <c r="AO242">
        <f t="shared" si="108"/>
        <v>1.823434844653038E-2</v>
      </c>
      <c r="AP242">
        <f t="shared" si="109"/>
        <v>1.4407887698054012E-2</v>
      </c>
    </row>
    <row r="243" spans="3:42" x14ac:dyDescent="0.3">
      <c r="C243" s="1">
        <v>24.24</v>
      </c>
      <c r="D243" s="1">
        <v>5.0999999999999996</v>
      </c>
      <c r="E243" s="1">
        <v>57.27</v>
      </c>
      <c r="F243" s="1">
        <v>283.27999999999997</v>
      </c>
      <c r="G243" s="1">
        <v>898.05</v>
      </c>
      <c r="H243" s="1">
        <v>33.79</v>
      </c>
      <c r="I243" s="1">
        <v>173.35</v>
      </c>
      <c r="J243" s="1">
        <v>129.19999999999999</v>
      </c>
      <c r="K243" s="1">
        <v>337.7</v>
      </c>
      <c r="L243" s="1">
        <v>178.37</v>
      </c>
      <c r="M243" s="1">
        <v>21.97</v>
      </c>
      <c r="O243" s="1">
        <v>19.984500000000001</v>
      </c>
      <c r="P243" s="1">
        <v>1.0917511071080088</v>
      </c>
      <c r="Q243" s="1">
        <v>0.13832219970477119</v>
      </c>
      <c r="R243" s="1">
        <v>0.69720000000000004</v>
      </c>
      <c r="T243" s="28">
        <v>24.24</v>
      </c>
      <c r="U243" s="29">
        <f t="shared" si="92"/>
        <v>0.705443218494333</v>
      </c>
      <c r="V243" s="28">
        <v>57.27</v>
      </c>
      <c r="W243" s="28">
        <v>283.27999999999997</v>
      </c>
      <c r="X243" s="28">
        <v>898.05</v>
      </c>
      <c r="Y243" s="29">
        <f t="shared" si="93"/>
        <v>36.821003457595381</v>
      </c>
      <c r="Z243" s="29">
        <f t="shared" si="94"/>
        <v>189.25505441717331</v>
      </c>
      <c r="AA243" s="29">
        <f t="shared" si="95"/>
        <v>90.078239999999994</v>
      </c>
      <c r="AB243" s="29">
        <f t="shared" si="96"/>
        <v>368.68434887037455</v>
      </c>
      <c r="AC243" s="29">
        <f t="shared" si="97"/>
        <v>8.9254171983287041</v>
      </c>
      <c r="AD243" s="29">
        <f t="shared" si="98"/>
        <v>23.985771823162953</v>
      </c>
      <c r="AF243">
        <f t="shared" si="99"/>
        <v>4.1271151465127609E-4</v>
      </c>
      <c r="AG243">
        <f t="shared" si="100"/>
        <v>9.9964508770848726E-2</v>
      </c>
      <c r="AH243">
        <f t="shared" si="101"/>
        <v>1.1480042387848943E-2</v>
      </c>
      <c r="AI243">
        <f t="shared" si="102"/>
        <v>-2.7264610947050572E-2</v>
      </c>
      <c r="AJ243">
        <f t="shared" si="103"/>
        <v>-2.0248524454239081E-2</v>
      </c>
      <c r="AK243">
        <f t="shared" si="104"/>
        <v>2.9315221144730064E-3</v>
      </c>
      <c r="AL243">
        <f t="shared" si="105"/>
        <v>-1.6278106622583222E-2</v>
      </c>
      <c r="AM243">
        <f t="shared" si="106"/>
        <v>-1.963139633580302E-3</v>
      </c>
      <c r="AN243">
        <f t="shared" si="107"/>
        <v>1.0559349013723462E-2</v>
      </c>
      <c r="AO243">
        <f t="shared" si="108"/>
        <v>-2.4648895333979626E-3</v>
      </c>
      <c r="AP243">
        <f t="shared" si="109"/>
        <v>-1.3008513615929695E-3</v>
      </c>
    </row>
    <row r="244" spans="3:42" x14ac:dyDescent="0.3">
      <c r="C244" s="1">
        <v>24.29</v>
      </c>
      <c r="D244" s="1">
        <v>4.96</v>
      </c>
      <c r="E244" s="1">
        <v>57.51</v>
      </c>
      <c r="F244" s="1">
        <v>273.29000000000002</v>
      </c>
      <c r="G244" s="1">
        <v>904.05</v>
      </c>
      <c r="H244" s="1">
        <v>33.549999999999997</v>
      </c>
      <c r="I244" s="1">
        <v>179.65</v>
      </c>
      <c r="J244" s="1">
        <v>130.97999999999999</v>
      </c>
      <c r="K244" s="1">
        <v>346</v>
      </c>
      <c r="L244" s="1">
        <v>178.93</v>
      </c>
      <c r="M244" s="1">
        <v>22.18</v>
      </c>
      <c r="O244" s="1">
        <v>20.055299999999999</v>
      </c>
      <c r="P244" s="1">
        <v>1.0909485273219548</v>
      </c>
      <c r="Q244" s="1">
        <v>0.13823278634575401</v>
      </c>
      <c r="R244" s="1">
        <v>0.69940000000000002</v>
      </c>
      <c r="T244" s="28">
        <v>24.29</v>
      </c>
      <c r="U244" s="29">
        <f t="shared" si="92"/>
        <v>0.68563462027493982</v>
      </c>
      <c r="V244" s="28">
        <v>57.51</v>
      </c>
      <c r="W244" s="28">
        <v>273.29000000000002</v>
      </c>
      <c r="X244" s="28">
        <v>904.05</v>
      </c>
      <c r="Y244" s="29">
        <f t="shared" si="93"/>
        <v>36.628249643473694</v>
      </c>
      <c r="Z244" s="29">
        <f t="shared" si="94"/>
        <v>195.9889029333892</v>
      </c>
      <c r="AA244" s="29">
        <f t="shared" si="95"/>
        <v>91.607411999999997</v>
      </c>
      <c r="AB244" s="29">
        <f t="shared" si="96"/>
        <v>377.46819045339635</v>
      </c>
      <c r="AC244" s="29">
        <f t="shared" si="97"/>
        <v>8.9218311369064551</v>
      </c>
      <c r="AD244" s="29">
        <f t="shared" si="98"/>
        <v>24.197238336000957</v>
      </c>
      <c r="AF244">
        <f t="shared" si="99"/>
        <v>2.0627062706271015E-3</v>
      </c>
      <c r="AG244">
        <f t="shared" si="100"/>
        <v>-2.8079649360967407E-2</v>
      </c>
      <c r="AH244">
        <f t="shared" si="101"/>
        <v>4.1906757464640343E-3</v>
      </c>
      <c r="AI244">
        <f t="shared" si="102"/>
        <v>-3.5265461733973269E-2</v>
      </c>
      <c r="AJ244">
        <f t="shared" si="103"/>
        <v>6.681142475363222E-3</v>
      </c>
      <c r="AK244">
        <f t="shared" si="104"/>
        <v>-5.2348875919058235E-3</v>
      </c>
      <c r="AL244">
        <f t="shared" si="105"/>
        <v>3.5580812026148267E-2</v>
      </c>
      <c r="AM244">
        <f t="shared" si="106"/>
        <v>1.6976042160681715E-2</v>
      </c>
      <c r="AN244">
        <f t="shared" si="107"/>
        <v>2.3824829043963769E-2</v>
      </c>
      <c r="AO244">
        <f t="shared" si="108"/>
        <v>-4.0178081792308085E-4</v>
      </c>
      <c r="AP244">
        <f t="shared" si="109"/>
        <v>8.8163313816649325E-3</v>
      </c>
    </row>
    <row r="245" spans="3:42" x14ac:dyDescent="0.3">
      <c r="C245" s="1">
        <v>24.31</v>
      </c>
      <c r="D245" s="1">
        <v>4.92</v>
      </c>
      <c r="E245" s="1">
        <v>57.44</v>
      </c>
      <c r="F245" s="1">
        <v>274.62</v>
      </c>
      <c r="G245" s="1">
        <v>895.4</v>
      </c>
      <c r="H245" s="1">
        <v>33.340000000000003</v>
      </c>
      <c r="I245" s="1">
        <v>177.5</v>
      </c>
      <c r="J245" s="1">
        <v>132.81</v>
      </c>
      <c r="K245" s="1">
        <v>344.7</v>
      </c>
      <c r="L245" s="1">
        <v>183.11</v>
      </c>
      <c r="M245" s="1">
        <v>22.46</v>
      </c>
      <c r="O245" s="1">
        <v>20.134499999999999</v>
      </c>
      <c r="P245" s="1">
        <v>1.0850480518513002</v>
      </c>
      <c r="Q245" s="1">
        <v>0.13797213737614542</v>
      </c>
      <c r="R245" s="1">
        <v>0.69530000000000003</v>
      </c>
      <c r="T245" s="28">
        <v>24.31</v>
      </c>
      <c r="U245" s="29">
        <f t="shared" si="92"/>
        <v>0.67882291589063548</v>
      </c>
      <c r="V245" s="28">
        <v>57.44</v>
      </c>
      <c r="W245" s="28">
        <v>274.62</v>
      </c>
      <c r="X245" s="28">
        <v>895.4</v>
      </c>
      <c r="Y245" s="29">
        <f t="shared" si="93"/>
        <v>36.37222390091398</v>
      </c>
      <c r="Z245" s="29">
        <f t="shared" si="94"/>
        <v>192.59602920360578</v>
      </c>
      <c r="AA245" s="29">
        <f t="shared" si="95"/>
        <v>92.342793</v>
      </c>
      <c r="AB245" s="29">
        <f t="shared" si="96"/>
        <v>374.01606347314316</v>
      </c>
      <c r="AC245" s="29">
        <f t="shared" si="97"/>
        <v>9.0943405597357785</v>
      </c>
      <c r="AD245" s="29">
        <f t="shared" si="98"/>
        <v>24.370179244580203</v>
      </c>
      <c r="AF245">
        <f t="shared" si="99"/>
        <v>8.2338410868665335E-4</v>
      </c>
      <c r="AG245">
        <f t="shared" si="100"/>
        <v>-9.9348897836764039E-3</v>
      </c>
      <c r="AH245">
        <f t="shared" si="101"/>
        <v>-1.2171796209354824E-3</v>
      </c>
      <c r="AI245">
        <f t="shared" si="102"/>
        <v>4.8666251966773544E-3</v>
      </c>
      <c r="AJ245">
        <f t="shared" si="103"/>
        <v>-9.5680548642220753E-3</v>
      </c>
      <c r="AK245">
        <f t="shared" si="104"/>
        <v>-6.9898437695433691E-3</v>
      </c>
      <c r="AL245">
        <f t="shared" si="105"/>
        <v>-1.7311560394501324E-2</v>
      </c>
      <c r="AM245">
        <f t="shared" si="106"/>
        <v>8.0275272922238905E-3</v>
      </c>
      <c r="AN245">
        <f t="shared" si="107"/>
        <v>-9.1454778642583445E-3</v>
      </c>
      <c r="AO245">
        <f t="shared" si="108"/>
        <v>1.9335652085558097E-2</v>
      </c>
      <c r="AP245">
        <f t="shared" si="109"/>
        <v>7.1471341554685264E-3</v>
      </c>
    </row>
    <row r="246" spans="3:42" x14ac:dyDescent="0.3">
      <c r="C246" s="1">
        <v>24.35</v>
      </c>
      <c r="D246" s="1">
        <v>4.91</v>
      </c>
      <c r="E246" s="1">
        <v>56.97</v>
      </c>
      <c r="F246" s="1">
        <v>272.86</v>
      </c>
      <c r="G246" s="1">
        <v>909.26</v>
      </c>
      <c r="H246" s="1">
        <v>33.76</v>
      </c>
      <c r="I246" s="1">
        <v>175.6</v>
      </c>
      <c r="J246" s="1">
        <v>134.32</v>
      </c>
      <c r="K246" s="1">
        <v>340.1</v>
      </c>
      <c r="L246" s="1">
        <v>178.74</v>
      </c>
      <c r="M246" s="1">
        <v>22.78</v>
      </c>
      <c r="O246" s="1">
        <v>20.2163</v>
      </c>
      <c r="P246" s="1">
        <v>1.0851491123499355</v>
      </c>
      <c r="Q246" s="1">
        <v>0.13791346586665215</v>
      </c>
      <c r="R246" s="1">
        <v>0.6925</v>
      </c>
      <c r="T246" s="28">
        <v>24.35</v>
      </c>
      <c r="U246" s="29">
        <f t="shared" si="92"/>
        <v>0.67715511740526213</v>
      </c>
      <c r="V246" s="28">
        <v>56.97</v>
      </c>
      <c r="W246" s="28">
        <v>272.86</v>
      </c>
      <c r="X246" s="28">
        <v>909.26</v>
      </c>
      <c r="Y246" s="29">
        <f t="shared" si="93"/>
        <v>36.631222230499894</v>
      </c>
      <c r="Z246" s="29">
        <f t="shared" si="94"/>
        <v>190.55218412864866</v>
      </c>
      <c r="AA246" s="29">
        <f t="shared" si="95"/>
        <v>93.016599999999997</v>
      </c>
      <c r="AB246" s="29">
        <f t="shared" si="96"/>
        <v>369.05921311021308</v>
      </c>
      <c r="AC246" s="29">
        <f t="shared" si="97"/>
        <v>8.841380470214629</v>
      </c>
      <c r="AD246" s="29">
        <f t="shared" si="98"/>
        <v>24.719696779331532</v>
      </c>
      <c r="AF246">
        <f t="shared" si="99"/>
        <v>1.6454134101193674E-3</v>
      </c>
      <c r="AG246">
        <f t="shared" si="100"/>
        <v>-2.4568977362603439E-3</v>
      </c>
      <c r="AH246">
        <f t="shared" si="101"/>
        <v>-8.1824512534818261E-3</v>
      </c>
      <c r="AI246">
        <f t="shared" si="102"/>
        <v>-6.4088558735707624E-3</v>
      </c>
      <c r="AJ246">
        <f t="shared" si="103"/>
        <v>1.5479115479115402E-2</v>
      </c>
      <c r="AK246">
        <f t="shared" si="104"/>
        <v>7.1207724413959728E-3</v>
      </c>
      <c r="AL246">
        <f t="shared" si="105"/>
        <v>-1.0612083143191064E-2</v>
      </c>
      <c r="AM246">
        <f t="shared" si="106"/>
        <v>7.2968011699623414E-3</v>
      </c>
      <c r="AN246">
        <f t="shared" si="107"/>
        <v>-1.3253041371807384E-2</v>
      </c>
      <c r="AO246">
        <f t="shared" si="108"/>
        <v>-2.7815110711941315E-2</v>
      </c>
      <c r="AP246">
        <f t="shared" si="109"/>
        <v>1.4342017399361584E-2</v>
      </c>
    </row>
    <row r="247" spans="3:42" x14ac:dyDescent="0.3">
      <c r="C247" s="1">
        <v>24.37</v>
      </c>
      <c r="D247" s="1">
        <v>4.88</v>
      </c>
      <c r="E247" s="1">
        <v>56.7</v>
      </c>
      <c r="F247" s="1">
        <v>274</v>
      </c>
      <c r="G247" s="1">
        <v>926.04</v>
      </c>
      <c r="H247" s="1">
        <v>33.299999999999997</v>
      </c>
      <c r="I247" s="1">
        <v>176.9</v>
      </c>
      <c r="J247" s="1">
        <v>136.44999999999999</v>
      </c>
      <c r="K247" s="1">
        <v>341.5</v>
      </c>
      <c r="L247" s="1">
        <v>176.6</v>
      </c>
      <c r="M247" s="1">
        <v>22.94</v>
      </c>
      <c r="O247" s="1">
        <v>20.112300000000001</v>
      </c>
      <c r="P247" s="1">
        <v>1.0833022578223277</v>
      </c>
      <c r="Q247" s="1">
        <v>0.1377316368590365</v>
      </c>
      <c r="R247" s="1">
        <v>0.69259999999999999</v>
      </c>
      <c r="T247" s="28">
        <v>24.37</v>
      </c>
      <c r="U247" s="29">
        <f t="shared" si="92"/>
        <v>0.67213038787209811</v>
      </c>
      <c r="V247" s="28">
        <v>56.7</v>
      </c>
      <c r="W247" s="28">
        <v>274</v>
      </c>
      <c r="X247" s="28">
        <v>926.04</v>
      </c>
      <c r="Y247" s="29">
        <f t="shared" si="93"/>
        <v>36.135465441252848</v>
      </c>
      <c r="Z247" s="29">
        <f t="shared" si="94"/>
        <v>191.63616940876977</v>
      </c>
      <c r="AA247" s="29">
        <f t="shared" si="95"/>
        <v>94.505269999999996</v>
      </c>
      <c r="AB247" s="29">
        <f t="shared" si="96"/>
        <v>369.94772104632489</v>
      </c>
      <c r="AC247" s="29">
        <f t="shared" si="97"/>
        <v>8.7806963897714319</v>
      </c>
      <c r="AD247" s="29">
        <f t="shared" si="98"/>
        <v>24.850953794444198</v>
      </c>
      <c r="AF247">
        <f t="shared" si="99"/>
        <v>8.2135523613957595E-4</v>
      </c>
      <c r="AG247">
        <f t="shared" si="100"/>
        <v>-7.4203523003973926E-3</v>
      </c>
      <c r="AH247">
        <f t="shared" si="101"/>
        <v>-4.7393364928909332E-3</v>
      </c>
      <c r="AI247">
        <f t="shared" si="102"/>
        <v>4.1779667228614148E-3</v>
      </c>
      <c r="AJ247">
        <f t="shared" si="103"/>
        <v>1.8454567450454151E-2</v>
      </c>
      <c r="AK247">
        <f t="shared" si="104"/>
        <v>-1.3533722301907525E-2</v>
      </c>
      <c r="AL247">
        <f t="shared" si="105"/>
        <v>5.6886531376059146E-3</v>
      </c>
      <c r="AM247">
        <f t="shared" si="106"/>
        <v>1.6004347611071612E-2</v>
      </c>
      <c r="AN247">
        <f t="shared" si="107"/>
        <v>2.4074942571519209E-3</v>
      </c>
      <c r="AO247">
        <f t="shared" si="108"/>
        <v>-6.8636431434698775E-3</v>
      </c>
      <c r="AP247">
        <f t="shared" si="109"/>
        <v>5.309814933588175E-3</v>
      </c>
    </row>
    <row r="248" spans="3:42" x14ac:dyDescent="0.3">
      <c r="C248" s="1">
        <v>24.37</v>
      </c>
      <c r="D248" s="1">
        <v>4.7</v>
      </c>
      <c r="E248" s="1">
        <v>56.99</v>
      </c>
      <c r="F248" s="1">
        <v>274.43</v>
      </c>
      <c r="G248" s="1">
        <v>930.26</v>
      </c>
      <c r="H248" s="1">
        <v>33.4</v>
      </c>
      <c r="I248" s="1">
        <v>180.25</v>
      </c>
      <c r="J248" s="1">
        <v>137.54</v>
      </c>
      <c r="K248" s="1">
        <v>343.7</v>
      </c>
      <c r="L248" s="1">
        <v>180.14</v>
      </c>
      <c r="M248" s="1">
        <v>23.48</v>
      </c>
      <c r="O248" s="1">
        <v>20.0762</v>
      </c>
      <c r="P248" s="1">
        <v>1.0818481585160538</v>
      </c>
      <c r="Q248" s="1">
        <v>0.13768043753299927</v>
      </c>
      <c r="R248" s="1">
        <v>0.69589999999999996</v>
      </c>
      <c r="T248" s="28">
        <v>24.37</v>
      </c>
      <c r="U248" s="29">
        <f t="shared" si="92"/>
        <v>0.64709805640509666</v>
      </c>
      <c r="V248" s="28">
        <v>56.99</v>
      </c>
      <c r="W248" s="28">
        <v>274.43</v>
      </c>
      <c r="X248" s="28">
        <v>930.26</v>
      </c>
      <c r="Y248" s="29">
        <f t="shared" si="93"/>
        <v>36.182295411265741</v>
      </c>
      <c r="Z248" s="29">
        <f t="shared" si="94"/>
        <v>195.0031305725187</v>
      </c>
      <c r="AA248" s="29">
        <f t="shared" si="95"/>
        <v>95.714085999999995</v>
      </c>
      <c r="AB248" s="29">
        <f t="shared" si="96"/>
        <v>371.83121208196769</v>
      </c>
      <c r="AC248" s="29">
        <f t="shared" si="97"/>
        <v>8.9728135802592117</v>
      </c>
      <c r="AD248" s="29">
        <f t="shared" si="98"/>
        <v>25.401794761956943</v>
      </c>
      <c r="AF248">
        <f t="shared" si="99"/>
        <v>0</v>
      </c>
      <c r="AG248">
        <f t="shared" si="100"/>
        <v>-3.7243266959334331E-2</v>
      </c>
      <c r="AH248">
        <f t="shared" si="101"/>
        <v>5.1146384479716644E-3</v>
      </c>
      <c r="AI248">
        <f t="shared" si="102"/>
        <v>1.5693430656935625E-3</v>
      </c>
      <c r="AJ248">
        <f t="shared" si="103"/>
        <v>4.557038572847949E-3</v>
      </c>
      <c r="AK248">
        <f t="shared" si="104"/>
        <v>1.2959559103791207E-3</v>
      </c>
      <c r="AL248">
        <f t="shared" si="105"/>
        <v>1.7569549496509795E-2</v>
      </c>
      <c r="AM248">
        <f t="shared" si="106"/>
        <v>1.2790990386038814E-2</v>
      </c>
      <c r="AN248">
        <f t="shared" si="107"/>
        <v>5.0912356759915678E-3</v>
      </c>
      <c r="AO248">
        <f t="shared" si="108"/>
        <v>2.1879493602759759E-2</v>
      </c>
      <c r="AP248">
        <f t="shared" si="109"/>
        <v>2.2165787762878253E-2</v>
      </c>
    </row>
    <row r="249" spans="3:42" x14ac:dyDescent="0.3">
      <c r="C249" s="1">
        <v>24.43</v>
      </c>
      <c r="D249" s="1">
        <v>4.79</v>
      </c>
      <c r="E249" s="1">
        <v>56.92</v>
      </c>
      <c r="F249" s="1">
        <v>272.54000000000002</v>
      </c>
      <c r="G249" s="1">
        <v>929.75</v>
      </c>
      <c r="H249" s="1">
        <v>33.549999999999997</v>
      </c>
      <c r="I249" s="1">
        <v>176.85</v>
      </c>
      <c r="J249" s="1">
        <v>136.87</v>
      </c>
      <c r="K249" s="1">
        <v>337.8</v>
      </c>
      <c r="L249" s="1">
        <v>183.15</v>
      </c>
      <c r="M249" s="1">
        <v>23.3</v>
      </c>
      <c r="O249" s="1">
        <v>20.096299999999999</v>
      </c>
      <c r="P249" s="1">
        <v>1.0792981792668304</v>
      </c>
      <c r="Q249" s="1">
        <v>0.13741833073749896</v>
      </c>
      <c r="R249" s="1">
        <v>0.69230000000000003</v>
      </c>
      <c r="T249" s="28">
        <v>24.43</v>
      </c>
      <c r="U249" s="29">
        <f t="shared" si="92"/>
        <v>0.65823380423262001</v>
      </c>
      <c r="V249" s="28">
        <v>56.92</v>
      </c>
      <c r="W249" s="28">
        <v>272.54000000000002</v>
      </c>
      <c r="X249" s="28">
        <v>929.75</v>
      </c>
      <c r="Y249" s="29">
        <f t="shared" si="93"/>
        <v>36.2960057182136</v>
      </c>
      <c r="Z249" s="29">
        <f t="shared" si="94"/>
        <v>190.87388300333893</v>
      </c>
      <c r="AA249" s="29">
        <f t="shared" si="95"/>
        <v>94.75510100000001</v>
      </c>
      <c r="AB249" s="29">
        <f t="shared" si="96"/>
        <v>364.58692495633528</v>
      </c>
      <c r="AC249" s="29">
        <f t="shared" si="97"/>
        <v>9.1136179296686457</v>
      </c>
      <c r="AD249" s="29">
        <f t="shared" si="98"/>
        <v>25.147647576917148</v>
      </c>
      <c r="AF249">
        <f t="shared" si="99"/>
        <v>2.4620434961017956E-3</v>
      </c>
      <c r="AG249">
        <f t="shared" si="100"/>
        <v>1.720874868545752E-2</v>
      </c>
      <c r="AH249">
        <f t="shared" si="101"/>
        <v>-1.2282856641515627E-3</v>
      </c>
      <c r="AI249">
        <f t="shared" si="102"/>
        <v>-6.8870021499106704E-3</v>
      </c>
      <c r="AJ249">
        <f t="shared" si="103"/>
        <v>-5.482338271021181E-4</v>
      </c>
      <c r="AK249">
        <f t="shared" si="104"/>
        <v>3.1427057254209689E-3</v>
      </c>
      <c r="AL249">
        <f t="shared" si="105"/>
        <v>-2.1175288607195752E-2</v>
      </c>
      <c r="AM249">
        <f t="shared" si="106"/>
        <v>-1.00192671745305E-2</v>
      </c>
      <c r="AN249">
        <f t="shared" si="107"/>
        <v>-1.9482730040520257E-2</v>
      </c>
      <c r="AO249">
        <f t="shared" si="108"/>
        <v>1.5692329741388233E-2</v>
      </c>
      <c r="AP249">
        <f t="shared" si="109"/>
        <v>-1.0005087727911977E-2</v>
      </c>
    </row>
    <row r="250" spans="3:42" x14ac:dyDescent="0.3">
      <c r="C250" s="1">
        <v>24.45</v>
      </c>
      <c r="D250" s="1">
        <v>4.96</v>
      </c>
      <c r="E250" s="1">
        <v>57.68</v>
      </c>
      <c r="F250" s="1">
        <v>274.67</v>
      </c>
      <c r="G250" s="1">
        <v>938.75</v>
      </c>
      <c r="H250" s="1">
        <v>33.409999999999997</v>
      </c>
      <c r="I250" s="1">
        <v>166.6</v>
      </c>
      <c r="J250" s="1">
        <v>137</v>
      </c>
      <c r="K250" s="1">
        <v>337.5</v>
      </c>
      <c r="L250" s="1">
        <v>185.85</v>
      </c>
      <c r="M250" s="1">
        <v>23.49</v>
      </c>
      <c r="O250" s="1">
        <v>20.318200000000001</v>
      </c>
      <c r="P250" s="1">
        <v>1.0787520548080045</v>
      </c>
      <c r="Q250" s="1">
        <v>0.13746788593477768</v>
      </c>
      <c r="R250" s="1">
        <v>0.69589999999999996</v>
      </c>
      <c r="T250" s="28">
        <v>24.45</v>
      </c>
      <c r="U250" s="29">
        <f t="shared" si="92"/>
        <v>0.68184071423649728</v>
      </c>
      <c r="V250" s="28">
        <v>57.68</v>
      </c>
      <c r="W250" s="28">
        <v>274.67</v>
      </c>
      <c r="X250" s="28">
        <v>938.75</v>
      </c>
      <c r="Y250" s="29">
        <f t="shared" si="93"/>
        <v>36.059352169304802</v>
      </c>
      <c r="Z250" s="29">
        <f t="shared" si="94"/>
        <v>179.72009233101355</v>
      </c>
      <c r="AA250" s="29">
        <f t="shared" si="95"/>
        <v>95.33829999999999</v>
      </c>
      <c r="AB250" s="29">
        <f t="shared" si="96"/>
        <v>364.07881849770155</v>
      </c>
      <c r="AC250" s="29">
        <f t="shared" si="97"/>
        <v>9.1469716805622543</v>
      </c>
      <c r="AD250" s="29">
        <f t="shared" si="98"/>
        <v>25.339885767440023</v>
      </c>
      <c r="AF250">
        <f t="shared" si="99"/>
        <v>8.1866557511256488E-4</v>
      </c>
      <c r="AG250">
        <f t="shared" si="100"/>
        <v>3.5864019520235102E-2</v>
      </c>
      <c r="AH250">
        <f t="shared" si="101"/>
        <v>1.3352073085031613E-2</v>
      </c>
      <c r="AI250">
        <f t="shared" si="102"/>
        <v>7.815366551698899E-3</v>
      </c>
      <c r="AJ250">
        <f t="shared" si="103"/>
        <v>9.6800215111589871E-3</v>
      </c>
      <c r="AK250">
        <f t="shared" si="104"/>
        <v>-6.520098953754716E-3</v>
      </c>
      <c r="AL250">
        <f t="shared" si="105"/>
        <v>-5.843539460100089E-2</v>
      </c>
      <c r="AM250">
        <f t="shared" si="106"/>
        <v>6.1548032121245821E-3</v>
      </c>
      <c r="AN250">
        <f t="shared" si="107"/>
        <v>-1.3936497001217907E-3</v>
      </c>
      <c r="AO250">
        <f t="shared" si="108"/>
        <v>3.6597705928649304E-3</v>
      </c>
      <c r="AP250">
        <f t="shared" si="109"/>
        <v>7.644380649716398E-3</v>
      </c>
    </row>
    <row r="251" spans="3:42" x14ac:dyDescent="0.3">
      <c r="C251" s="1">
        <v>24.46</v>
      </c>
      <c r="D251" s="1">
        <v>4.8</v>
      </c>
      <c r="E251" s="1">
        <v>58.13</v>
      </c>
      <c r="F251" s="1">
        <v>278.86</v>
      </c>
      <c r="G251" s="1">
        <v>929.66</v>
      </c>
      <c r="H251" s="1">
        <v>34.130000000000003</v>
      </c>
      <c r="I251" s="1">
        <v>162.6</v>
      </c>
      <c r="J251" s="1">
        <v>136.99</v>
      </c>
      <c r="K251" s="1">
        <v>326.5</v>
      </c>
      <c r="L251" s="1">
        <v>188.71</v>
      </c>
      <c r="M251" s="1">
        <v>23.62</v>
      </c>
      <c r="O251" s="1">
        <v>20.400300000000001</v>
      </c>
      <c r="P251" s="1">
        <v>1.0771998451003171</v>
      </c>
      <c r="Q251" s="1">
        <v>0.13744405719523731</v>
      </c>
      <c r="R251" s="1">
        <v>0.69969999999999999</v>
      </c>
      <c r="T251" s="28">
        <v>24.46</v>
      </c>
      <c r="U251" s="29">
        <f t="shared" si="92"/>
        <v>0.6597314745371391</v>
      </c>
      <c r="V251" s="28">
        <v>58.13</v>
      </c>
      <c r="W251" s="28">
        <v>278.86</v>
      </c>
      <c r="X251" s="28">
        <v>929.66</v>
      </c>
      <c r="Y251" s="29">
        <f t="shared" si="93"/>
        <v>36.817807630597194</v>
      </c>
      <c r="Z251" s="29">
        <f t="shared" si="94"/>
        <v>175.15269481331154</v>
      </c>
      <c r="AA251" s="29">
        <f t="shared" si="95"/>
        <v>95.851903000000007</v>
      </c>
      <c r="AB251" s="29">
        <f t="shared" si="96"/>
        <v>351.70574942525354</v>
      </c>
      <c r="AC251" s="29">
        <f t="shared" si="97"/>
        <v>9.2503541614584091</v>
      </c>
      <c r="AD251" s="29">
        <f t="shared" si="98"/>
        <v>25.443460341269489</v>
      </c>
      <c r="AF251">
        <f t="shared" si="99"/>
        <v>4.0899795501037062E-4</v>
      </c>
      <c r="AG251">
        <f t="shared" si="100"/>
        <v>-3.2425813298807449E-2</v>
      </c>
      <c r="AH251">
        <f t="shared" si="101"/>
        <v>7.8016643550624654E-3</v>
      </c>
      <c r="AI251">
        <f t="shared" si="102"/>
        <v>1.5254669239451069E-2</v>
      </c>
      <c r="AJ251">
        <f t="shared" si="103"/>
        <v>-9.68308921438088E-3</v>
      </c>
      <c r="AK251">
        <f t="shared" si="104"/>
        <v>2.103352987960827E-2</v>
      </c>
      <c r="AL251">
        <f t="shared" si="105"/>
        <v>-2.5413950429591603E-2</v>
      </c>
      <c r="AM251">
        <f t="shared" si="106"/>
        <v>5.3871633960329568E-3</v>
      </c>
      <c r="AN251">
        <f t="shared" si="107"/>
        <v>-3.3984589170836688E-2</v>
      </c>
      <c r="AO251">
        <f t="shared" si="108"/>
        <v>1.130237246889565E-2</v>
      </c>
      <c r="AP251">
        <f t="shared" si="109"/>
        <v>4.0874128155128364E-3</v>
      </c>
    </row>
    <row r="252" spans="3:42" x14ac:dyDescent="0.3">
      <c r="C252" s="1">
        <v>24.45</v>
      </c>
      <c r="D252" s="1">
        <v>4.7300000000000004</v>
      </c>
      <c r="E252" s="1">
        <v>58.96</v>
      </c>
      <c r="F252" s="1">
        <v>283.01</v>
      </c>
      <c r="G252" s="1">
        <v>945.78</v>
      </c>
      <c r="H252" s="1">
        <v>34.22</v>
      </c>
      <c r="I252" s="1">
        <v>157.55000000000001</v>
      </c>
      <c r="J252" s="1">
        <v>136.66</v>
      </c>
      <c r="K252" s="1">
        <v>320.3</v>
      </c>
      <c r="L252" s="1">
        <v>187.06</v>
      </c>
      <c r="M252" s="1">
        <v>24.12</v>
      </c>
      <c r="O252" s="1">
        <v>20.437999999999999</v>
      </c>
      <c r="P252" s="1">
        <v>1.0820481456111166</v>
      </c>
      <c r="Q252" s="1">
        <v>0.13769938350132108</v>
      </c>
      <c r="R252" s="1">
        <v>0.69920000000000004</v>
      </c>
      <c r="T252" s="28">
        <v>24.45</v>
      </c>
      <c r="U252" s="29">
        <f t="shared" si="92"/>
        <v>0.65131808396124879</v>
      </c>
      <c r="V252" s="28">
        <v>58.96</v>
      </c>
      <c r="W252" s="28">
        <v>283.01</v>
      </c>
      <c r="X252" s="28">
        <v>945.78</v>
      </c>
      <c r="Y252" s="29">
        <f t="shared" si="93"/>
        <v>36.861778699332852</v>
      </c>
      <c r="Z252" s="29">
        <f t="shared" si="94"/>
        <v>170.47668534103144</v>
      </c>
      <c r="AA252" s="29">
        <f t="shared" si="95"/>
        <v>95.552672000000001</v>
      </c>
      <c r="AB252" s="29">
        <f t="shared" si="96"/>
        <v>346.58002103924065</v>
      </c>
      <c r="AC252" s="29">
        <f t="shared" si="97"/>
        <v>9.1525589588022314</v>
      </c>
      <c r="AD252" s="29">
        <f t="shared" si="98"/>
        <v>26.099001272140136</v>
      </c>
      <c r="AF252">
        <f t="shared" si="99"/>
        <v>-4.0883074407205289E-4</v>
      </c>
      <c r="AG252">
        <f t="shared" si="100"/>
        <v>-1.2752750021200798E-2</v>
      </c>
      <c r="AH252">
        <f t="shared" si="101"/>
        <v>1.4278341648030324E-2</v>
      </c>
      <c r="AI252">
        <f t="shared" si="102"/>
        <v>1.4882019651437872E-2</v>
      </c>
      <c r="AJ252">
        <f t="shared" si="103"/>
        <v>1.7339672568465803E-2</v>
      </c>
      <c r="AK252">
        <f t="shared" si="104"/>
        <v>1.1942880786610655E-3</v>
      </c>
      <c r="AL252">
        <f t="shared" si="105"/>
        <v>-2.6696760088470661E-2</v>
      </c>
      <c r="AM252">
        <f t="shared" si="106"/>
        <v>-3.121805521169474E-3</v>
      </c>
      <c r="AN252">
        <f t="shared" si="107"/>
        <v>-1.4573911272105167E-2</v>
      </c>
      <c r="AO252">
        <f t="shared" si="108"/>
        <v>-1.0572049561479613E-2</v>
      </c>
      <c r="AP252">
        <f t="shared" si="109"/>
        <v>2.5764613856683383E-2</v>
      </c>
    </row>
    <row r="253" spans="3:42" x14ac:dyDescent="0.3">
      <c r="C253" s="1">
        <v>24.46</v>
      </c>
      <c r="D253" s="1">
        <v>4.51</v>
      </c>
      <c r="E253" s="1">
        <v>58.86</v>
      </c>
      <c r="F253" s="1">
        <v>284.29000000000002</v>
      </c>
      <c r="G253" s="1">
        <v>954.4</v>
      </c>
      <c r="H253" s="1">
        <v>34.56</v>
      </c>
      <c r="I253" s="1">
        <v>161.1</v>
      </c>
      <c r="J253" s="1">
        <v>137.59</v>
      </c>
      <c r="K253" s="1">
        <v>327.60000000000002</v>
      </c>
      <c r="L253" s="1">
        <v>190.97</v>
      </c>
      <c r="M253" s="1">
        <v>24.64</v>
      </c>
      <c r="O253" s="1">
        <v>20.358699999999999</v>
      </c>
      <c r="P253" s="1">
        <v>1.0799510774263583</v>
      </c>
      <c r="Q253" s="1">
        <v>0.13734177526069938</v>
      </c>
      <c r="R253" s="1">
        <v>0.69789999999999996</v>
      </c>
      <c r="T253" s="28">
        <v>24.46</v>
      </c>
      <c r="U253" s="29">
        <f t="shared" si="92"/>
        <v>0.61941140642575421</v>
      </c>
      <c r="V253" s="28">
        <v>58.86</v>
      </c>
      <c r="W253" s="28">
        <v>284.29000000000002</v>
      </c>
      <c r="X253" s="28">
        <v>954.4</v>
      </c>
      <c r="Y253" s="29">
        <f t="shared" si="93"/>
        <v>37.395583912320191</v>
      </c>
      <c r="Z253" s="29">
        <f t="shared" si="94"/>
        <v>173.98011857338631</v>
      </c>
      <c r="AA253" s="29">
        <f t="shared" si="95"/>
        <v>96.024061000000003</v>
      </c>
      <c r="AB253" s="29">
        <f t="shared" si="96"/>
        <v>353.79197296487501</v>
      </c>
      <c r="AC253" s="29">
        <f t="shared" si="97"/>
        <v>9.3802649481548439</v>
      </c>
      <c r="AD253" s="29">
        <f t="shared" si="98"/>
        <v>26.609994547785469</v>
      </c>
      <c r="AF253">
        <f t="shared" si="99"/>
        <v>4.0899795501037062E-4</v>
      </c>
      <c r="AG253">
        <f t="shared" si="100"/>
        <v>-4.8987857578652649E-2</v>
      </c>
      <c r="AH253">
        <f t="shared" si="101"/>
        <v>-1.6960651289009698E-3</v>
      </c>
      <c r="AI253">
        <f t="shared" si="102"/>
        <v>4.5228083813293463E-3</v>
      </c>
      <c r="AJ253">
        <f t="shared" si="103"/>
        <v>9.114170314449499E-3</v>
      </c>
      <c r="AK253">
        <f t="shared" si="104"/>
        <v>1.448126573981634E-2</v>
      </c>
      <c r="AL253">
        <f t="shared" si="105"/>
        <v>2.0550805673786865E-2</v>
      </c>
      <c r="AM253">
        <f t="shared" si="106"/>
        <v>4.9332895682916433E-3</v>
      </c>
      <c r="AN253">
        <f t="shared" si="107"/>
        <v>2.080890844200689E-2</v>
      </c>
      <c r="AO253">
        <f t="shared" si="108"/>
        <v>2.487894264080337E-2</v>
      </c>
      <c r="AP253">
        <f t="shared" si="109"/>
        <v>1.9579035623512597E-2</v>
      </c>
    </row>
    <row r="254" spans="3:42" ht="15" x14ac:dyDescent="0.3">
      <c r="C254" s="1">
        <v>24.45</v>
      </c>
      <c r="D254" s="1">
        <v>4.96</v>
      </c>
      <c r="E254" s="1">
        <v>58.95</v>
      </c>
      <c r="F254" s="1">
        <v>281.23</v>
      </c>
      <c r="G254" s="1">
        <v>965.08</v>
      </c>
      <c r="H254" s="1">
        <v>34.01</v>
      </c>
      <c r="I254" s="1">
        <v>164.8</v>
      </c>
      <c r="J254" s="1">
        <v>140.54</v>
      </c>
      <c r="K254" s="1">
        <v>323.7</v>
      </c>
      <c r="L254" s="1">
        <v>194.88</v>
      </c>
      <c r="M254" s="1">
        <v>24.5</v>
      </c>
      <c r="O254" s="1">
        <v>20.456800000000001</v>
      </c>
      <c r="P254" s="1">
        <v>1.0794503539165461</v>
      </c>
      <c r="Q254" s="1">
        <v>0.13737730241288959</v>
      </c>
      <c r="R254" s="1">
        <v>0.69789999999999996</v>
      </c>
      <c r="S254" s="21"/>
      <c r="T254" s="28">
        <v>24.45</v>
      </c>
      <c r="U254" s="29">
        <f t="shared" si="92"/>
        <v>0.6813914199679324</v>
      </c>
      <c r="V254" s="28">
        <v>58.95</v>
      </c>
      <c r="W254" s="28">
        <v>281.23</v>
      </c>
      <c r="X254" s="28">
        <v>965.08</v>
      </c>
      <c r="Y254" s="29">
        <f t="shared" si="93"/>
        <v>36.729136143270445</v>
      </c>
      <c r="Z254" s="29">
        <f t="shared" si="94"/>
        <v>177.89341832544682</v>
      </c>
      <c r="AA254" s="29">
        <f t="shared" si="95"/>
        <v>98.082865999999996</v>
      </c>
      <c r="AB254" s="29">
        <f t="shared" si="96"/>
        <v>349.41807956278598</v>
      </c>
      <c r="AC254" s="29">
        <f t="shared" si="97"/>
        <v>9.5264166438543647</v>
      </c>
      <c r="AD254" s="29">
        <f t="shared" si="98"/>
        <v>26.446533670955379</v>
      </c>
      <c r="AF254">
        <f t="shared" si="99"/>
        <v>-4.0883074407205289E-4</v>
      </c>
      <c r="AG254">
        <f t="shared" si="100"/>
        <v>0.10006275780394014</v>
      </c>
      <c r="AH254">
        <f t="shared" si="101"/>
        <v>1.5290519877675379E-3</v>
      </c>
      <c r="AI254">
        <f t="shared" si="102"/>
        <v>-1.0763656829294033E-2</v>
      </c>
      <c r="AJ254">
        <f t="shared" si="103"/>
        <v>1.1190276613579186E-2</v>
      </c>
      <c r="AK254">
        <f t="shared" si="104"/>
        <v>-1.7821563385995942E-2</v>
      </c>
      <c r="AL254">
        <f t="shared" si="105"/>
        <v>2.2492798511399181E-2</v>
      </c>
      <c r="AM254">
        <f t="shared" si="106"/>
        <v>2.1440511665091755E-2</v>
      </c>
      <c r="AN254">
        <f t="shared" si="107"/>
        <v>-1.2362896098050524E-2</v>
      </c>
      <c r="AO254">
        <f t="shared" si="108"/>
        <v>1.5580764136973624E-2</v>
      </c>
      <c r="AP254">
        <f t="shared" si="109"/>
        <v>-6.1428376671236462E-3</v>
      </c>
    </row>
    <row r="255" spans="3:42" ht="15" x14ac:dyDescent="0.3">
      <c r="C255" s="1">
        <v>23.96</v>
      </c>
      <c r="D255" s="1">
        <v>5.04</v>
      </c>
      <c r="E255" s="1">
        <v>58.6</v>
      </c>
      <c r="F255" s="1">
        <v>287</v>
      </c>
      <c r="G255" s="1">
        <v>967.08</v>
      </c>
      <c r="H255" s="1">
        <v>33.97</v>
      </c>
      <c r="I255" s="1">
        <v>160.75</v>
      </c>
      <c r="J255" s="1">
        <v>133.54</v>
      </c>
      <c r="K255" s="1">
        <v>311.8</v>
      </c>
      <c r="L255" s="1">
        <v>193.21</v>
      </c>
      <c r="M255" s="1">
        <v>24.65</v>
      </c>
      <c r="O255" s="1">
        <v>19.970800000000001</v>
      </c>
      <c r="P255" s="1">
        <v>1.1051485168345785</v>
      </c>
      <c r="Q255" s="1">
        <v>0.13685480801970876</v>
      </c>
      <c r="R255" s="1">
        <v>0.69689999999999996</v>
      </c>
      <c r="S255" s="21"/>
      <c r="T255" s="28">
        <v>23.96</v>
      </c>
      <c r="U255" s="29">
        <f t="shared" si="92"/>
        <v>0.68974823241933214</v>
      </c>
      <c r="V255" s="28">
        <v>58.6</v>
      </c>
      <c r="W255" s="28">
        <v>287</v>
      </c>
      <c r="X255" s="28">
        <v>967.08</v>
      </c>
      <c r="Y255" s="29">
        <f t="shared" si="93"/>
        <v>36.668928522545066</v>
      </c>
      <c r="Z255" s="29">
        <f t="shared" si="94"/>
        <v>177.65262408115848</v>
      </c>
      <c r="AA255" s="29">
        <f t="shared" si="95"/>
        <v>93.064025999999984</v>
      </c>
      <c r="AB255" s="29">
        <f t="shared" si="96"/>
        <v>344.58530754902159</v>
      </c>
      <c r="AC255" s="29">
        <f t="shared" si="97"/>
        <v>9.6746249524305483</v>
      </c>
      <c r="AD255" s="29">
        <f t="shared" si="98"/>
        <v>27.241910939972357</v>
      </c>
      <c r="AF255">
        <f t="shared" si="99"/>
        <v>-2.0040899795500944E-2</v>
      </c>
      <c r="AG255">
        <f t="shared" si="100"/>
        <v>1.2264334722314363E-2</v>
      </c>
      <c r="AH255">
        <f t="shared" si="101"/>
        <v>-5.9372349448685302E-3</v>
      </c>
      <c r="AI255">
        <f t="shared" si="102"/>
        <v>2.0517014543256273E-2</v>
      </c>
      <c r="AJ255">
        <f t="shared" si="103"/>
        <v>2.0723670576532349E-3</v>
      </c>
      <c r="AK255">
        <f t="shared" si="104"/>
        <v>-1.6392332368102558E-3</v>
      </c>
      <c r="AL255">
        <f t="shared" si="105"/>
        <v>-1.3535871453536075E-3</v>
      </c>
      <c r="AM255">
        <f t="shared" si="106"/>
        <v>-5.116938569066698E-2</v>
      </c>
      <c r="AN255">
        <f t="shared" si="107"/>
        <v>-1.3830915732269689E-2</v>
      </c>
      <c r="AO255">
        <f t="shared" si="108"/>
        <v>1.5557613541057336E-2</v>
      </c>
      <c r="AP255">
        <f t="shared" si="109"/>
        <v>3.0074915635938115E-2</v>
      </c>
    </row>
    <row r="256" spans="3:42" x14ac:dyDescent="0.3">
      <c r="C256" s="1">
        <v>23.34</v>
      </c>
      <c r="D256" s="1">
        <v>5.24</v>
      </c>
      <c r="E256" s="1">
        <v>57.26</v>
      </c>
      <c r="F256" s="1">
        <v>257.64</v>
      </c>
      <c r="G256" s="1">
        <v>916.48</v>
      </c>
      <c r="H256" s="1">
        <v>32.6</v>
      </c>
      <c r="I256" s="1">
        <v>151.5</v>
      </c>
      <c r="J256" s="1">
        <v>123.01</v>
      </c>
      <c r="K256" s="1">
        <v>286.5</v>
      </c>
      <c r="L256" s="1">
        <v>190.89</v>
      </c>
      <c r="M256" s="1">
        <v>24.86</v>
      </c>
      <c r="O256" s="1">
        <v>20.501000000000001</v>
      </c>
      <c r="P256" s="1">
        <v>1.1029022974489049</v>
      </c>
      <c r="Q256" s="1">
        <v>0.13728598604946099</v>
      </c>
      <c r="R256" s="1">
        <v>0.69820000000000004</v>
      </c>
      <c r="T256" s="28">
        <v>23.34</v>
      </c>
      <c r="U256" s="29">
        <f t="shared" si="92"/>
        <v>0.71937856689917556</v>
      </c>
      <c r="V256" s="28">
        <v>57.26</v>
      </c>
      <c r="W256" s="28">
        <v>257.64</v>
      </c>
      <c r="X256" s="28">
        <v>916.48</v>
      </c>
      <c r="Y256" s="29">
        <f t="shared" si="93"/>
        <v>36.027841648807261</v>
      </c>
      <c r="Z256" s="29">
        <f t="shared" si="94"/>
        <v>167.0896980635091</v>
      </c>
      <c r="AA256" s="29">
        <f t="shared" si="95"/>
        <v>85.885582000000014</v>
      </c>
      <c r="AB256" s="29">
        <f t="shared" si="96"/>
        <v>315.98150821911128</v>
      </c>
      <c r="AC256" s="29">
        <f t="shared" si="97"/>
        <v>9.311253109604408</v>
      </c>
      <c r="AD256" s="29">
        <f t="shared" si="98"/>
        <v>27.418151114579775</v>
      </c>
      <c r="AF256">
        <f t="shared" si="99"/>
        <v>-2.5876460767946585E-2</v>
      </c>
      <c r="AG256">
        <f t="shared" si="100"/>
        <v>4.2958188346366999E-2</v>
      </c>
      <c r="AH256">
        <f t="shared" si="101"/>
        <v>-2.2866894197952292E-2</v>
      </c>
      <c r="AI256">
        <f t="shared" si="102"/>
        <v>-0.10229965156794429</v>
      </c>
      <c r="AJ256">
        <f t="shared" si="103"/>
        <v>-5.2322455226041287E-2</v>
      </c>
      <c r="AK256">
        <f t="shared" si="104"/>
        <v>-1.7483108985408391E-2</v>
      </c>
      <c r="AL256">
        <f t="shared" si="105"/>
        <v>-5.9458316882636253E-2</v>
      </c>
      <c r="AM256">
        <f t="shared" si="106"/>
        <v>-7.7134466544569791E-2</v>
      </c>
      <c r="AN256">
        <f t="shared" si="107"/>
        <v>-8.300934109281799E-2</v>
      </c>
      <c r="AO256">
        <f t="shared" si="108"/>
        <v>-3.755926918230057E-2</v>
      </c>
      <c r="AP256">
        <f t="shared" si="109"/>
        <v>6.4694497752291191E-3</v>
      </c>
    </row>
    <row r="257" spans="18:18" x14ac:dyDescent="0.3">
      <c r="R257" s="1"/>
    </row>
    <row r="258" spans="18:18" x14ac:dyDescent="0.3">
      <c r="R258" s="1"/>
    </row>
    <row r="259" spans="18:18" x14ac:dyDescent="0.3">
      <c r="R259" s="1"/>
    </row>
    <row r="260" spans="18:18" x14ac:dyDescent="0.3">
      <c r="R260" s="1"/>
    </row>
    <row r="261" spans="18:18" x14ac:dyDescent="0.3">
      <c r="R261" s="1"/>
    </row>
    <row r="262" spans="18:18" x14ac:dyDescent="0.3">
      <c r="R262" s="1"/>
    </row>
    <row r="263" spans="18:18" x14ac:dyDescent="0.3">
      <c r="R263" s="1"/>
    </row>
    <row r="264" spans="18:18" x14ac:dyDescent="0.3">
      <c r="R264" s="1"/>
    </row>
    <row r="265" spans="18:18" x14ac:dyDescent="0.3">
      <c r="R265" s="1"/>
    </row>
    <row r="266" spans="18:18" x14ac:dyDescent="0.3">
      <c r="R266" s="1"/>
    </row>
  </sheetData>
  <mergeCells count="14">
    <mergeCell ref="BV110:BW110"/>
    <mergeCell ref="BV109:BW109"/>
    <mergeCell ref="BN110:BO110"/>
    <mergeCell ref="BN109:BO109"/>
    <mergeCell ref="BN132:BO132"/>
    <mergeCell ref="BV132:BW132"/>
    <mergeCell ref="BL100:BM100"/>
    <mergeCell ref="BO100:BP100"/>
    <mergeCell ref="BK105:BL105"/>
    <mergeCell ref="BK106:BL106"/>
    <mergeCell ref="BK104:BM104"/>
    <mergeCell ref="BO104:BQ104"/>
    <mergeCell ref="BO105:BP105"/>
    <mergeCell ref="BO106:BP106"/>
  </mergeCells>
  <conditionalFormatting sqref="AS8:BC8 AS9:AT9 AV9:AY9 BA9:BC9">
    <cfRule type="cellIs" dxfId="2" priority="3" operator="greaterThan">
      <formula>0</formula>
    </cfRule>
  </conditionalFormatting>
  <conditionalFormatting sqref="AS9">
    <cfRule type="cellIs" dxfId="1" priority="2" operator="lessThan">
      <formula>0</formula>
    </cfRule>
  </conditionalFormatting>
  <conditionalFormatting sqref="AT9 AY9 BB8 BC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5</vt:i4>
      </vt:variant>
    </vt:vector>
  </HeadingPairs>
  <TitlesOfParts>
    <vt:vector size="19" baseType="lpstr">
      <vt:lpstr>KOFUBL</vt:lpstr>
      <vt:lpstr>JWN</vt:lpstr>
      <vt:lpstr>603336</vt:lpstr>
      <vt:lpstr>IAU</vt:lpstr>
      <vt:lpstr>PGR</vt:lpstr>
      <vt:lpstr>COST</vt:lpstr>
      <vt:lpstr>DTEGn</vt:lpstr>
      <vt:lpstr>HEIG</vt:lpstr>
      <vt:lpstr>IAG</vt:lpstr>
      <vt:lpstr>MTXGn</vt:lpstr>
      <vt:lpstr>SIEGn</vt:lpstr>
      <vt:lpstr>ELE</vt:lpstr>
      <vt:lpstr>Tasa libre de riesgo</vt:lpstr>
      <vt:lpstr>Portafolio</vt:lpstr>
      <vt:lpstr>M</vt:lpstr>
      <vt:lpstr>rf</vt:lpstr>
      <vt:lpstr>tc</vt:lpstr>
      <vt:lpstr>UNO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Navarrete Rodriguez</dc:creator>
  <cp:lastModifiedBy>JULIO YAHIR MARTIN MEJIA</cp:lastModifiedBy>
  <dcterms:created xsi:type="dcterms:W3CDTF">2025-03-02T21:57:52Z</dcterms:created>
  <dcterms:modified xsi:type="dcterms:W3CDTF">2025-06-10T05:14:19Z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40770e08-daa4-49fe-9b90-fd8b66bd577a</vt:lpwstr>
  </property>
</Properties>
</file>